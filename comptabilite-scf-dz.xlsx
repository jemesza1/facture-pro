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Accueil" sheetId="1" r:id="rId1"/>
    <sheet name="Plan comptable" sheetId="2" r:id="rId2"/>
    <sheet name="Centres de coûts" sheetId="3" r:id="rId3"/>
    <sheet name="Journal" sheetId="4" r:id="rId4"/>
    <sheet name="Grand livre" sheetId="5" r:id="rId5"/>
    <sheet name="Balance" sheetId="6" r:id="rId6"/>
    <sheet name="Coût des ventes" sheetId="7" r:id="rId7"/>
    <sheet name="Compte de résultat" sheetId="8" r:id="rId8"/>
    <sheet name="Bilan" sheetId="9" r:id="rId9"/>
    <sheet name="Rapports" sheetId="10" r:id="rId10"/>
  </sheets>
  <definedNames>
    <definedName name="Societe">'Accueil'!$C$6</definedName>
    <definedName name="Exercice">'Accueil'!$C$12</definedName>
    <definedName name="Comptes">'Plan comptable'!$H$8:$H$192</definedName>
    <definedName name="Journaux">'Plan comptable'!$M$8:$M$13</definedName>
    <definedName name="Centres">'Centres de coûts'!$A$8:$A$57</definedName>
  </definedNames>
  <calcPr calcId="0" fullCalcOnLoad="1"/>
</workbook>
</file>

<file path=xl/styles.xml><?xml version="1.0" encoding="utf-8"?>
<styleSheet xmlns="http://schemas.openxmlformats.org/spreadsheetml/2006/main">
  <numFmts count="4">
    <numFmt numFmtId="164" formatCode="#,##0.00"/>
    <numFmt numFmtId="165" formatCode="#,##0.00&quot; DA&quot;"/>
    <numFmt numFmtId="166" formatCode="dd/mm/yyyy"/>
    <numFmt numFmtId="167" formatCode="0.0&quot; %&quot;"/>
  </numFmts>
  <fonts count="11">
    <font>
      <sz val="11"/>
      <name val="Calibri"/>
    </font>
    <font>
      <b/>
      <sz val="16"/>
      <color rgb="FFFFFFFF"/>
      <name val="Calibri"/>
    </font>
    <font>
      <sz val="11"/>
      <color rgb="FFD1FAE5"/>
      <name val="Calibri"/>
    </font>
    <font>
      <b/>
      <sz val="12"/>
      <color rgb="FF006233"/>
      <name val="Calibri"/>
    </font>
    <font>
      <b/>
      <sz val="10"/>
      <color rgb="FF334155"/>
      <name val="Calibri"/>
    </font>
    <font>
      <b/>
      <sz val="11"/>
      <color rgb="FFFFFFFF"/>
      <name val="Calibri"/>
    </font>
    <font>
      <b/>
      <sz val="11"/>
      <name val="Calibri"/>
    </font>
    <font>
      <i/>
      <sz val="10"/>
      <color rgb="FF64748B"/>
      <name val="Calibri"/>
    </font>
    <font>
      <u/>
      <sz val="11"/>
      <color rgb="FF0369A1"/>
      <b/>
      <name val="Calibri"/>
    </font>
    <font>
      <b/>
      <sz val="11"/>
      <color rgb="FFB91C1C"/>
      <name val="Calibri"/>
    </font>
    <font>
      <sz val="9"/>
      <color rgb="FF64748B"/>
      <name val="Calibri"/>
    </font>
  </fonts>
  <fills count="7">
    <fill>
      <patternFill patternType="none"/>
    </fill>
    <fill>
      <patternFill patternType="gray125"/>
    </fill>
    <fill>
      <patternFill patternType="solid">
        <fgColor rgb="FF006233"/>
        <bgColor indexed="64"/>
      </patternFill>
    </fill>
    <fill>
      <patternFill patternType="solid">
        <fgColor rgb="FFF1F5F9"/>
        <bgColor indexed="64"/>
      </patternFill>
    </fill>
    <fill>
      <patternFill patternType="solid">
        <fgColor rgb="FFFFFDE7"/>
        <bgColor indexed="64"/>
      </patternFill>
    </fill>
    <fill>
      <patternFill patternType="solid">
        <fgColor rgb="FFE7F5EE"/>
        <bgColor indexed="64"/>
      </patternFill>
    </fill>
    <fill>
      <patternFill patternType="solid">
        <fgColor rgb="FF0F172A"/>
        <bgColor indexed="64"/>
      </patternFill>
    </fill>
  </fills>
  <borders count="3">
    <border>
      <left/>
      <right/>
      <top/>
      <bottom/>
      <diagonal/>
    </border>
    <border>
      <left style="thin">
        <color rgb="FFCBD5E1"/>
      </left>
      <right style="thin">
        <color rgb="FFCBD5E1"/>
      </right>
      <top style="thin">
        <color rgb="FFCBD5E1"/>
      </top>
      <bottom style="thin">
        <color rgb="FFCBD5E1"/>
      </bottom>
      <diagonal/>
    </border>
    <border>
      <left/>
      <right/>
      <top/>
      <bottom style="medium">
        <color rgb="FF006233"/>
      </bottom>
      <diagonal/>
    </border>
  </borders>
  <cellStyleXfs count="1">
    <xf numFmtId="0" fontId="0" fillId="0" borderId="0"/>
  </cellStyleXfs>
  <cellXfs count="27">
    <xf numFmtId="0" fontId="0" fillId="0" borderId="0" xfId="0"/>
    <xf numFmtId="0" fontId="1" fillId="2" borderId="0" xfId="0" applyFont="1" applyFill="1" applyAlignment="1">
      <alignment vertical="center"/>
    </xf>
    <xf numFmtId="0" fontId="2" fillId="2" borderId="0" xfId="0" applyFont="1" applyFill="1" applyAlignment="1">
      <alignment vertical="center"/>
    </xf>
    <xf numFmtId="0" fontId="3" fillId="0" borderId="2" xfId="0" applyFont="1" applyBorder="1"/>
    <xf numFmtId="0" fontId="4" fillId="0" borderId="0" xfId="0" applyFont="1"/>
    <xf numFmtId="0" fontId="0" fillId="4" borderId="1" xfId="0" applyFill="1" applyBorder="1"/>
    <xf numFmtId="165" fontId="0" fillId="4" borderId="1" xfId="0" applyNumberFormat="1" applyFill="1" applyBorder="1"/>
    <xf numFmtId="166" fontId="0" fillId="4" borderId="1" xfId="0" applyNumberFormat="1" applyFill="1" applyBorder="1"/>
    <xf numFmtId="0" fontId="5" fillId="2" borderId="1" xfId="0" applyFont="1" applyFill="1" applyBorder="1" applyAlignment="1">
      <alignment horizontal="center" vertical="center" wrapText="1"/>
    </xf>
    <xf numFmtId="0" fontId="0" fillId="0" borderId="1" xfId="0" applyBorder="1"/>
    <xf numFmtId="0" fontId="0" fillId="0" borderId="1" xfId="0" applyBorder="1" applyAlignment="1">
      <alignment horizontal="center"/>
    </xf>
    <xf numFmtId="165" fontId="0" fillId="0" borderId="1" xfId="0" applyNumberFormat="1" applyBorder="1"/>
    <xf numFmtId="164" fontId="0" fillId="0" borderId="1" xfId="0" applyNumberFormat="1" applyBorder="1"/>
    <xf numFmtId="166" fontId="0" fillId="0" borderId="1" xfId="0" applyNumberFormat="1" applyBorder="1"/>
    <xf numFmtId="167" fontId="0" fillId="0" borderId="1" xfId="0" applyNumberFormat="1" applyBorder="1"/>
    <xf numFmtId="0" fontId="6" fillId="3" borderId="1" xfId="0" applyFont="1" applyFill="1" applyBorder="1"/>
    <xf numFmtId="165" fontId="6" fillId="3" borderId="1" xfId="0" applyNumberFormat="1" applyFont="1" applyFill="1" applyBorder="1"/>
    <xf numFmtId="165" fontId="5" fillId="2" borderId="1" xfId="0" applyNumberFormat="1" applyFont="1" applyFill="1" applyBorder="1"/>
    <xf numFmtId="0" fontId="7" fillId="0" borderId="0" xfId="0" applyFont="1" applyAlignment="1">
      <alignment wrapText="1" vertical="top"/>
    </xf>
    <xf numFmtId="0" fontId="6" fillId="5" borderId="1" xfId="0" applyFont="1" applyFill="1" applyBorder="1"/>
    <xf numFmtId="0" fontId="6" fillId="0" borderId="1" xfId="0" applyFont="1" applyBorder="1" applyAlignment="1">
      <alignment horizontal="left"/>
    </xf>
    <xf numFmtId="0" fontId="0" fillId="0" borderId="1" xfId="0" applyBorder="1" applyAlignment="1">
      <alignment horizontal="right" readingOrder="2"/>
    </xf>
    <xf numFmtId="0" fontId="8" fillId="0" borderId="0" xfId="0" applyFont="1"/>
    <xf numFmtId="0" fontId="6" fillId="3" borderId="1" xfId="0" applyFont="1" applyFill="1" applyBorder="1"/>
    <xf numFmtId="0" fontId="9" fillId="0" borderId="1" xfId="0" applyFont="1" applyBorder="1"/>
    <xf numFmtId="0" fontId="6" fillId="5" borderId="1" xfId="0" applyFont="1" applyFill="1" applyBorder="1"/>
    <xf numFmtId="0" fontId="10" fillId="0" borderId="0" xfId="0" applyFont="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styles" Target="styles.xml"/></Relationships>
</file>

<file path=xl/worksheets/sheet1.xml><?xml version="1.0" encoding="utf-8"?>
<worksheet xmlns="http://schemas.openxmlformats.org/spreadsheetml/2006/main">
  <sheetPr>
    <tabColor rgb="FF006233"/>
  </sheetPr>
  <sheetViews>
    <sheetView tabSelected="1" workbookViewId="0" showGridLines="0"/>
  </sheetViews>
  <sheetFormatPr defaultRowHeight="15"/>
  <cols>
    <col min="1" max="1" width="3" customWidth="1"/>
    <col min="2" max="2" width="26" customWidth="1"/>
    <col min="3" max="3" width="26" customWidth="1"/>
    <col min="4" max="4" width="22" customWidth="1"/>
    <col min="5" max="5" width="34" customWidth="1"/>
    <col min="6" max="6" width="34" customWidth="1"/>
  </cols>
  <sheetData>
    <row r="1" ht="30" customHeight="1">
      <c r="A1" s="1" t="inlineStr">
        <is>
          <t xml:space="preserve">SYSTÈME COMPTABLE — SCF ALGÉRIE</t>
        </is>
      </c>
    </row>
    <row r="2" ht="22" customHeight="1">
      <c r="A2" s="2" t="inlineStr">
        <is>
          <t xml:space="preserve">نظام محاسبي — النظام المحاسبي المالي الجزائري</t>
        </is>
      </c>
    </row>
    <row r="3">
      <c r="A3" s="18" t="inlineStr">
        <is>
          <t xml:space="preserve">Plan comptable · Journal · Grand livre · Balance · Coût des ventes · Compte de résultat · Bilan</t>
        </is>
      </c>
    </row>
    <row r="5">
      <c r="B5" s="3" t="inlineStr">
        <is>
          <t xml:space="preserve">IDENTIFICATION DE L'ENTREPRISE  —  تعريف المؤسسة</t>
        </is>
      </c>
    </row>
    <row r="6">
      <c r="B6" s="4" t="inlineStr">
        <is>
          <t xml:space="preserve">Raison sociale</t>
        </is>
      </c>
      <c r="C6" s="5" t="inlineStr">
        <is>
          <t xml:space="preserve">Mon Entreprise SARL</t>
        </is>
      </c>
      <c r="E6" s="26" t="inlineStr">
        <is>
          <t xml:space="preserve">التسمية الاجتماعية</t>
        </is>
      </c>
    </row>
    <row r="7">
      <c r="B7" s="4" t="inlineStr">
        <is>
          <t xml:space="preserve">NIF</t>
        </is>
      </c>
      <c r="C7" s="5"/>
      <c r="E7" s="26" t="inlineStr">
        <is>
          <t xml:space="preserve">رقم التعريف الجبائي</t>
        </is>
      </c>
    </row>
    <row r="8">
      <c r="B8" s="4" t="inlineStr">
        <is>
          <t xml:space="preserve">NIS</t>
        </is>
      </c>
      <c r="C8" s="5"/>
      <c r="E8" s="26" t="inlineStr">
        <is>
          <t xml:space="preserve">رقم التعريف الإحصائي</t>
        </is>
      </c>
    </row>
    <row r="9">
      <c r="B9" s="4" t="inlineStr">
        <is>
          <t xml:space="preserve">Registre de commerce</t>
        </is>
      </c>
      <c r="C9" s="5"/>
      <c r="E9" s="26" t="inlineStr">
        <is>
          <t xml:space="preserve">السجل التجاري</t>
        </is>
      </c>
    </row>
    <row r="10">
      <c r="B10" s="4" t="inlineStr">
        <is>
          <t xml:space="preserve">Article d'imposition</t>
        </is>
      </c>
      <c r="C10" s="5"/>
      <c r="E10" s="26" t="inlineStr">
        <is>
          <t xml:space="preserve">المادة الجبائية</t>
        </is>
      </c>
    </row>
    <row r="11">
      <c r="B11" s="4" t="inlineStr">
        <is>
          <t xml:space="preserve">Adresse</t>
        </is>
      </c>
      <c r="C11" s="5"/>
      <c r="E11" s="26" t="inlineStr">
        <is>
          <t xml:space="preserve">العنوان</t>
        </is>
      </c>
    </row>
    <row r="12">
      <c r="B12" s="4" t="inlineStr">
        <is>
          <t xml:space="preserve">Exercice</t>
        </is>
      </c>
      <c r="C12" s="5">
        <v>2026</v>
      </c>
      <c r="E12" s="26" t="inlineStr">
        <is>
          <t xml:space="preserve">السنة المالية</t>
        </is>
      </c>
    </row>
    <row r="13">
      <c r="B13" s="4" t="inlineStr">
        <is>
          <t xml:space="preserve">Début d'exercice</t>
        </is>
      </c>
      <c r="C13" s="13">
        <f>DATE(Exercice,1,1)</f>
      </c>
      <c r="E13" s="26" t="inlineStr">
        <is>
          <t xml:space="preserve">بداية السنة</t>
        </is>
      </c>
    </row>
    <row r="14">
      <c r="B14" s="4" t="inlineStr">
        <is>
          <t xml:space="preserve">Fin d'exercice</t>
        </is>
      </c>
      <c r="C14" s="13">
        <f>DATE(Exercice,12,31)</f>
      </c>
      <c r="E14" s="26" t="inlineStr">
        <is>
          <t xml:space="preserve">نهاية السنة</t>
        </is>
      </c>
    </row>
    <row r="16">
      <c r="B16" s="3" t="inlineStr">
        <is>
          <t xml:space="preserve">LES FEUILLES  —  أوراق العمل</t>
        </is>
      </c>
    </row>
    <row r="17">
      <c r="B17" s="22" t="inlineStr">
        <is>
          <t xml:space="preserve">→  Plan comptable</t>
        </is>
      </c>
      <c r="D17" s="26" t="inlineStr">
        <is>
          <t xml:space="preserve">دليل الحسابات</t>
        </is>
      </c>
      <c r="E17" s="26" t="inlineStr">
        <is>
          <t xml:space="preserve">La nomenclature du SCF, classes 1 à 7, et vos propres subdivisions.</t>
        </is>
      </c>
    </row>
    <row r="18">
      <c r="B18" s="22" t="inlineStr">
        <is>
          <t xml:space="preserve">→  Centres de coûts</t>
        </is>
      </c>
      <c r="D18" s="26" t="inlineStr">
        <is>
          <t xml:space="preserve">مراكز التكلفة</t>
        </is>
      </c>
      <c r="E18" s="26" t="inlineStr">
        <is>
          <t xml:space="preserve">Magasin, chantier, véhicule : ce que vous voulez suivre à part.</t>
        </is>
      </c>
    </row>
    <row r="19">
      <c r="B19" s="22" t="inlineStr">
        <is>
          <t xml:space="preserve">→  Journal</t>
        </is>
      </c>
      <c r="D19" s="26" t="inlineStr">
        <is>
          <t xml:space="preserve">اليومية</t>
        </is>
      </c>
      <c r="E19" s="26" t="inlineStr">
        <is>
          <t xml:space="preserve">La seule feuille où l'on saisit. Une ligne par compte mouvementé.</t>
        </is>
      </c>
    </row>
    <row r="20">
      <c r="B20" s="22" t="inlineStr">
        <is>
          <t xml:space="preserve">→  Grand livre</t>
        </is>
      </c>
      <c r="D20" s="26" t="inlineStr">
        <is>
          <t xml:space="preserve">الأستاذ العام</t>
        </is>
      </c>
      <c r="E20" s="26" t="inlineStr">
        <is>
          <t xml:space="preserve">Le détail d'un compte, avec son solde qui court.</t>
        </is>
      </c>
    </row>
    <row r="21">
      <c r="B21" s="22" t="inlineStr">
        <is>
          <t xml:space="preserve">→  Balance</t>
        </is>
      </c>
      <c r="D21" s="26" t="inlineStr">
        <is>
          <t xml:space="preserve">ميزان المراجعة</t>
        </is>
      </c>
      <c r="E21" s="26" t="inlineStr">
        <is>
          <t xml:space="preserve">Mouvements et soldes de tous les comptes. Le contrôle d'équilibre.</t>
        </is>
      </c>
    </row>
    <row r="22">
      <c r="B22" s="22" t="inlineStr">
        <is>
          <t xml:space="preserve">→  Coût des ventes</t>
        </is>
      </c>
      <c r="D22" s="26" t="inlineStr">
        <is>
          <t xml:space="preserve">تكلفة المبيعات</t>
        </is>
      </c>
      <c r="E22" s="26" t="inlineStr">
        <is>
          <t xml:space="preserve">Ce que les ventes ont coûté, et ce qu'elles ont laissé.</t>
        </is>
      </c>
    </row>
    <row r="23">
      <c r="B23" s="22" t="inlineStr">
        <is>
          <t xml:space="preserve">→  Compte de résultat</t>
        </is>
      </c>
      <c r="D23" s="26" t="inlineStr">
        <is>
          <t xml:space="preserve">حساب النتائج</t>
        </is>
      </c>
      <c r="E23" s="26" t="inlineStr">
        <is>
          <t xml:space="preserve">Le compte de résultat par nature, avec ses soldes intermédiaires.</t>
        </is>
      </c>
    </row>
    <row r="24">
      <c r="B24" s="22" t="inlineStr">
        <is>
          <t xml:space="preserve">→  Bilan</t>
        </is>
      </c>
      <c r="D24" s="26" t="inlineStr">
        <is>
          <t xml:space="preserve">الميزانية</t>
        </is>
      </c>
      <c r="E24" s="26" t="inlineStr">
        <is>
          <t xml:space="preserve">Actif et passif à la clôture, présentation de l'arrêté de 2008.</t>
        </is>
      </c>
    </row>
    <row r="25">
      <c r="B25" s="22" t="inlineStr">
        <is>
          <t xml:space="preserve">→  Rapports</t>
        </is>
      </c>
      <c r="D25" s="26" t="inlineStr">
        <is>
          <t xml:space="preserve">التقارير</t>
        </is>
      </c>
      <c r="E25" s="26" t="inlineStr">
        <is>
          <t xml:space="preserve">TVA, trésorerie, tiers, charges par nature, résultat par centre.</t>
        </is>
      </c>
    </row>
    <row r="27">
      <c r="B27" s="3" t="inlineStr">
        <is>
          <t xml:space="preserve">CONTRÔLES  —  المراقبة</t>
        </is>
      </c>
    </row>
    <row r="28">
      <c r="B28" s="4" t="inlineStr">
        <is>
          <t xml:space="preserve">Total débit du journal</t>
        </is>
      </c>
      <c r="C28" s="11">
        <f>SUM('Journal'!$H$8:$H$2007)</f>
      </c>
    </row>
    <row r="29">
      <c r="B29" s="4" t="inlineStr">
        <is>
          <t xml:space="preserve">Total crédit du journal</t>
        </is>
      </c>
      <c r="C29" s="11">
        <f>SUM('Journal'!$I$8:$I$2007)</f>
      </c>
    </row>
    <row r="30">
      <c r="B30" s="4" t="inlineStr">
        <is>
          <t xml:space="preserve">Écart débit / crédit</t>
        </is>
      </c>
      <c r="C30" s="11">
        <f>SUM('Journal'!$H$8:$H$2007)-SUM('Journal'!$I$8:$I$2007)</f>
      </c>
    </row>
    <row r="31">
      <c r="B31" s="4" t="inlineStr">
        <is>
          <t xml:space="preserve">Résultat net de l'exercice</t>
        </is>
      </c>
      <c r="C31" s="11">
        <f>'Compte de résultat'!$D$36</f>
      </c>
    </row>
    <row r="32">
      <c r="B32" s="4" t="inlineStr">
        <is>
          <t xml:space="preserve">Total actif</t>
        </is>
      </c>
      <c r="C32" s="11">
        <f>'Bilan'!$E$29</f>
      </c>
    </row>
    <row r="33">
      <c r="B33" s="4" t="inlineStr">
        <is>
          <t xml:space="preserve">Total passif</t>
        </is>
      </c>
      <c r="C33" s="11">
        <f>'Bilan'!$E$53</f>
      </c>
    </row>
    <row r="34">
      <c r="B34" s="4" t="inlineStr">
        <is>
          <t xml:space="preserve">Écart actif / passif</t>
        </is>
      </c>
      <c r="C34" s="11">
        <f>'Bilan'!$E$29-'Bilan'!$E$53</f>
      </c>
    </row>
    <row r="35">
      <c r="B35" s="4" t="inlineStr">
        <is>
          <t xml:space="preserve">Le classeur est-il cohérent ?</t>
        </is>
      </c>
      <c r="C35" s="25">
        <f>IF(AND(ROUND(C30,2)=0,ROUND(C34,2)=0),"OUI — débit = crédit et actif = passif","NON — corrigez les écarts ci-dessus")</f>
      </c>
    </row>
    <row r="37">
      <c r="B37" s="3" t="inlineStr">
        <is>
          <t xml:space="preserve">MODE D'EMPLOI  —  طريقة الاستعمال</t>
        </is>
      </c>
    </row>
    <row r="38">
      <c r="B38" s="18" t="inlineStr">
        <is>
          <t xml:space="preserve">1. Renseignez l'entreprise et l'exercice ci-dessus. Tout le classeur en reprend le nom et l'année.</t>
        </is>
      </c>
    </row>
    <row r="39">
      <c r="B39" s="18" t="inlineStr">
        <is>
          <t xml:space="preserve">2. Ouvrez le Journal et saisissez vos écritures : une ligne par compte mouvementé, le débit à gauche, le crédit à droite. Le compte se choisit dans la liste déroulante.</t>
        </is>
      </c>
    </row>
    <row r="40">
      <c r="B40" s="18" t="inlineStr">
        <is>
          <t xml:space="preserve">3. Une écriture est équilibrée quand son débit égale son crédit. Le total du journal, en haut de la feuille, le dit à chaque instant.</t>
        </is>
      </c>
    </row>
    <row r="41">
      <c r="B41" s="18" t="inlineStr">
        <is>
          <t xml:space="preserve">4. Les dix lignes marquées EXEMPLE montrent une ouverture, une vente, un achat, un salaire, un amortissement et une déclaration de TVA. Supprimez-les avant de commencer.</t>
        </is>
      </c>
    </row>
    <row r="42">
      <c r="B42" s="18" t="inlineStr">
        <is>
          <t xml:space="preserve">5. Tout le reste se calcule seul. Aucune autre feuille n'attend de saisie, sauf les cellules jaunes du Coût des ventes.</t>
        </is>
      </c>
    </row>
    <row r="43">
      <c r="B43" s="18" t="inlineStr">
        <is>
          <t xml:space="preserve">6. Le plan comptable est modifiable : ajoutez vos subdivisions à la suite du tableau (4111 pour un client suivi à part, 6131 pour un local précis) et recopiez la formule des colonnes de droite.</t>
        </is>
      </c>
    </row>
  </sheetData>
  <mergeCells count="32">
    <mergeCell ref="A1:F1"/>
    <mergeCell ref="A2:F2"/>
    <mergeCell ref="A3:F3"/>
    <mergeCell ref="B5:F5"/>
    <mergeCell ref="B16:F16"/>
    <mergeCell ref="B17:C17"/>
    <mergeCell ref="E17:F17"/>
    <mergeCell ref="B18:C18"/>
    <mergeCell ref="E18:F18"/>
    <mergeCell ref="B19:C19"/>
    <mergeCell ref="E19:F19"/>
    <mergeCell ref="B20:C20"/>
    <mergeCell ref="E20:F20"/>
    <mergeCell ref="B21:C21"/>
    <mergeCell ref="E21:F21"/>
    <mergeCell ref="B22:C22"/>
    <mergeCell ref="E22:F22"/>
    <mergeCell ref="B23:C23"/>
    <mergeCell ref="E23:F23"/>
    <mergeCell ref="B24:C24"/>
    <mergeCell ref="E24:F24"/>
    <mergeCell ref="B25:C25"/>
    <mergeCell ref="E25:F25"/>
    <mergeCell ref="B27:F27"/>
    <mergeCell ref="C35:F35"/>
    <mergeCell ref="B37:F37"/>
    <mergeCell ref="B38:F38"/>
    <mergeCell ref="B39:F39"/>
    <mergeCell ref="B40:F40"/>
    <mergeCell ref="B41:F41"/>
    <mergeCell ref="B42:F42"/>
    <mergeCell ref="B43:F43"/>
  </mergeCells>
  <hyperlinks>
    <hyperlink ref="B17" location="'Plan comptable'!A1" display="Plan comptable"/>
    <hyperlink ref="B18" location="'Centres de coûts'!A1" display="Centres de coûts"/>
    <hyperlink ref="B19" location="'Journal'!A1" display="Journal"/>
    <hyperlink ref="B20" location="'Grand livre'!A1" display="Grand livre"/>
    <hyperlink ref="B21" location="'Balance'!A1" display="Balance"/>
    <hyperlink ref="B22" location="'Coût des ventes'!A1" display="Coût des ventes"/>
    <hyperlink ref="B23" location="'Compte de résultat'!A1" display="Compte de résultat"/>
    <hyperlink ref="B24" location="'Bilan'!A1" display="Bilan"/>
    <hyperlink ref="B25" location="'Rapports'!A1" display="Rapports"/>
  </hyperlinks>
  <pageMargins left="0.4" right="0.4" top="0.5" bottom="0.5" header="0.3" footer="0.3"/>
</worksheet>
</file>

<file path=xl/worksheets/sheet2.xml><?xml version="1.0" encoding="utf-8"?>
<worksheet xmlns="http://schemas.openxmlformats.org/spreadsheetml/2006/main">
  <sheetPr>
    <tabColor rgb="FF0284C7"/>
  </sheetPr>
  <sheetViews>
    <sheetView workbookViewId="0" showGridLines="0">
      <pane ySplit="7" topLeftCell="A8" activePane="bottomLeft" state="frozen"/>
      <selection pane="bottomLeft" activeCell="A8" sqref="A8"/>
    </sheetView>
  </sheetViews>
  <sheetFormatPr defaultRowHeight="15"/>
  <cols>
    <col min="1" max="1" width="11" customWidth="1"/>
    <col min="2" max="2" width="56" customWidth="1"/>
    <col min="3" max="3" width="40" customWidth="1"/>
    <col min="4" max="4" width="8" customWidth="1"/>
    <col min="5" max="5" width="11" customWidth="1"/>
    <col min="6" max="6" width="16" customWidth="1"/>
    <col min="7" max="7" width="3" customWidth="1"/>
    <col min="8" max="8" width="11" customWidth="1"/>
    <col min="9" max="9" width="46" customWidth="1"/>
    <col min="10" max="10" width="12" customWidth="1"/>
    <col min="11" max="11" width="7" customWidth="1"/>
    <col min="12" max="12" width="3" customWidth="1"/>
    <col min="13" max="13" width="10" customWidth="1"/>
    <col min="14" max="14" width="24" customWidth="1"/>
  </cols>
  <sheetData>
    <row r="1" ht="30" customHeight="1">
      <c r="A1" s="1" t="inlineStr">
        <is>
          <t xml:space="preserve">PLAN COMPTABLE — SCF</t>
        </is>
      </c>
    </row>
    <row r="2" ht="22" customHeight="1">
      <c r="A2" s="2" t="inlineStr">
        <is>
          <t xml:space="preserve">دليل الحسابات — النظام المحاسبي المالي</t>
        </is>
      </c>
    </row>
    <row r="3">
      <c r="A3" s="18">
        <f>Societe&amp;"   ·   Exercice "&amp;Exercice</f>
      </c>
    </row>
    <row r="5">
      <c r="A5" s="18" t="inlineStr">
        <is>
          <t xml:space="preserve">Arrêté du 26 juillet 2008. Les lignes grises sont des rubriques : on n'y passe pas d'écriture.</t>
        </is>
      </c>
    </row>
    <row r="6">
      <c r="H6" s="4" t="inlineStr">
        <is>
          <t xml:space="preserve">Liste de saisie — ne pas trier ni supprimer</t>
        </is>
      </c>
    </row>
    <row r="7">
      <c r="A7" s="8" t="inlineStr">
        <is>
          <t xml:space="preserve">Compte</t>
        </is>
      </c>
      <c r="B7" s="8" t="inlineStr">
        <is>
          <t xml:space="preserve">Intitulé</t>
        </is>
      </c>
      <c r="C7" s="8" t="inlineStr">
        <is>
          <t xml:space="preserve">التسمية</t>
        </is>
      </c>
      <c r="D7" s="8" t="inlineStr">
        <is>
          <t xml:space="preserve">Classe</t>
        </is>
      </c>
      <c r="E7" s="8" t="inlineStr">
        <is>
          <t xml:space="preserve">Type</t>
        </is>
      </c>
      <c r="F7" s="8" t="inlineStr">
        <is>
          <t xml:space="preserve">Rubrique du bilan</t>
        </is>
      </c>
      <c r="H7" s="8" t="inlineStr">
        <is>
          <t xml:space="preserve">Compte</t>
        </is>
      </c>
      <c r="I7" s="8" t="inlineStr">
        <is>
          <t xml:space="preserve">Intitulé</t>
        </is>
      </c>
      <c r="J7" s="8" t="inlineStr">
        <is>
          <t xml:space="preserve">Rubrique</t>
        </is>
      </c>
      <c r="K7" s="8" t="inlineStr">
        <is>
          <t xml:space="preserve">Déd.</t>
        </is>
      </c>
      <c r="M7" s="8" t="inlineStr">
        <is>
          <t xml:space="preserve">Journal</t>
        </is>
      </c>
      <c r="N7" s="8" t="inlineStr">
        <is>
          <t xml:space="preserve">Libellé</t>
        </is>
      </c>
    </row>
    <row r="8">
      <c r="A8" s="23" t="inlineStr">
        <is>
          <t xml:space="preserve">10</t>
        </is>
      </c>
      <c r="B8" s="23" t="inlineStr">
        <is>
          <t xml:space="preserve">Capital, réserves et assimilés</t>
        </is>
      </c>
      <c r="C8" s="23" t="inlineStr">
        <is>
          <t xml:space="preserve">رأس المال والاحتياطات وما شابهها</t>
        </is>
      </c>
      <c r="D8" s="10" t="inlineStr">
        <is>
          <t xml:space="preserve">1</t>
        </is>
      </c>
      <c r="E8" s="10" t="inlineStr">
        <is>
          <t xml:space="preserve">Rubrique</t>
        </is>
      </c>
      <c r="F8" s="10"/>
      <c r="H8" s="20" t="inlineStr">
        <is>
          <t xml:space="preserve">101</t>
        </is>
      </c>
      <c r="I8" s="9" t="inlineStr">
        <is>
          <t xml:space="preserve">Capital émis (capital social, fonds de dotation)</t>
        </is>
      </c>
      <c r="J8" s="10" t="inlineStr">
        <is>
          <t xml:space="preserve">CP_CAP</t>
        </is>
      </c>
      <c r="K8" s="10">
        <v>0</v>
      </c>
      <c r="M8" s="10" t="inlineStr">
        <is>
          <t xml:space="preserve">AN</t>
        </is>
      </c>
      <c r="N8" s="9" t="inlineStr">
        <is>
          <t xml:space="preserve">À-nouveaux</t>
        </is>
      </c>
    </row>
    <row r="9">
      <c r="A9" s="20" t="inlineStr">
        <is>
          <t xml:space="preserve">101</t>
        </is>
      </c>
      <c r="B9" s="9" t="inlineStr">
        <is>
          <t xml:space="preserve">Capital émis (capital social, fonds de dotation)</t>
        </is>
      </c>
      <c r="C9" s="21" t="inlineStr">
        <is>
          <t xml:space="preserve">رأس المال الصادر (رأس المال الاجتماعي)</t>
        </is>
      </c>
      <c r="D9" s="10" t="inlineStr">
        <is>
          <t xml:space="preserve">1</t>
        </is>
      </c>
      <c r="E9" s="10" t="inlineStr">
        <is>
          <t xml:space="preserve">Compte</t>
        </is>
      </c>
      <c r="F9" s="10" t="inlineStr">
        <is>
          <t xml:space="preserve">CP_CAP</t>
        </is>
      </c>
      <c r="H9" s="20" t="inlineStr">
        <is>
          <t xml:space="preserve">103</t>
        </is>
      </c>
      <c r="I9" s="9" t="inlineStr">
        <is>
          <t xml:space="preserve">Primes liées au capital social</t>
        </is>
      </c>
      <c r="J9" s="10" t="inlineStr">
        <is>
          <t xml:space="preserve">CP_PRI</t>
        </is>
      </c>
      <c r="K9" s="10">
        <v>0</v>
      </c>
      <c r="M9" s="10" t="inlineStr">
        <is>
          <t xml:space="preserve">VE</t>
        </is>
      </c>
      <c r="N9" s="9" t="inlineStr">
        <is>
          <t xml:space="preserve">Ventes</t>
        </is>
      </c>
    </row>
    <row r="10">
      <c r="A10" s="20" t="inlineStr">
        <is>
          <t xml:space="preserve">103</t>
        </is>
      </c>
      <c r="B10" s="9" t="inlineStr">
        <is>
          <t xml:space="preserve">Primes liées au capital social</t>
        </is>
      </c>
      <c r="C10" s="21" t="inlineStr">
        <is>
          <t xml:space="preserve">العلاوات المرتبطة برأس المال</t>
        </is>
      </c>
      <c r="D10" s="10" t="inlineStr">
        <is>
          <t xml:space="preserve">1</t>
        </is>
      </c>
      <c r="E10" s="10" t="inlineStr">
        <is>
          <t xml:space="preserve">Compte</t>
        </is>
      </c>
      <c r="F10" s="10" t="inlineStr">
        <is>
          <t xml:space="preserve">CP_PRI</t>
        </is>
      </c>
      <c r="H10" s="20" t="inlineStr">
        <is>
          <t xml:space="preserve">104</t>
        </is>
      </c>
      <c r="I10" s="9" t="inlineStr">
        <is>
          <t xml:space="preserve">Écart d'évaluation</t>
        </is>
      </c>
      <c r="J10" s="10" t="inlineStr">
        <is>
          <t xml:space="preserve">CP_PRI</t>
        </is>
      </c>
      <c r="K10" s="10">
        <v>0</v>
      </c>
      <c r="M10" s="10" t="inlineStr">
        <is>
          <t xml:space="preserve">AC</t>
        </is>
      </c>
      <c r="N10" s="9" t="inlineStr">
        <is>
          <t xml:space="preserve">Achats</t>
        </is>
      </c>
    </row>
    <row r="11">
      <c r="A11" s="20" t="inlineStr">
        <is>
          <t xml:space="preserve">104</t>
        </is>
      </c>
      <c r="B11" s="9" t="inlineStr">
        <is>
          <t xml:space="preserve">Écart d'évaluation</t>
        </is>
      </c>
      <c r="C11" s="21" t="inlineStr">
        <is>
          <t xml:space="preserve">فارق التقييم</t>
        </is>
      </c>
      <c r="D11" s="10" t="inlineStr">
        <is>
          <t xml:space="preserve">1</t>
        </is>
      </c>
      <c r="E11" s="10" t="inlineStr">
        <is>
          <t xml:space="preserve">Compte</t>
        </is>
      </c>
      <c r="F11" s="10" t="inlineStr">
        <is>
          <t xml:space="preserve">CP_PRI</t>
        </is>
      </c>
      <c r="H11" s="20" t="inlineStr">
        <is>
          <t xml:space="preserve">105</t>
        </is>
      </c>
      <c r="I11" s="9" t="inlineStr">
        <is>
          <t xml:space="preserve">Écart de réévaluation</t>
        </is>
      </c>
      <c r="J11" s="10" t="inlineStr">
        <is>
          <t xml:space="preserve">CP_REE</t>
        </is>
      </c>
      <c r="K11" s="10">
        <v>0</v>
      </c>
      <c r="M11" s="10" t="inlineStr">
        <is>
          <t xml:space="preserve">BQ</t>
        </is>
      </c>
      <c r="N11" s="9" t="inlineStr">
        <is>
          <t xml:space="preserve">Banque</t>
        </is>
      </c>
    </row>
    <row r="12">
      <c r="A12" s="20" t="inlineStr">
        <is>
          <t xml:space="preserve">105</t>
        </is>
      </c>
      <c r="B12" s="9" t="inlineStr">
        <is>
          <t xml:space="preserve">Écart de réévaluation</t>
        </is>
      </c>
      <c r="C12" s="21" t="inlineStr">
        <is>
          <t xml:space="preserve">فارق إعادة التقييم</t>
        </is>
      </c>
      <c r="D12" s="10" t="inlineStr">
        <is>
          <t xml:space="preserve">1</t>
        </is>
      </c>
      <c r="E12" s="10" t="inlineStr">
        <is>
          <t xml:space="preserve">Compte</t>
        </is>
      </c>
      <c r="F12" s="10" t="inlineStr">
        <is>
          <t xml:space="preserve">CP_REE</t>
        </is>
      </c>
      <c r="H12" s="20" t="inlineStr">
        <is>
          <t xml:space="preserve">106</t>
        </is>
      </c>
      <c r="I12" s="9" t="inlineStr">
        <is>
          <t xml:space="preserve">Réserves (légale, statutaire, ordinaire, réglementée)</t>
        </is>
      </c>
      <c r="J12" s="10" t="inlineStr">
        <is>
          <t xml:space="preserve">CP_PRI</t>
        </is>
      </c>
      <c r="K12" s="10">
        <v>0</v>
      </c>
      <c r="M12" s="10" t="inlineStr">
        <is>
          <t xml:space="preserve">CA</t>
        </is>
      </c>
      <c r="N12" s="9" t="inlineStr">
        <is>
          <t xml:space="preserve">Caisse</t>
        </is>
      </c>
    </row>
    <row r="13">
      <c r="A13" s="20" t="inlineStr">
        <is>
          <t xml:space="preserve">106</t>
        </is>
      </c>
      <c r="B13" s="9" t="inlineStr">
        <is>
          <t xml:space="preserve">Réserves (légale, statutaire, ordinaire, réglementée)</t>
        </is>
      </c>
      <c r="C13" s="21" t="inlineStr">
        <is>
          <t xml:space="preserve">الاحتياطات (قانونية، نظامية، عادية، منظمة)</t>
        </is>
      </c>
      <c r="D13" s="10" t="inlineStr">
        <is>
          <t xml:space="preserve">1</t>
        </is>
      </c>
      <c r="E13" s="10" t="inlineStr">
        <is>
          <t xml:space="preserve">Compte</t>
        </is>
      </c>
      <c r="F13" s="10" t="inlineStr">
        <is>
          <t xml:space="preserve">CP_PRI</t>
        </is>
      </c>
      <c r="H13" s="20" t="inlineStr">
        <is>
          <t xml:space="preserve">107</t>
        </is>
      </c>
      <c r="I13" s="9" t="inlineStr">
        <is>
          <t xml:space="preserve">Écart d'équivalence</t>
        </is>
      </c>
      <c r="J13" s="10" t="inlineStr">
        <is>
          <t xml:space="preserve">CP_EQU</t>
        </is>
      </c>
      <c r="K13" s="10">
        <v>0</v>
      </c>
      <c r="M13" s="10" t="inlineStr">
        <is>
          <t xml:space="preserve">OD</t>
        </is>
      </c>
      <c r="N13" s="9" t="inlineStr">
        <is>
          <t xml:space="preserve">Opérations diverses</t>
        </is>
      </c>
    </row>
    <row r="14">
      <c r="A14" s="20" t="inlineStr">
        <is>
          <t xml:space="preserve">107</t>
        </is>
      </c>
      <c r="B14" s="9" t="inlineStr">
        <is>
          <t xml:space="preserve">Écart d'équivalence</t>
        </is>
      </c>
      <c r="C14" s="21" t="inlineStr">
        <is>
          <t xml:space="preserve">فارق المعادلة</t>
        </is>
      </c>
      <c r="D14" s="10" t="inlineStr">
        <is>
          <t xml:space="preserve">1</t>
        </is>
      </c>
      <c r="E14" s="10" t="inlineStr">
        <is>
          <t xml:space="preserve">Compte</t>
        </is>
      </c>
      <c r="F14" s="10" t="inlineStr">
        <is>
          <t xml:space="preserve">CP_EQU</t>
        </is>
      </c>
      <c r="H14" s="20" t="inlineStr">
        <is>
          <t xml:space="preserve">108</t>
        </is>
      </c>
      <c r="I14" s="9" t="inlineStr">
        <is>
          <t xml:space="preserve">Compte de l'exploitant</t>
        </is>
      </c>
      <c r="J14" s="10" t="inlineStr">
        <is>
          <t xml:space="preserve">CP_ART</t>
        </is>
      </c>
      <c r="K14" s="10">
        <v>0</v>
      </c>
    </row>
    <row r="15">
      <c r="A15" s="20" t="inlineStr">
        <is>
          <t xml:space="preserve">108</t>
        </is>
      </c>
      <c r="B15" s="9" t="inlineStr">
        <is>
          <t xml:space="preserve">Compte de l'exploitant</t>
        </is>
      </c>
      <c r="C15" s="21" t="inlineStr">
        <is>
          <t xml:space="preserve">حساب المستغل</t>
        </is>
      </c>
      <c r="D15" s="10" t="inlineStr">
        <is>
          <t xml:space="preserve">1</t>
        </is>
      </c>
      <c r="E15" s="10" t="inlineStr">
        <is>
          <t xml:space="preserve">Compte</t>
        </is>
      </c>
      <c r="F15" s="10" t="inlineStr">
        <is>
          <t xml:space="preserve">CP_ART</t>
        </is>
      </c>
      <c r="H15" s="20" t="inlineStr">
        <is>
          <t xml:space="preserve">109</t>
        </is>
      </c>
      <c r="I15" s="9" t="inlineStr">
        <is>
          <t xml:space="preserve">Capital souscrit non appelé</t>
        </is>
      </c>
      <c r="J15" s="10" t="inlineStr">
        <is>
          <t xml:space="preserve">CP_NAP</t>
        </is>
      </c>
      <c r="K15" s="10">
        <v>0</v>
      </c>
    </row>
    <row r="16">
      <c r="A16" s="20" t="inlineStr">
        <is>
          <t xml:space="preserve">109</t>
        </is>
      </c>
      <c r="B16" s="9" t="inlineStr">
        <is>
          <t xml:space="preserve">Capital souscrit non appelé</t>
        </is>
      </c>
      <c r="C16" s="21" t="inlineStr">
        <is>
          <t xml:space="preserve">رأس المال المكتتب غير المستدعى</t>
        </is>
      </c>
      <c r="D16" s="10" t="inlineStr">
        <is>
          <t xml:space="preserve">1</t>
        </is>
      </c>
      <c r="E16" s="10" t="inlineStr">
        <is>
          <t xml:space="preserve">Compte</t>
        </is>
      </c>
      <c r="F16" s="10" t="inlineStr">
        <is>
          <t xml:space="preserve">CP_NAP</t>
        </is>
      </c>
      <c r="H16" s="20" t="inlineStr">
        <is>
          <t xml:space="preserve">110</t>
        </is>
      </c>
      <c r="I16" s="9" t="inlineStr">
        <is>
          <t xml:space="preserve">Report à nouveau (solde créditeur)</t>
        </is>
      </c>
      <c r="J16" s="10" t="inlineStr">
        <is>
          <t xml:space="preserve">CP_ART</t>
        </is>
      </c>
      <c r="K16" s="10">
        <v>0</v>
      </c>
    </row>
    <row r="17">
      <c r="A17" s="23" t="inlineStr">
        <is>
          <t xml:space="preserve">11</t>
        </is>
      </c>
      <c r="B17" s="23" t="inlineStr">
        <is>
          <t xml:space="preserve">Report à nouveau</t>
        </is>
      </c>
      <c r="C17" s="23" t="inlineStr">
        <is>
          <t xml:space="preserve">الترحيل من جديد</t>
        </is>
      </c>
      <c r="D17" s="10" t="inlineStr">
        <is>
          <t xml:space="preserve">1</t>
        </is>
      </c>
      <c r="E17" s="10" t="inlineStr">
        <is>
          <t xml:space="preserve">Rubrique</t>
        </is>
      </c>
      <c r="F17" s="10"/>
      <c r="H17" s="20" t="inlineStr">
        <is>
          <t xml:space="preserve">119</t>
        </is>
      </c>
      <c r="I17" s="9" t="inlineStr">
        <is>
          <t xml:space="preserve">Report à nouveau (solde débiteur)</t>
        </is>
      </c>
      <c r="J17" s="10" t="inlineStr">
        <is>
          <t xml:space="preserve">CP_ART</t>
        </is>
      </c>
      <c r="K17" s="10">
        <v>0</v>
      </c>
    </row>
    <row r="18">
      <c r="A18" s="20" t="inlineStr">
        <is>
          <t xml:space="preserve">110</t>
        </is>
      </c>
      <c r="B18" s="9" t="inlineStr">
        <is>
          <t xml:space="preserve">Report à nouveau (solde créditeur)</t>
        </is>
      </c>
      <c r="C18" s="21" t="inlineStr">
        <is>
          <t xml:space="preserve">الترحيل من جديد (رصيد دائن)</t>
        </is>
      </c>
      <c r="D18" s="10" t="inlineStr">
        <is>
          <t xml:space="preserve">1</t>
        </is>
      </c>
      <c r="E18" s="10" t="inlineStr">
        <is>
          <t xml:space="preserve">Compte</t>
        </is>
      </c>
      <c r="F18" s="10" t="inlineStr">
        <is>
          <t xml:space="preserve">CP_ART</t>
        </is>
      </c>
      <c r="H18" s="20" t="inlineStr">
        <is>
          <t xml:space="preserve">120</t>
        </is>
      </c>
      <c r="I18" s="9" t="inlineStr">
        <is>
          <t xml:space="preserve">Résultat de l'exercice (bénéfice)</t>
        </is>
      </c>
      <c r="J18" s="10" t="inlineStr">
        <is>
          <t xml:space="preserve">CP_RES</t>
        </is>
      </c>
      <c r="K18" s="10">
        <v>0</v>
      </c>
    </row>
    <row r="19">
      <c r="A19" s="20" t="inlineStr">
        <is>
          <t xml:space="preserve">119</t>
        </is>
      </c>
      <c r="B19" s="9" t="inlineStr">
        <is>
          <t xml:space="preserve">Report à nouveau (solde débiteur)</t>
        </is>
      </c>
      <c r="C19" s="21" t="inlineStr">
        <is>
          <t xml:space="preserve">الترحيل من جديد (رصيد مدين)</t>
        </is>
      </c>
      <c r="D19" s="10" t="inlineStr">
        <is>
          <t xml:space="preserve">1</t>
        </is>
      </c>
      <c r="E19" s="10" t="inlineStr">
        <is>
          <t xml:space="preserve">Compte</t>
        </is>
      </c>
      <c r="F19" s="10" t="inlineStr">
        <is>
          <t xml:space="preserve">CP_ART</t>
        </is>
      </c>
      <c r="H19" s="20" t="inlineStr">
        <is>
          <t xml:space="preserve">129</t>
        </is>
      </c>
      <c r="I19" s="9" t="inlineStr">
        <is>
          <t xml:space="preserve">Résultat de l'exercice (perte)</t>
        </is>
      </c>
      <c r="J19" s="10" t="inlineStr">
        <is>
          <t xml:space="preserve">CP_RES</t>
        </is>
      </c>
      <c r="K19" s="10">
        <v>0</v>
      </c>
    </row>
    <row r="20">
      <c r="A20" s="23" t="inlineStr">
        <is>
          <t xml:space="preserve">12</t>
        </is>
      </c>
      <c r="B20" s="23" t="inlineStr">
        <is>
          <t xml:space="preserve">Résultat de l'exercice</t>
        </is>
      </c>
      <c r="C20" s="23" t="inlineStr">
        <is>
          <t xml:space="preserve">نتيجة السنة المالية</t>
        </is>
      </c>
      <c r="D20" s="10" t="inlineStr">
        <is>
          <t xml:space="preserve">1</t>
        </is>
      </c>
      <c r="E20" s="10" t="inlineStr">
        <is>
          <t xml:space="preserve">Rubrique</t>
        </is>
      </c>
      <c r="F20" s="10"/>
      <c r="H20" s="20" t="inlineStr">
        <is>
          <t xml:space="preserve">131</t>
        </is>
      </c>
      <c r="I20" s="9" t="inlineStr">
        <is>
          <t xml:space="preserve">Subventions d'équipement</t>
        </is>
      </c>
      <c r="J20" s="10" t="inlineStr">
        <is>
          <t xml:space="preserve">PN_AUT</t>
        </is>
      </c>
      <c r="K20" s="10">
        <v>0</v>
      </c>
    </row>
    <row r="21">
      <c r="A21" s="20" t="inlineStr">
        <is>
          <t xml:space="preserve">120</t>
        </is>
      </c>
      <c r="B21" s="9" t="inlineStr">
        <is>
          <t xml:space="preserve">Résultat de l'exercice (bénéfice)</t>
        </is>
      </c>
      <c r="C21" s="21" t="inlineStr">
        <is>
          <t xml:space="preserve">نتيجة السنة المالية (ربح)</t>
        </is>
      </c>
      <c r="D21" s="10" t="inlineStr">
        <is>
          <t xml:space="preserve">1</t>
        </is>
      </c>
      <c r="E21" s="10" t="inlineStr">
        <is>
          <t xml:space="preserve">Compte</t>
        </is>
      </c>
      <c r="F21" s="10" t="inlineStr">
        <is>
          <t xml:space="preserve">CP_RES</t>
        </is>
      </c>
      <c r="H21" s="20" t="inlineStr">
        <is>
          <t xml:space="preserve">133</t>
        </is>
      </c>
      <c r="I21" s="9" t="inlineStr">
        <is>
          <t xml:space="preserve">Impôts différés actif</t>
        </is>
      </c>
      <c r="J21" s="10" t="inlineStr">
        <is>
          <t xml:space="preserve">AN_IDA</t>
        </is>
      </c>
      <c r="K21" s="10">
        <v>0</v>
      </c>
    </row>
    <row r="22">
      <c r="A22" s="20" t="inlineStr">
        <is>
          <t xml:space="preserve">129</t>
        </is>
      </c>
      <c r="B22" s="9" t="inlineStr">
        <is>
          <t xml:space="preserve">Résultat de l'exercice (perte)</t>
        </is>
      </c>
      <c r="C22" s="21" t="inlineStr">
        <is>
          <t xml:space="preserve">نتيجة السنة المالية (خسارة)</t>
        </is>
      </c>
      <c r="D22" s="10" t="inlineStr">
        <is>
          <t xml:space="preserve">1</t>
        </is>
      </c>
      <c r="E22" s="10" t="inlineStr">
        <is>
          <t xml:space="preserve">Compte</t>
        </is>
      </c>
      <c r="F22" s="10" t="inlineStr">
        <is>
          <t xml:space="preserve">CP_RES</t>
        </is>
      </c>
      <c r="H22" s="20" t="inlineStr">
        <is>
          <t xml:space="preserve">134</t>
        </is>
      </c>
      <c r="I22" s="9" t="inlineStr">
        <is>
          <t xml:space="preserve">Impôts différés passif</t>
        </is>
      </c>
      <c r="J22" s="10" t="inlineStr">
        <is>
          <t xml:space="preserve">PN_IDP</t>
        </is>
      </c>
      <c r="K22" s="10">
        <v>0</v>
      </c>
    </row>
    <row r="23">
      <c r="A23" s="23" t="inlineStr">
        <is>
          <t xml:space="preserve">13</t>
        </is>
      </c>
      <c r="B23" s="23" t="inlineStr">
        <is>
          <t xml:space="preserve">Produits et charges différés</t>
        </is>
      </c>
      <c r="C23" s="23" t="inlineStr">
        <is>
          <t xml:space="preserve">المنتوجات والأعباء المؤجلة</t>
        </is>
      </c>
      <c r="D23" s="10" t="inlineStr">
        <is>
          <t xml:space="preserve">1</t>
        </is>
      </c>
      <c r="E23" s="10" t="inlineStr">
        <is>
          <t xml:space="preserve">Rubrique</t>
        </is>
      </c>
      <c r="F23" s="10"/>
      <c r="H23" s="20" t="inlineStr">
        <is>
          <t xml:space="preserve">138</t>
        </is>
      </c>
      <c r="I23" s="9" t="inlineStr">
        <is>
          <t xml:space="preserve">Autres produits et charges différés</t>
        </is>
      </c>
      <c r="J23" s="10" t="inlineStr">
        <is>
          <t xml:space="preserve">PN_AUT</t>
        </is>
      </c>
      <c r="K23" s="10">
        <v>0</v>
      </c>
    </row>
    <row r="24">
      <c r="A24" s="20" t="inlineStr">
        <is>
          <t xml:space="preserve">131</t>
        </is>
      </c>
      <c r="B24" s="9" t="inlineStr">
        <is>
          <t xml:space="preserve">Subventions d'équipement</t>
        </is>
      </c>
      <c r="C24" s="21" t="inlineStr">
        <is>
          <t xml:space="preserve">إعانات التجهيز</t>
        </is>
      </c>
      <c r="D24" s="10" t="inlineStr">
        <is>
          <t xml:space="preserve">1</t>
        </is>
      </c>
      <c r="E24" s="10" t="inlineStr">
        <is>
          <t xml:space="preserve">Compte</t>
        </is>
      </c>
      <c r="F24" s="10" t="inlineStr">
        <is>
          <t xml:space="preserve">PN_AUT</t>
        </is>
      </c>
      <c r="H24" s="20" t="inlineStr">
        <is>
          <t xml:space="preserve">153</t>
        </is>
      </c>
      <c r="I24" s="9" t="inlineStr">
        <is>
          <t xml:space="preserve">Provisions pour pensions et obligations similaires</t>
        </is>
      </c>
      <c r="J24" s="10" t="inlineStr">
        <is>
          <t xml:space="preserve">PN_PRO</t>
        </is>
      </c>
      <c r="K24" s="10">
        <v>0</v>
      </c>
    </row>
    <row r="25">
      <c r="A25" s="20" t="inlineStr">
        <is>
          <t xml:space="preserve">133</t>
        </is>
      </c>
      <c r="B25" s="9" t="inlineStr">
        <is>
          <t xml:space="preserve">Impôts différés actif</t>
        </is>
      </c>
      <c r="C25" s="21" t="inlineStr">
        <is>
          <t xml:space="preserve">الضرائب المؤجلة على الأصول</t>
        </is>
      </c>
      <c r="D25" s="10" t="inlineStr">
        <is>
          <t xml:space="preserve">1</t>
        </is>
      </c>
      <c r="E25" s="10" t="inlineStr">
        <is>
          <t xml:space="preserve">Compte</t>
        </is>
      </c>
      <c r="F25" s="10" t="inlineStr">
        <is>
          <t xml:space="preserve">AN_IDA</t>
        </is>
      </c>
      <c r="H25" s="20" t="inlineStr">
        <is>
          <t xml:space="preserve">155</t>
        </is>
      </c>
      <c r="I25" s="9" t="inlineStr">
        <is>
          <t xml:space="preserve">Provisions pour impôts</t>
        </is>
      </c>
      <c r="J25" s="10" t="inlineStr">
        <is>
          <t xml:space="preserve">PN_IDP</t>
        </is>
      </c>
      <c r="K25" s="10">
        <v>0</v>
      </c>
    </row>
    <row r="26">
      <c r="A26" s="20" t="inlineStr">
        <is>
          <t xml:space="preserve">134</t>
        </is>
      </c>
      <c r="B26" s="9" t="inlineStr">
        <is>
          <t xml:space="preserve">Impôts différés passif</t>
        </is>
      </c>
      <c r="C26" s="21" t="inlineStr">
        <is>
          <t xml:space="preserve">الضرائب المؤجلة على الخصوم</t>
        </is>
      </c>
      <c r="D26" s="10" t="inlineStr">
        <is>
          <t xml:space="preserve">1</t>
        </is>
      </c>
      <c r="E26" s="10" t="inlineStr">
        <is>
          <t xml:space="preserve">Compte</t>
        </is>
      </c>
      <c r="F26" s="10" t="inlineStr">
        <is>
          <t xml:space="preserve">PN_IDP</t>
        </is>
      </c>
      <c r="H26" s="20" t="inlineStr">
        <is>
          <t xml:space="preserve">156</t>
        </is>
      </c>
      <c r="I26" s="9" t="inlineStr">
        <is>
          <t xml:space="preserve">Provisions pour renouvellement des immobilisations</t>
        </is>
      </c>
      <c r="J26" s="10" t="inlineStr">
        <is>
          <t xml:space="preserve">PN_PRO</t>
        </is>
      </c>
      <c r="K26" s="10">
        <v>0</v>
      </c>
    </row>
    <row r="27">
      <c r="A27" s="20" t="inlineStr">
        <is>
          <t xml:space="preserve">138</t>
        </is>
      </c>
      <c r="B27" s="9" t="inlineStr">
        <is>
          <t xml:space="preserve">Autres produits et charges différés</t>
        </is>
      </c>
      <c r="C27" s="21" t="inlineStr">
        <is>
          <t xml:space="preserve">منتوجات وأعباء مؤجلة أخرى</t>
        </is>
      </c>
      <c r="D27" s="10" t="inlineStr">
        <is>
          <t xml:space="preserve">1</t>
        </is>
      </c>
      <c r="E27" s="10" t="inlineStr">
        <is>
          <t xml:space="preserve">Compte</t>
        </is>
      </c>
      <c r="F27" s="10" t="inlineStr">
        <is>
          <t xml:space="preserve">PN_AUT</t>
        </is>
      </c>
      <c r="H27" s="20" t="inlineStr">
        <is>
          <t xml:space="preserve">158</t>
        </is>
      </c>
      <c r="I27" s="9" t="inlineStr">
        <is>
          <t xml:space="preserve">Autres provisions pour charges</t>
        </is>
      </c>
      <c r="J27" s="10" t="inlineStr">
        <is>
          <t xml:space="preserve">PN_PRO</t>
        </is>
      </c>
      <c r="K27" s="10">
        <v>0</v>
      </c>
    </row>
    <row r="28">
      <c r="A28" s="23" t="inlineStr">
        <is>
          <t xml:space="preserve">15</t>
        </is>
      </c>
      <c r="B28" s="23" t="inlineStr">
        <is>
          <t xml:space="preserve">Provisions pour charges — passifs non courants</t>
        </is>
      </c>
      <c r="C28" s="23" t="inlineStr">
        <is>
          <t xml:space="preserve">مؤونات الأعباء — خصوم غير جارية</t>
        </is>
      </c>
      <c r="D28" s="10" t="inlineStr">
        <is>
          <t xml:space="preserve">1</t>
        </is>
      </c>
      <c r="E28" s="10" t="inlineStr">
        <is>
          <t xml:space="preserve">Rubrique</t>
        </is>
      </c>
      <c r="F28" s="10"/>
      <c r="H28" s="20" t="inlineStr">
        <is>
          <t xml:space="preserve">161</t>
        </is>
      </c>
      <c r="I28" s="9" t="inlineStr">
        <is>
          <t xml:space="preserve">Titres participatifs</t>
        </is>
      </c>
      <c r="J28" s="10" t="inlineStr">
        <is>
          <t xml:space="preserve">PN_EMP</t>
        </is>
      </c>
      <c r="K28" s="10">
        <v>0</v>
      </c>
    </row>
    <row r="29">
      <c r="A29" s="20" t="inlineStr">
        <is>
          <t xml:space="preserve">153</t>
        </is>
      </c>
      <c r="B29" s="9" t="inlineStr">
        <is>
          <t xml:space="preserve">Provisions pour pensions et obligations similaires</t>
        </is>
      </c>
      <c r="C29" s="21" t="inlineStr">
        <is>
          <t xml:space="preserve">مؤونات المعاشات والالتزامات المماثلة</t>
        </is>
      </c>
      <c r="D29" s="10" t="inlineStr">
        <is>
          <t xml:space="preserve">1</t>
        </is>
      </c>
      <c r="E29" s="10" t="inlineStr">
        <is>
          <t xml:space="preserve">Compte</t>
        </is>
      </c>
      <c r="F29" s="10" t="inlineStr">
        <is>
          <t xml:space="preserve">PN_PRO</t>
        </is>
      </c>
      <c r="H29" s="20" t="inlineStr">
        <is>
          <t xml:space="preserve">163</t>
        </is>
      </c>
      <c r="I29" s="9" t="inlineStr">
        <is>
          <t xml:space="preserve">Autres emprunts obligataires</t>
        </is>
      </c>
      <c r="J29" s="10" t="inlineStr">
        <is>
          <t xml:space="preserve">PN_EMP</t>
        </is>
      </c>
      <c r="K29" s="10">
        <v>0</v>
      </c>
    </row>
    <row r="30">
      <c r="A30" s="20" t="inlineStr">
        <is>
          <t xml:space="preserve">155</t>
        </is>
      </c>
      <c r="B30" s="9" t="inlineStr">
        <is>
          <t xml:space="preserve">Provisions pour impôts</t>
        </is>
      </c>
      <c r="C30" s="21" t="inlineStr">
        <is>
          <t xml:space="preserve">مؤونات الضرائب</t>
        </is>
      </c>
      <c r="D30" s="10" t="inlineStr">
        <is>
          <t xml:space="preserve">1</t>
        </is>
      </c>
      <c r="E30" s="10" t="inlineStr">
        <is>
          <t xml:space="preserve">Compte</t>
        </is>
      </c>
      <c r="F30" s="10" t="inlineStr">
        <is>
          <t xml:space="preserve">PN_IDP</t>
        </is>
      </c>
      <c r="H30" s="20" t="inlineStr">
        <is>
          <t xml:space="preserve">164</t>
        </is>
      </c>
      <c r="I30" s="9" t="inlineStr">
        <is>
          <t xml:space="preserve">Emprunts auprès des établissements de crédit</t>
        </is>
      </c>
      <c r="J30" s="10" t="inlineStr">
        <is>
          <t xml:space="preserve">PN_EMP</t>
        </is>
      </c>
      <c r="K30" s="10">
        <v>0</v>
      </c>
    </row>
    <row r="31">
      <c r="A31" s="20" t="inlineStr">
        <is>
          <t xml:space="preserve">156</t>
        </is>
      </c>
      <c r="B31" s="9" t="inlineStr">
        <is>
          <t xml:space="preserve">Provisions pour renouvellement des immobilisations</t>
        </is>
      </c>
      <c r="C31" s="21" t="inlineStr">
        <is>
          <t xml:space="preserve">مؤونات تجديد التثبيتات</t>
        </is>
      </c>
      <c r="D31" s="10" t="inlineStr">
        <is>
          <t xml:space="preserve">1</t>
        </is>
      </c>
      <c r="E31" s="10" t="inlineStr">
        <is>
          <t xml:space="preserve">Compte</t>
        </is>
      </c>
      <c r="F31" s="10" t="inlineStr">
        <is>
          <t xml:space="preserve">PN_PRO</t>
        </is>
      </c>
      <c r="H31" s="20" t="inlineStr">
        <is>
          <t xml:space="preserve">165</t>
        </is>
      </c>
      <c r="I31" s="9" t="inlineStr">
        <is>
          <t xml:space="preserve">Dépôts et cautionnements reçus</t>
        </is>
      </c>
      <c r="J31" s="10" t="inlineStr">
        <is>
          <t xml:space="preserve">PN_AUT</t>
        </is>
      </c>
      <c r="K31" s="10">
        <v>0</v>
      </c>
    </row>
    <row r="32">
      <c r="A32" s="20" t="inlineStr">
        <is>
          <t xml:space="preserve">158</t>
        </is>
      </c>
      <c r="B32" s="9" t="inlineStr">
        <is>
          <t xml:space="preserve">Autres provisions pour charges</t>
        </is>
      </c>
      <c r="C32" s="21" t="inlineStr">
        <is>
          <t xml:space="preserve">مؤونات أخرى للأعباء</t>
        </is>
      </c>
      <c r="D32" s="10" t="inlineStr">
        <is>
          <t xml:space="preserve">1</t>
        </is>
      </c>
      <c r="E32" s="10" t="inlineStr">
        <is>
          <t xml:space="preserve">Compte</t>
        </is>
      </c>
      <c r="F32" s="10" t="inlineStr">
        <is>
          <t xml:space="preserve">PN_PRO</t>
        </is>
      </c>
      <c r="H32" s="20" t="inlineStr">
        <is>
          <t xml:space="preserve">167</t>
        </is>
      </c>
      <c r="I32" s="9" t="inlineStr">
        <is>
          <t xml:space="preserve">Dettes sur contrat de location-financement</t>
        </is>
      </c>
      <c r="J32" s="10" t="inlineStr">
        <is>
          <t xml:space="preserve">PN_EMP</t>
        </is>
      </c>
      <c r="K32" s="10">
        <v>0</v>
      </c>
    </row>
    <row r="33">
      <c r="A33" s="23" t="inlineStr">
        <is>
          <t xml:space="preserve">16</t>
        </is>
      </c>
      <c r="B33" s="23" t="inlineStr">
        <is>
          <t xml:space="preserve">Emprunts et dettes assimilées</t>
        </is>
      </c>
      <c r="C33" s="23" t="inlineStr">
        <is>
          <t xml:space="preserve">الاقتراضات والديون المماثلة</t>
        </is>
      </c>
      <c r="D33" s="10" t="inlineStr">
        <is>
          <t xml:space="preserve">1</t>
        </is>
      </c>
      <c r="E33" s="10" t="inlineStr">
        <is>
          <t xml:space="preserve">Rubrique</t>
        </is>
      </c>
      <c r="F33" s="10"/>
      <c r="H33" s="20" t="inlineStr">
        <is>
          <t xml:space="preserve">168</t>
        </is>
      </c>
      <c r="I33" s="9" t="inlineStr">
        <is>
          <t xml:space="preserve">Autres emprunts et dettes assimilées</t>
        </is>
      </c>
      <c r="J33" s="10" t="inlineStr">
        <is>
          <t xml:space="preserve">PN_EMP</t>
        </is>
      </c>
      <c r="K33" s="10">
        <v>0</v>
      </c>
    </row>
    <row r="34">
      <c r="A34" s="20" t="inlineStr">
        <is>
          <t xml:space="preserve">161</t>
        </is>
      </c>
      <c r="B34" s="9" t="inlineStr">
        <is>
          <t xml:space="preserve">Titres participatifs</t>
        </is>
      </c>
      <c r="C34" s="21" t="inlineStr">
        <is>
          <t xml:space="preserve">سندات المساهمة</t>
        </is>
      </c>
      <c r="D34" s="10" t="inlineStr">
        <is>
          <t xml:space="preserve">1</t>
        </is>
      </c>
      <c r="E34" s="10" t="inlineStr">
        <is>
          <t xml:space="preserve">Compte</t>
        </is>
      </c>
      <c r="F34" s="10" t="inlineStr">
        <is>
          <t xml:space="preserve">PN_EMP</t>
        </is>
      </c>
      <c r="H34" s="20" t="inlineStr">
        <is>
          <t xml:space="preserve">17</t>
        </is>
      </c>
      <c r="I34" s="9" t="inlineStr">
        <is>
          <t xml:space="preserve">Dettes rattachées à des participations</t>
        </is>
      </c>
      <c r="J34" s="10" t="inlineStr">
        <is>
          <t xml:space="preserve">PN_EMP</t>
        </is>
      </c>
      <c r="K34" s="10">
        <v>0</v>
      </c>
    </row>
    <row r="35">
      <c r="A35" s="20" t="inlineStr">
        <is>
          <t xml:space="preserve">163</t>
        </is>
      </c>
      <c r="B35" s="9" t="inlineStr">
        <is>
          <t xml:space="preserve">Autres emprunts obligataires</t>
        </is>
      </c>
      <c r="C35" s="21" t="inlineStr">
        <is>
          <t xml:space="preserve">اقتراضات سندية أخرى</t>
        </is>
      </c>
      <c r="D35" s="10" t="inlineStr">
        <is>
          <t xml:space="preserve">1</t>
        </is>
      </c>
      <c r="E35" s="10" t="inlineStr">
        <is>
          <t xml:space="preserve">Compte</t>
        </is>
      </c>
      <c r="F35" s="10" t="inlineStr">
        <is>
          <t xml:space="preserve">PN_EMP</t>
        </is>
      </c>
      <c r="H35" s="20" t="inlineStr">
        <is>
          <t xml:space="preserve">203</t>
        </is>
      </c>
      <c r="I35" s="9" t="inlineStr">
        <is>
          <t xml:space="preserve">Frais de développement immobilisables</t>
        </is>
      </c>
      <c r="J35" s="10" t="inlineStr">
        <is>
          <t xml:space="preserve">AN_INC</t>
        </is>
      </c>
      <c r="K35" s="10">
        <v>0</v>
      </c>
    </row>
    <row r="36">
      <c r="A36" s="20" t="inlineStr">
        <is>
          <t xml:space="preserve">164</t>
        </is>
      </c>
      <c r="B36" s="9" t="inlineStr">
        <is>
          <t xml:space="preserve">Emprunts auprès des établissements de crédit</t>
        </is>
      </c>
      <c r="C36" s="21" t="inlineStr">
        <is>
          <t xml:space="preserve">الاقتراضات لدى مؤسسات القرض</t>
        </is>
      </c>
      <c r="D36" s="10" t="inlineStr">
        <is>
          <t xml:space="preserve">1</t>
        </is>
      </c>
      <c r="E36" s="10" t="inlineStr">
        <is>
          <t xml:space="preserve">Compte</t>
        </is>
      </c>
      <c r="F36" s="10" t="inlineStr">
        <is>
          <t xml:space="preserve">PN_EMP</t>
        </is>
      </c>
      <c r="H36" s="20" t="inlineStr">
        <is>
          <t xml:space="preserve">204</t>
        </is>
      </c>
      <c r="I36" s="9" t="inlineStr">
        <is>
          <t xml:space="preserve">Logiciels informatiques et assimilés</t>
        </is>
      </c>
      <c r="J36" s="10" t="inlineStr">
        <is>
          <t xml:space="preserve">AN_INC</t>
        </is>
      </c>
      <c r="K36" s="10">
        <v>0</v>
      </c>
    </row>
    <row r="37">
      <c r="A37" s="20" t="inlineStr">
        <is>
          <t xml:space="preserve">165</t>
        </is>
      </c>
      <c r="B37" s="9" t="inlineStr">
        <is>
          <t xml:space="preserve">Dépôts et cautionnements reçus</t>
        </is>
      </c>
      <c r="C37" s="21" t="inlineStr">
        <is>
          <t xml:space="preserve">الودائع والكفالات المقبوضة</t>
        </is>
      </c>
      <c r="D37" s="10" t="inlineStr">
        <is>
          <t xml:space="preserve">1</t>
        </is>
      </c>
      <c r="E37" s="10" t="inlineStr">
        <is>
          <t xml:space="preserve">Compte</t>
        </is>
      </c>
      <c r="F37" s="10" t="inlineStr">
        <is>
          <t xml:space="preserve">PN_AUT</t>
        </is>
      </c>
      <c r="H37" s="20" t="inlineStr">
        <is>
          <t xml:space="preserve">205</t>
        </is>
      </c>
      <c r="I37" s="9" t="inlineStr">
        <is>
          <t xml:space="preserve">Concessions, brevets, licences, marques</t>
        </is>
      </c>
      <c r="J37" s="10" t="inlineStr">
        <is>
          <t xml:space="preserve">AN_INC</t>
        </is>
      </c>
      <c r="K37" s="10">
        <v>0</v>
      </c>
    </row>
    <row r="38">
      <c r="A38" s="20" t="inlineStr">
        <is>
          <t xml:space="preserve">167</t>
        </is>
      </c>
      <c r="B38" s="9" t="inlineStr">
        <is>
          <t xml:space="preserve">Dettes sur contrat de location-financement</t>
        </is>
      </c>
      <c r="C38" s="21" t="inlineStr">
        <is>
          <t xml:space="preserve">ديون عقد الإيجار التمويلي</t>
        </is>
      </c>
      <c r="D38" s="10" t="inlineStr">
        <is>
          <t xml:space="preserve">1</t>
        </is>
      </c>
      <c r="E38" s="10" t="inlineStr">
        <is>
          <t xml:space="preserve">Compte</t>
        </is>
      </c>
      <c r="F38" s="10" t="inlineStr">
        <is>
          <t xml:space="preserve">PN_EMP</t>
        </is>
      </c>
      <c r="H38" s="20" t="inlineStr">
        <is>
          <t xml:space="preserve">207</t>
        </is>
      </c>
      <c r="I38" s="9" t="inlineStr">
        <is>
          <t xml:space="preserve">Écart d'acquisition (goodwill)</t>
        </is>
      </c>
      <c r="J38" s="10" t="inlineStr">
        <is>
          <t xml:space="preserve">AN_GW</t>
        </is>
      </c>
      <c r="K38" s="10">
        <v>0</v>
      </c>
    </row>
    <row r="39">
      <c r="A39" s="20" t="inlineStr">
        <is>
          <t xml:space="preserve">168</t>
        </is>
      </c>
      <c r="B39" s="9" t="inlineStr">
        <is>
          <t xml:space="preserve">Autres emprunts et dettes assimilées</t>
        </is>
      </c>
      <c r="C39" s="21" t="inlineStr">
        <is>
          <t xml:space="preserve">اقتراضات وديون مماثلة أخرى</t>
        </is>
      </c>
      <c r="D39" s="10" t="inlineStr">
        <is>
          <t xml:space="preserve">1</t>
        </is>
      </c>
      <c r="E39" s="10" t="inlineStr">
        <is>
          <t xml:space="preserve">Compte</t>
        </is>
      </c>
      <c r="F39" s="10" t="inlineStr">
        <is>
          <t xml:space="preserve">PN_EMP</t>
        </is>
      </c>
      <c r="H39" s="20" t="inlineStr">
        <is>
          <t xml:space="preserve">208</t>
        </is>
      </c>
      <c r="I39" s="9" t="inlineStr">
        <is>
          <t xml:space="preserve">Autres immobilisations incorporelles</t>
        </is>
      </c>
      <c r="J39" s="10" t="inlineStr">
        <is>
          <t xml:space="preserve">AN_INC</t>
        </is>
      </c>
      <c r="K39" s="10">
        <v>0</v>
      </c>
    </row>
    <row r="40">
      <c r="A40" s="20" t="inlineStr">
        <is>
          <t xml:space="preserve">17</t>
        </is>
      </c>
      <c r="B40" s="9" t="inlineStr">
        <is>
          <t xml:space="preserve">Dettes rattachées à des participations</t>
        </is>
      </c>
      <c r="C40" s="21" t="inlineStr">
        <is>
          <t xml:space="preserve">الديون الملحقة بمساهمات</t>
        </is>
      </c>
      <c r="D40" s="10" t="inlineStr">
        <is>
          <t xml:space="preserve">1</t>
        </is>
      </c>
      <c r="E40" s="10" t="inlineStr">
        <is>
          <t xml:space="preserve">Compte</t>
        </is>
      </c>
      <c r="F40" s="10" t="inlineStr">
        <is>
          <t xml:space="preserve">PN_EMP</t>
        </is>
      </c>
      <c r="H40" s="20" t="inlineStr">
        <is>
          <t xml:space="preserve">211</t>
        </is>
      </c>
      <c r="I40" s="9" t="inlineStr">
        <is>
          <t xml:space="preserve">Terrains</t>
        </is>
      </c>
      <c r="J40" s="10" t="inlineStr">
        <is>
          <t xml:space="preserve">AN_TER</t>
        </is>
      </c>
      <c r="K40" s="10">
        <v>0</v>
      </c>
    </row>
    <row r="41">
      <c r="A41" s="23" t="inlineStr">
        <is>
          <t xml:space="preserve">20</t>
        </is>
      </c>
      <c r="B41" s="23" t="inlineStr">
        <is>
          <t xml:space="preserve">Immobilisations incorporelles</t>
        </is>
      </c>
      <c r="C41" s="23" t="inlineStr">
        <is>
          <t xml:space="preserve">التثبيتات المعنوية</t>
        </is>
      </c>
      <c r="D41" s="10" t="inlineStr">
        <is>
          <t xml:space="preserve">2</t>
        </is>
      </c>
      <c r="E41" s="10" t="inlineStr">
        <is>
          <t xml:space="preserve">Rubrique</t>
        </is>
      </c>
      <c r="F41" s="10"/>
      <c r="H41" s="20" t="inlineStr">
        <is>
          <t xml:space="preserve">212</t>
        </is>
      </c>
      <c r="I41" s="9" t="inlineStr">
        <is>
          <t xml:space="preserve">Agencements et aménagements de terrain</t>
        </is>
      </c>
      <c r="J41" s="10" t="inlineStr">
        <is>
          <t xml:space="preserve">AN_AUT</t>
        </is>
      </c>
      <c r="K41" s="10">
        <v>0</v>
      </c>
    </row>
    <row r="42">
      <c r="A42" s="20" t="inlineStr">
        <is>
          <t xml:space="preserve">203</t>
        </is>
      </c>
      <c r="B42" s="9" t="inlineStr">
        <is>
          <t xml:space="preserve">Frais de développement immobilisables</t>
        </is>
      </c>
      <c r="C42" s="21" t="inlineStr">
        <is>
          <t xml:space="preserve">مصاريف التطوير القابلة للتثبيت</t>
        </is>
      </c>
      <c r="D42" s="10" t="inlineStr">
        <is>
          <t xml:space="preserve">2</t>
        </is>
      </c>
      <c r="E42" s="10" t="inlineStr">
        <is>
          <t xml:space="preserve">Compte</t>
        </is>
      </c>
      <c r="F42" s="10" t="inlineStr">
        <is>
          <t xml:space="preserve">AN_INC</t>
        </is>
      </c>
      <c r="H42" s="20" t="inlineStr">
        <is>
          <t xml:space="preserve">213</t>
        </is>
      </c>
      <c r="I42" s="9" t="inlineStr">
        <is>
          <t xml:space="preserve">Constructions</t>
        </is>
      </c>
      <c r="J42" s="10" t="inlineStr">
        <is>
          <t xml:space="preserve">AN_BAT</t>
        </is>
      </c>
      <c r="K42" s="10">
        <v>0</v>
      </c>
    </row>
    <row r="43">
      <c r="A43" s="20" t="inlineStr">
        <is>
          <t xml:space="preserve">204</t>
        </is>
      </c>
      <c r="B43" s="9" t="inlineStr">
        <is>
          <t xml:space="preserve">Logiciels informatiques et assimilés</t>
        </is>
      </c>
      <c r="C43" s="21" t="inlineStr">
        <is>
          <t xml:space="preserve">برمجيات المعلوماتية وما شابهها</t>
        </is>
      </c>
      <c r="D43" s="10" t="inlineStr">
        <is>
          <t xml:space="preserve">2</t>
        </is>
      </c>
      <c r="E43" s="10" t="inlineStr">
        <is>
          <t xml:space="preserve">Compte</t>
        </is>
      </c>
      <c r="F43" s="10" t="inlineStr">
        <is>
          <t xml:space="preserve">AN_INC</t>
        </is>
      </c>
      <c r="H43" s="20" t="inlineStr">
        <is>
          <t xml:space="preserve">215</t>
        </is>
      </c>
      <c r="I43" s="9" t="inlineStr">
        <is>
          <t xml:space="preserve">Installations techniques, matériel et outillage</t>
        </is>
      </c>
      <c r="J43" s="10" t="inlineStr">
        <is>
          <t xml:space="preserve">AN_AUT</t>
        </is>
      </c>
      <c r="K43" s="10">
        <v>0</v>
      </c>
    </row>
    <row r="44">
      <c r="A44" s="20" t="inlineStr">
        <is>
          <t xml:space="preserve">205</t>
        </is>
      </c>
      <c r="B44" s="9" t="inlineStr">
        <is>
          <t xml:space="preserve">Concessions, brevets, licences, marques</t>
        </is>
      </c>
      <c r="C44" s="21" t="inlineStr">
        <is>
          <t xml:space="preserve">الامتيازات وبراءات الاختراع والرخص والعلامات</t>
        </is>
      </c>
      <c r="D44" s="10" t="inlineStr">
        <is>
          <t xml:space="preserve">2</t>
        </is>
      </c>
      <c r="E44" s="10" t="inlineStr">
        <is>
          <t xml:space="preserve">Compte</t>
        </is>
      </c>
      <c r="F44" s="10" t="inlineStr">
        <is>
          <t xml:space="preserve">AN_INC</t>
        </is>
      </c>
      <c r="H44" s="20" t="inlineStr">
        <is>
          <t xml:space="preserve">218</t>
        </is>
      </c>
      <c r="I44" s="9" t="inlineStr">
        <is>
          <t xml:space="preserve">Autres immobilisations corporelles</t>
        </is>
      </c>
      <c r="J44" s="10" t="inlineStr">
        <is>
          <t xml:space="preserve">AN_AUT</t>
        </is>
      </c>
      <c r="K44" s="10">
        <v>0</v>
      </c>
    </row>
    <row r="45">
      <c r="A45" s="20" t="inlineStr">
        <is>
          <t xml:space="preserve">207</t>
        </is>
      </c>
      <c r="B45" s="9" t="inlineStr">
        <is>
          <t xml:space="preserve">Écart d'acquisition (goodwill)</t>
        </is>
      </c>
      <c r="C45" s="21" t="inlineStr">
        <is>
          <t xml:space="preserve">فارق الشراء</t>
        </is>
      </c>
      <c r="D45" s="10" t="inlineStr">
        <is>
          <t xml:space="preserve">2</t>
        </is>
      </c>
      <c r="E45" s="10" t="inlineStr">
        <is>
          <t xml:space="preserve">Compte</t>
        </is>
      </c>
      <c r="F45" s="10" t="inlineStr">
        <is>
          <t xml:space="preserve">AN_GW</t>
        </is>
      </c>
      <c r="H45" s="20" t="inlineStr">
        <is>
          <t xml:space="preserve">2182</t>
        </is>
      </c>
      <c r="I45" s="9" t="inlineStr">
        <is>
          <t xml:space="preserve">Matériel de transport</t>
        </is>
      </c>
      <c r="J45" s="10" t="inlineStr">
        <is>
          <t xml:space="preserve">AN_AUT</t>
        </is>
      </c>
      <c r="K45" s="10">
        <v>0</v>
      </c>
    </row>
    <row r="46">
      <c r="A46" s="20" t="inlineStr">
        <is>
          <t xml:space="preserve">208</t>
        </is>
      </c>
      <c r="B46" s="9" t="inlineStr">
        <is>
          <t xml:space="preserve">Autres immobilisations incorporelles</t>
        </is>
      </c>
      <c r="C46" s="21" t="inlineStr">
        <is>
          <t xml:space="preserve">تثبيتات معنوية أخرى</t>
        </is>
      </c>
      <c r="D46" s="10" t="inlineStr">
        <is>
          <t xml:space="preserve">2</t>
        </is>
      </c>
      <c r="E46" s="10" t="inlineStr">
        <is>
          <t xml:space="preserve">Compte</t>
        </is>
      </c>
      <c r="F46" s="10" t="inlineStr">
        <is>
          <t xml:space="preserve">AN_INC</t>
        </is>
      </c>
      <c r="H46" s="20" t="inlineStr">
        <is>
          <t xml:space="preserve">2183</t>
        </is>
      </c>
      <c r="I46" s="9" t="inlineStr">
        <is>
          <t xml:space="preserve">Matériel de bureau et informatique</t>
        </is>
      </c>
      <c r="J46" s="10" t="inlineStr">
        <is>
          <t xml:space="preserve">AN_AUT</t>
        </is>
      </c>
      <c r="K46" s="10">
        <v>0</v>
      </c>
    </row>
    <row r="47">
      <c r="A47" s="23" t="inlineStr">
        <is>
          <t xml:space="preserve">21</t>
        </is>
      </c>
      <c r="B47" s="23" t="inlineStr">
        <is>
          <t xml:space="preserve">Immobilisations corporelles</t>
        </is>
      </c>
      <c r="C47" s="23" t="inlineStr">
        <is>
          <t xml:space="preserve">التثبيتات العينية</t>
        </is>
      </c>
      <c r="D47" s="10" t="inlineStr">
        <is>
          <t xml:space="preserve">2</t>
        </is>
      </c>
      <c r="E47" s="10" t="inlineStr">
        <is>
          <t xml:space="preserve">Rubrique</t>
        </is>
      </c>
      <c r="F47" s="10"/>
      <c r="H47" s="20" t="inlineStr">
        <is>
          <t xml:space="preserve">2184</t>
        </is>
      </c>
      <c r="I47" s="9" t="inlineStr">
        <is>
          <t xml:space="preserve">Mobilier</t>
        </is>
      </c>
      <c r="J47" s="10" t="inlineStr">
        <is>
          <t xml:space="preserve">AN_AUT</t>
        </is>
      </c>
      <c r="K47" s="10">
        <v>0</v>
      </c>
    </row>
    <row r="48">
      <c r="A48" s="20" t="inlineStr">
        <is>
          <t xml:space="preserve">211</t>
        </is>
      </c>
      <c r="B48" s="9" t="inlineStr">
        <is>
          <t xml:space="preserve">Terrains</t>
        </is>
      </c>
      <c r="C48" s="21" t="inlineStr">
        <is>
          <t xml:space="preserve">الأراضي</t>
        </is>
      </c>
      <c r="D48" s="10" t="inlineStr">
        <is>
          <t xml:space="preserve">2</t>
        </is>
      </c>
      <c r="E48" s="10" t="inlineStr">
        <is>
          <t xml:space="preserve">Compte</t>
        </is>
      </c>
      <c r="F48" s="10" t="inlineStr">
        <is>
          <t xml:space="preserve">AN_TER</t>
        </is>
      </c>
      <c r="H48" s="20" t="inlineStr">
        <is>
          <t xml:space="preserve">22</t>
        </is>
      </c>
      <c r="I48" s="9" t="inlineStr">
        <is>
          <t xml:space="preserve">Immobilisations en concession</t>
        </is>
      </c>
      <c r="J48" s="10" t="inlineStr">
        <is>
          <t xml:space="preserve">AN_CONC</t>
        </is>
      </c>
      <c r="K48" s="10">
        <v>0</v>
      </c>
    </row>
    <row r="49">
      <c r="A49" s="20" t="inlineStr">
        <is>
          <t xml:space="preserve">212</t>
        </is>
      </c>
      <c r="B49" s="9" t="inlineStr">
        <is>
          <t xml:space="preserve">Agencements et aménagements de terrain</t>
        </is>
      </c>
      <c r="C49" s="21" t="inlineStr">
        <is>
          <t xml:space="preserve">تهيئة وترتيب الأراضي</t>
        </is>
      </c>
      <c r="D49" s="10" t="inlineStr">
        <is>
          <t xml:space="preserve">2</t>
        </is>
      </c>
      <c r="E49" s="10" t="inlineStr">
        <is>
          <t xml:space="preserve">Compte</t>
        </is>
      </c>
      <c r="F49" s="10" t="inlineStr">
        <is>
          <t xml:space="preserve">AN_AUT</t>
        </is>
      </c>
      <c r="H49" s="20" t="inlineStr">
        <is>
          <t xml:space="preserve">232</t>
        </is>
      </c>
      <c r="I49" s="9" t="inlineStr">
        <is>
          <t xml:space="preserve">Immobilisations corporelles en cours</t>
        </is>
      </c>
      <c r="J49" s="10" t="inlineStr">
        <is>
          <t xml:space="preserve">AN_ENC</t>
        </is>
      </c>
      <c r="K49" s="10">
        <v>0</v>
      </c>
    </row>
    <row r="50">
      <c r="A50" s="20" t="inlineStr">
        <is>
          <t xml:space="preserve">213</t>
        </is>
      </c>
      <c r="B50" s="9" t="inlineStr">
        <is>
          <t xml:space="preserve">Constructions</t>
        </is>
      </c>
      <c r="C50" s="21" t="inlineStr">
        <is>
          <t xml:space="preserve">المباني</t>
        </is>
      </c>
      <c r="D50" s="10" t="inlineStr">
        <is>
          <t xml:space="preserve">2</t>
        </is>
      </c>
      <c r="E50" s="10" t="inlineStr">
        <is>
          <t xml:space="preserve">Compte</t>
        </is>
      </c>
      <c r="F50" s="10" t="inlineStr">
        <is>
          <t xml:space="preserve">AN_BAT</t>
        </is>
      </c>
      <c r="H50" s="20" t="inlineStr">
        <is>
          <t xml:space="preserve">237</t>
        </is>
      </c>
      <c r="I50" s="9" t="inlineStr">
        <is>
          <t xml:space="preserve">Immobilisations incorporelles en cours</t>
        </is>
      </c>
      <c r="J50" s="10" t="inlineStr">
        <is>
          <t xml:space="preserve">AN_ENC</t>
        </is>
      </c>
      <c r="K50" s="10">
        <v>0</v>
      </c>
    </row>
    <row r="51">
      <c r="A51" s="20" t="inlineStr">
        <is>
          <t xml:space="preserve">215</t>
        </is>
      </c>
      <c r="B51" s="9" t="inlineStr">
        <is>
          <t xml:space="preserve">Installations techniques, matériel et outillage</t>
        </is>
      </c>
      <c r="C51" s="21" t="inlineStr">
        <is>
          <t xml:space="preserve">المنشآت التقنية والمعدات والأدوات</t>
        </is>
      </c>
      <c r="D51" s="10" t="inlineStr">
        <is>
          <t xml:space="preserve">2</t>
        </is>
      </c>
      <c r="E51" s="10" t="inlineStr">
        <is>
          <t xml:space="preserve">Compte</t>
        </is>
      </c>
      <c r="F51" s="10" t="inlineStr">
        <is>
          <t xml:space="preserve">AN_AUT</t>
        </is>
      </c>
      <c r="H51" s="20" t="inlineStr">
        <is>
          <t xml:space="preserve">261</t>
        </is>
      </c>
      <c r="I51" s="9" t="inlineStr">
        <is>
          <t xml:space="preserve">Titres de filiales</t>
        </is>
      </c>
      <c r="J51" s="10" t="inlineStr">
        <is>
          <t xml:space="preserve">AN_FIN</t>
        </is>
      </c>
      <c r="K51" s="10">
        <v>0</v>
      </c>
    </row>
    <row r="52">
      <c r="A52" s="20" t="inlineStr">
        <is>
          <t xml:space="preserve">218</t>
        </is>
      </c>
      <c r="B52" s="9" t="inlineStr">
        <is>
          <t xml:space="preserve">Autres immobilisations corporelles</t>
        </is>
      </c>
      <c r="C52" s="21" t="inlineStr">
        <is>
          <t xml:space="preserve">تثبيتات عينية أخرى</t>
        </is>
      </c>
      <c r="D52" s="10" t="inlineStr">
        <is>
          <t xml:space="preserve">2</t>
        </is>
      </c>
      <c r="E52" s="10" t="inlineStr">
        <is>
          <t xml:space="preserve">Compte</t>
        </is>
      </c>
      <c r="F52" s="10" t="inlineStr">
        <is>
          <t xml:space="preserve">AN_AUT</t>
        </is>
      </c>
      <c r="H52" s="20" t="inlineStr">
        <is>
          <t xml:space="preserve">265</t>
        </is>
      </c>
      <c r="I52" s="9" t="inlineStr">
        <is>
          <t xml:space="preserve">Titres mis en équivalence</t>
        </is>
      </c>
      <c r="J52" s="10" t="inlineStr">
        <is>
          <t xml:space="preserve">AN_FIN</t>
        </is>
      </c>
      <c r="K52" s="10">
        <v>0</v>
      </c>
    </row>
    <row r="53">
      <c r="A53" s="20" t="inlineStr">
        <is>
          <t xml:space="preserve">2182</t>
        </is>
      </c>
      <c r="B53" s="9" t="inlineStr">
        <is>
          <t xml:space="preserve">Matériel de transport</t>
        </is>
      </c>
      <c r="C53" s="21" t="inlineStr">
        <is>
          <t xml:space="preserve">معدات النقل</t>
        </is>
      </c>
      <c r="D53" s="10" t="inlineStr">
        <is>
          <t xml:space="preserve">2</t>
        </is>
      </c>
      <c r="E53" s="10" t="inlineStr">
        <is>
          <t xml:space="preserve">Compte</t>
        </is>
      </c>
      <c r="F53" s="10" t="inlineStr">
        <is>
          <t xml:space="preserve">AN_AUT</t>
        </is>
      </c>
      <c r="H53" s="20" t="inlineStr">
        <is>
          <t xml:space="preserve">274</t>
        </is>
      </c>
      <c r="I53" s="9" t="inlineStr">
        <is>
          <t xml:space="preserve">Prêts et créances sur contrat de location-financement</t>
        </is>
      </c>
      <c r="J53" s="10" t="inlineStr">
        <is>
          <t xml:space="preserve">AN_PRET</t>
        </is>
      </c>
      <c r="K53" s="10">
        <v>0</v>
      </c>
    </row>
    <row r="54">
      <c r="A54" s="20" t="inlineStr">
        <is>
          <t xml:space="preserve">2183</t>
        </is>
      </c>
      <c r="B54" s="9" t="inlineStr">
        <is>
          <t xml:space="preserve">Matériel de bureau et informatique</t>
        </is>
      </c>
      <c r="C54" s="21" t="inlineStr">
        <is>
          <t xml:space="preserve">معدات المكتب والإعلام الآلي</t>
        </is>
      </c>
      <c r="D54" s="10" t="inlineStr">
        <is>
          <t xml:space="preserve">2</t>
        </is>
      </c>
      <c r="E54" s="10" t="inlineStr">
        <is>
          <t xml:space="preserve">Compte</t>
        </is>
      </c>
      <c r="F54" s="10" t="inlineStr">
        <is>
          <t xml:space="preserve">AN_AUT</t>
        </is>
      </c>
      <c r="H54" s="20" t="inlineStr">
        <is>
          <t xml:space="preserve">275</t>
        </is>
      </c>
      <c r="I54" s="9" t="inlineStr">
        <is>
          <t xml:space="preserve">Dépôts et cautionnements versés</t>
        </is>
      </c>
      <c r="J54" s="10" t="inlineStr">
        <is>
          <t xml:space="preserve">AN_PRET</t>
        </is>
      </c>
      <c r="K54" s="10">
        <v>0</v>
      </c>
    </row>
    <row r="55">
      <c r="A55" s="20" t="inlineStr">
        <is>
          <t xml:space="preserve">2184</t>
        </is>
      </c>
      <c r="B55" s="9" t="inlineStr">
        <is>
          <t xml:space="preserve">Mobilier</t>
        </is>
      </c>
      <c r="C55" s="21" t="inlineStr">
        <is>
          <t xml:space="preserve">الأثاث</t>
        </is>
      </c>
      <c r="D55" s="10" t="inlineStr">
        <is>
          <t xml:space="preserve">2</t>
        </is>
      </c>
      <c r="E55" s="10" t="inlineStr">
        <is>
          <t xml:space="preserve">Compte</t>
        </is>
      </c>
      <c r="F55" s="10" t="inlineStr">
        <is>
          <t xml:space="preserve">AN_AUT</t>
        </is>
      </c>
      <c r="H55" s="20" t="inlineStr">
        <is>
          <t xml:space="preserve">280</t>
        </is>
      </c>
      <c r="I55" s="9" t="inlineStr">
        <is>
          <t xml:space="preserve">Amortissement des immobilisations incorporelles</t>
        </is>
      </c>
      <c r="J55" s="10" t="inlineStr">
        <is>
          <t xml:space="preserve">AN_INC</t>
        </is>
      </c>
      <c r="K55" s="10">
        <v>1</v>
      </c>
    </row>
    <row r="56">
      <c r="A56" s="20" t="inlineStr">
        <is>
          <t xml:space="preserve">22</t>
        </is>
      </c>
      <c r="B56" s="9" t="inlineStr">
        <is>
          <t xml:space="preserve">Immobilisations en concession</t>
        </is>
      </c>
      <c r="C56" s="21" t="inlineStr">
        <is>
          <t xml:space="preserve">التثبيتات الممنوحة في شكل امتياز</t>
        </is>
      </c>
      <c r="D56" s="10" t="inlineStr">
        <is>
          <t xml:space="preserve">2</t>
        </is>
      </c>
      <c r="E56" s="10" t="inlineStr">
        <is>
          <t xml:space="preserve">Compte</t>
        </is>
      </c>
      <c r="F56" s="10" t="inlineStr">
        <is>
          <t xml:space="preserve">AN_CONC</t>
        </is>
      </c>
      <c r="H56" s="20" t="inlineStr">
        <is>
          <t xml:space="preserve">281</t>
        </is>
      </c>
      <c r="I56" s="9" t="inlineStr">
        <is>
          <t xml:space="preserve">Amortissement des immobilisations corporelles</t>
        </is>
      </c>
      <c r="J56" s="10" t="inlineStr">
        <is>
          <t xml:space="preserve">AN_AUT</t>
        </is>
      </c>
      <c r="K56" s="10">
        <v>1</v>
      </c>
    </row>
    <row r="57">
      <c r="A57" s="23" t="inlineStr">
        <is>
          <t xml:space="preserve">23</t>
        </is>
      </c>
      <c r="B57" s="23" t="inlineStr">
        <is>
          <t xml:space="preserve">Immobilisations en cours</t>
        </is>
      </c>
      <c r="C57" s="23" t="inlineStr">
        <is>
          <t xml:space="preserve">التثبيتات الجاري إنجازها</t>
        </is>
      </c>
      <c r="D57" s="10" t="inlineStr">
        <is>
          <t xml:space="preserve">2</t>
        </is>
      </c>
      <c r="E57" s="10" t="inlineStr">
        <is>
          <t xml:space="preserve">Rubrique</t>
        </is>
      </c>
      <c r="F57" s="10"/>
      <c r="H57" s="20" t="inlineStr">
        <is>
          <t xml:space="preserve">2813</t>
        </is>
      </c>
      <c r="I57" s="9" t="inlineStr">
        <is>
          <t xml:space="preserve">Amortissement des constructions</t>
        </is>
      </c>
      <c r="J57" s="10" t="inlineStr">
        <is>
          <t xml:space="preserve">AN_BAT</t>
        </is>
      </c>
      <c r="K57" s="10">
        <v>1</v>
      </c>
    </row>
    <row r="58">
      <c r="A58" s="20" t="inlineStr">
        <is>
          <t xml:space="preserve">232</t>
        </is>
      </c>
      <c r="B58" s="9" t="inlineStr">
        <is>
          <t xml:space="preserve">Immobilisations corporelles en cours</t>
        </is>
      </c>
      <c r="C58" s="21" t="inlineStr">
        <is>
          <t xml:space="preserve">تثبيتات عينية جاري إنجازها</t>
        </is>
      </c>
      <c r="D58" s="10" t="inlineStr">
        <is>
          <t xml:space="preserve">2</t>
        </is>
      </c>
      <c r="E58" s="10" t="inlineStr">
        <is>
          <t xml:space="preserve">Compte</t>
        </is>
      </c>
      <c r="F58" s="10" t="inlineStr">
        <is>
          <t xml:space="preserve">AN_ENC</t>
        </is>
      </c>
      <c r="H58" s="20" t="inlineStr">
        <is>
          <t xml:space="preserve">2818</t>
        </is>
      </c>
      <c r="I58" s="9" t="inlineStr">
        <is>
          <t xml:space="preserve">Amortissement des autres immobilisations corporelles</t>
        </is>
      </c>
      <c r="J58" s="10" t="inlineStr">
        <is>
          <t xml:space="preserve">AN_AUT</t>
        </is>
      </c>
      <c r="K58" s="10">
        <v>1</v>
      </c>
    </row>
    <row r="59">
      <c r="A59" s="20" t="inlineStr">
        <is>
          <t xml:space="preserve">237</t>
        </is>
      </c>
      <c r="B59" s="9" t="inlineStr">
        <is>
          <t xml:space="preserve">Immobilisations incorporelles en cours</t>
        </is>
      </c>
      <c r="C59" s="21" t="inlineStr">
        <is>
          <t xml:space="preserve">تثبيتات معنوية جاري إنجازها</t>
        </is>
      </c>
      <c r="D59" s="10" t="inlineStr">
        <is>
          <t xml:space="preserve">2</t>
        </is>
      </c>
      <c r="E59" s="10" t="inlineStr">
        <is>
          <t xml:space="preserve">Compte</t>
        </is>
      </c>
      <c r="F59" s="10" t="inlineStr">
        <is>
          <t xml:space="preserve">AN_ENC</t>
        </is>
      </c>
      <c r="H59" s="20" t="inlineStr">
        <is>
          <t xml:space="preserve">29</t>
        </is>
      </c>
      <c r="I59" s="9" t="inlineStr">
        <is>
          <t xml:space="preserve">Pertes de valeur sur immobilisations</t>
        </is>
      </c>
      <c r="J59" s="10" t="inlineStr">
        <is>
          <t xml:space="preserve">AN_AUT</t>
        </is>
      </c>
      <c r="K59" s="10">
        <v>1</v>
      </c>
    </row>
    <row r="60">
      <c r="A60" s="23" t="inlineStr">
        <is>
          <t xml:space="preserve">26</t>
        </is>
      </c>
      <c r="B60" s="23" t="inlineStr">
        <is>
          <t xml:space="preserve">Participations et créances rattachées</t>
        </is>
      </c>
      <c r="C60" s="23" t="inlineStr">
        <is>
          <t xml:space="preserve">المساهمات والديون الملحقة بها</t>
        </is>
      </c>
      <c r="D60" s="10" t="inlineStr">
        <is>
          <t xml:space="preserve">2</t>
        </is>
      </c>
      <c r="E60" s="10" t="inlineStr">
        <is>
          <t xml:space="preserve">Rubrique</t>
        </is>
      </c>
      <c r="F60" s="10"/>
      <c r="H60" s="20" t="inlineStr">
        <is>
          <t xml:space="preserve">30</t>
        </is>
      </c>
      <c r="I60" s="9" t="inlineStr">
        <is>
          <t xml:space="preserve">Stocks de marchandises</t>
        </is>
      </c>
      <c r="J60" s="10" t="inlineStr">
        <is>
          <t xml:space="preserve">AC_STK</t>
        </is>
      </c>
      <c r="K60" s="10">
        <v>0</v>
      </c>
    </row>
    <row r="61">
      <c r="A61" s="20" t="inlineStr">
        <is>
          <t xml:space="preserve">261</t>
        </is>
      </c>
      <c r="B61" s="9" t="inlineStr">
        <is>
          <t xml:space="preserve">Titres de filiales</t>
        </is>
      </c>
      <c r="C61" s="21" t="inlineStr">
        <is>
          <t xml:space="preserve">سندات الفروع</t>
        </is>
      </c>
      <c r="D61" s="10" t="inlineStr">
        <is>
          <t xml:space="preserve">2</t>
        </is>
      </c>
      <c r="E61" s="10" t="inlineStr">
        <is>
          <t xml:space="preserve">Compte</t>
        </is>
      </c>
      <c r="F61" s="10" t="inlineStr">
        <is>
          <t xml:space="preserve">AN_FIN</t>
        </is>
      </c>
      <c r="H61" s="20" t="inlineStr">
        <is>
          <t xml:space="preserve">31</t>
        </is>
      </c>
      <c r="I61" s="9" t="inlineStr">
        <is>
          <t xml:space="preserve">Matières premières et fournitures</t>
        </is>
      </c>
      <c r="J61" s="10" t="inlineStr">
        <is>
          <t xml:space="preserve">AC_STK</t>
        </is>
      </c>
      <c r="K61" s="10">
        <v>0</v>
      </c>
    </row>
    <row r="62">
      <c r="A62" s="20" t="inlineStr">
        <is>
          <t xml:space="preserve">265</t>
        </is>
      </c>
      <c r="B62" s="9" t="inlineStr">
        <is>
          <t xml:space="preserve">Titres mis en équivalence</t>
        </is>
      </c>
      <c r="C62" s="21" t="inlineStr">
        <is>
          <t xml:space="preserve">السندات الموضوعة موضع المعادلة</t>
        </is>
      </c>
      <c r="D62" s="10" t="inlineStr">
        <is>
          <t xml:space="preserve">2</t>
        </is>
      </c>
      <c r="E62" s="10" t="inlineStr">
        <is>
          <t xml:space="preserve">Compte</t>
        </is>
      </c>
      <c r="F62" s="10" t="inlineStr">
        <is>
          <t xml:space="preserve">AN_FIN</t>
        </is>
      </c>
      <c r="H62" s="20" t="inlineStr">
        <is>
          <t xml:space="preserve">32</t>
        </is>
      </c>
      <c r="I62" s="9" t="inlineStr">
        <is>
          <t xml:space="preserve">Autres approvisionnements</t>
        </is>
      </c>
      <c r="J62" s="10" t="inlineStr">
        <is>
          <t xml:space="preserve">AC_STK</t>
        </is>
      </c>
      <c r="K62" s="10">
        <v>0</v>
      </c>
    </row>
    <row r="63">
      <c r="A63" s="23" t="inlineStr">
        <is>
          <t xml:space="preserve">27</t>
        </is>
      </c>
      <c r="B63" s="23" t="inlineStr">
        <is>
          <t xml:space="preserve">Autres immobilisations financières</t>
        </is>
      </c>
      <c r="C63" s="23" t="inlineStr">
        <is>
          <t xml:space="preserve">تثبيتات مالية أخرى</t>
        </is>
      </c>
      <c r="D63" s="10" t="inlineStr">
        <is>
          <t xml:space="preserve">2</t>
        </is>
      </c>
      <c r="E63" s="10" t="inlineStr">
        <is>
          <t xml:space="preserve">Rubrique</t>
        </is>
      </c>
      <c r="F63" s="10"/>
      <c r="H63" s="20" t="inlineStr">
        <is>
          <t xml:space="preserve">33</t>
        </is>
      </c>
      <c r="I63" s="9" t="inlineStr">
        <is>
          <t xml:space="preserve">En-cours de production de biens</t>
        </is>
      </c>
      <c r="J63" s="10" t="inlineStr">
        <is>
          <t xml:space="preserve">AC_STK</t>
        </is>
      </c>
      <c r="K63" s="10">
        <v>0</v>
      </c>
    </row>
    <row r="64">
      <c r="A64" s="20" t="inlineStr">
        <is>
          <t xml:space="preserve">274</t>
        </is>
      </c>
      <c r="B64" s="9" t="inlineStr">
        <is>
          <t xml:space="preserve">Prêts et créances sur contrat de location-financement</t>
        </is>
      </c>
      <c r="C64" s="21" t="inlineStr">
        <is>
          <t xml:space="preserve">القروض والديون على عقد الإيجار التمويلي</t>
        </is>
      </c>
      <c r="D64" s="10" t="inlineStr">
        <is>
          <t xml:space="preserve">2</t>
        </is>
      </c>
      <c r="E64" s="10" t="inlineStr">
        <is>
          <t xml:space="preserve">Compte</t>
        </is>
      </c>
      <c r="F64" s="10" t="inlineStr">
        <is>
          <t xml:space="preserve">AN_PRET</t>
        </is>
      </c>
      <c r="H64" s="20" t="inlineStr">
        <is>
          <t xml:space="preserve">34</t>
        </is>
      </c>
      <c r="I64" s="9" t="inlineStr">
        <is>
          <t xml:space="preserve">En-cours de production de services</t>
        </is>
      </c>
      <c r="J64" s="10" t="inlineStr">
        <is>
          <t xml:space="preserve">AC_STK</t>
        </is>
      </c>
      <c r="K64" s="10">
        <v>0</v>
      </c>
    </row>
    <row r="65">
      <c r="A65" s="20" t="inlineStr">
        <is>
          <t xml:space="preserve">275</t>
        </is>
      </c>
      <c r="B65" s="9" t="inlineStr">
        <is>
          <t xml:space="preserve">Dépôts et cautionnements versés</t>
        </is>
      </c>
      <c r="C65" s="21" t="inlineStr">
        <is>
          <t xml:space="preserve">الودائع والكفالات المدفوعة</t>
        </is>
      </c>
      <c r="D65" s="10" t="inlineStr">
        <is>
          <t xml:space="preserve">2</t>
        </is>
      </c>
      <c r="E65" s="10" t="inlineStr">
        <is>
          <t xml:space="preserve">Compte</t>
        </is>
      </c>
      <c r="F65" s="10" t="inlineStr">
        <is>
          <t xml:space="preserve">AN_PRET</t>
        </is>
      </c>
      <c r="H65" s="20" t="inlineStr">
        <is>
          <t xml:space="preserve">35</t>
        </is>
      </c>
      <c r="I65" s="9" t="inlineStr">
        <is>
          <t xml:space="preserve">Stocks de produits finis</t>
        </is>
      </c>
      <c r="J65" s="10" t="inlineStr">
        <is>
          <t xml:space="preserve">AC_STK</t>
        </is>
      </c>
      <c r="K65" s="10">
        <v>0</v>
      </c>
    </row>
    <row r="66">
      <c r="A66" s="23" t="inlineStr">
        <is>
          <t xml:space="preserve">28</t>
        </is>
      </c>
      <c r="B66" s="23" t="inlineStr">
        <is>
          <t xml:space="preserve">Amortissement des immobilisations</t>
        </is>
      </c>
      <c r="C66" s="23" t="inlineStr">
        <is>
          <t xml:space="preserve">اهتلاك التثبيتات</t>
        </is>
      </c>
      <c r="D66" s="10" t="inlineStr">
        <is>
          <t xml:space="preserve">2</t>
        </is>
      </c>
      <c r="E66" s="10" t="inlineStr">
        <is>
          <t xml:space="preserve">Rubrique</t>
        </is>
      </c>
      <c r="F66" s="10"/>
      <c r="H66" s="20" t="inlineStr">
        <is>
          <t xml:space="preserve">36</t>
        </is>
      </c>
      <c r="I66" s="9" t="inlineStr">
        <is>
          <t xml:space="preserve">Stocks provenant d'immobilisations</t>
        </is>
      </c>
      <c r="J66" s="10" t="inlineStr">
        <is>
          <t xml:space="preserve">AC_STK</t>
        </is>
      </c>
      <c r="K66" s="10">
        <v>0</v>
      </c>
    </row>
    <row r="67">
      <c r="A67" s="20" t="inlineStr">
        <is>
          <t xml:space="preserve">280</t>
        </is>
      </c>
      <c r="B67" s="9" t="inlineStr">
        <is>
          <t xml:space="preserve">Amortissement des immobilisations incorporelles</t>
        </is>
      </c>
      <c r="C67" s="21" t="inlineStr">
        <is>
          <t xml:space="preserve">اهتلاك التثبيتات المعنوية</t>
        </is>
      </c>
      <c r="D67" s="10" t="inlineStr">
        <is>
          <t xml:space="preserve">2</t>
        </is>
      </c>
      <c r="E67" s="10" t="inlineStr">
        <is>
          <t xml:space="preserve">Compte</t>
        </is>
      </c>
      <c r="F67" s="10" t="inlineStr">
        <is>
          <t xml:space="preserve">AN_INC</t>
        </is>
      </c>
      <c r="H67" s="20" t="inlineStr">
        <is>
          <t xml:space="preserve">37</t>
        </is>
      </c>
      <c r="I67" s="9" t="inlineStr">
        <is>
          <t xml:space="preserve">Stocks à l'extérieur (en consignation, en dépôt)</t>
        </is>
      </c>
      <c r="J67" s="10" t="inlineStr">
        <is>
          <t xml:space="preserve">AC_STK</t>
        </is>
      </c>
      <c r="K67" s="10">
        <v>0</v>
      </c>
    </row>
    <row r="68">
      <c r="A68" s="20" t="inlineStr">
        <is>
          <t xml:space="preserve">281</t>
        </is>
      </c>
      <c r="B68" s="9" t="inlineStr">
        <is>
          <t xml:space="preserve">Amortissement des immobilisations corporelles</t>
        </is>
      </c>
      <c r="C68" s="21" t="inlineStr">
        <is>
          <t xml:space="preserve">اهتلاك التثبيتات العينية</t>
        </is>
      </c>
      <c r="D68" s="10" t="inlineStr">
        <is>
          <t xml:space="preserve">2</t>
        </is>
      </c>
      <c r="E68" s="10" t="inlineStr">
        <is>
          <t xml:space="preserve">Compte</t>
        </is>
      </c>
      <c r="F68" s="10" t="inlineStr">
        <is>
          <t xml:space="preserve">AN_AUT</t>
        </is>
      </c>
      <c r="H68" s="20" t="inlineStr">
        <is>
          <t xml:space="preserve">38</t>
        </is>
      </c>
      <c r="I68" s="9" t="inlineStr">
        <is>
          <t xml:space="preserve">Achats stockés</t>
        </is>
      </c>
      <c r="J68" s="10" t="inlineStr">
        <is>
          <t xml:space="preserve">AC_STK</t>
        </is>
      </c>
      <c r="K68" s="10">
        <v>0</v>
      </c>
    </row>
    <row r="69">
      <c r="A69" s="20" t="inlineStr">
        <is>
          <t xml:space="preserve">2813</t>
        </is>
      </c>
      <c r="B69" s="9" t="inlineStr">
        <is>
          <t xml:space="preserve">Amortissement des constructions</t>
        </is>
      </c>
      <c r="C69" s="21" t="inlineStr">
        <is>
          <t xml:space="preserve">اهتلاك المباني</t>
        </is>
      </c>
      <c r="D69" s="10" t="inlineStr">
        <is>
          <t xml:space="preserve">2</t>
        </is>
      </c>
      <c r="E69" s="10" t="inlineStr">
        <is>
          <t xml:space="preserve">Compte</t>
        </is>
      </c>
      <c r="F69" s="10" t="inlineStr">
        <is>
          <t xml:space="preserve">AN_BAT</t>
        </is>
      </c>
      <c r="H69" s="20" t="inlineStr">
        <is>
          <t xml:space="preserve">39</t>
        </is>
      </c>
      <c r="I69" s="9" t="inlineStr">
        <is>
          <t xml:space="preserve">Pertes de valeur sur stocks et en-cours</t>
        </is>
      </c>
      <c r="J69" s="10" t="inlineStr">
        <is>
          <t xml:space="preserve">AC_STK</t>
        </is>
      </c>
      <c r="K69" s="10">
        <v>1</v>
      </c>
    </row>
    <row r="70">
      <c r="A70" s="20" t="inlineStr">
        <is>
          <t xml:space="preserve">2818</t>
        </is>
      </c>
      <c r="B70" s="9" t="inlineStr">
        <is>
          <t xml:space="preserve">Amortissement des autres immobilisations corporelles</t>
        </is>
      </c>
      <c r="C70" s="21" t="inlineStr">
        <is>
          <t xml:space="preserve">اهتلاك التثبيتات العينية الأخرى</t>
        </is>
      </c>
      <c r="D70" s="10" t="inlineStr">
        <is>
          <t xml:space="preserve">2</t>
        </is>
      </c>
      <c r="E70" s="10" t="inlineStr">
        <is>
          <t xml:space="preserve">Compte</t>
        </is>
      </c>
      <c r="F70" s="10" t="inlineStr">
        <is>
          <t xml:space="preserve">AN_AUT</t>
        </is>
      </c>
      <c r="H70" s="20" t="inlineStr">
        <is>
          <t xml:space="preserve">401</t>
        </is>
      </c>
      <c r="I70" s="9" t="inlineStr">
        <is>
          <t xml:space="preserve">Fournisseurs de stocks et services</t>
        </is>
      </c>
      <c r="J70" s="10" t="inlineStr">
        <is>
          <t xml:space="preserve">PC_FRN</t>
        </is>
      </c>
      <c r="K70" s="10">
        <v>0</v>
      </c>
    </row>
    <row r="71">
      <c r="A71" s="20" t="inlineStr">
        <is>
          <t xml:space="preserve">29</t>
        </is>
      </c>
      <c r="B71" s="9" t="inlineStr">
        <is>
          <t xml:space="preserve">Pertes de valeur sur immobilisations</t>
        </is>
      </c>
      <c r="C71" s="21" t="inlineStr">
        <is>
          <t xml:space="preserve">خسائر القيمة عن التثبيتات</t>
        </is>
      </c>
      <c r="D71" s="10" t="inlineStr">
        <is>
          <t xml:space="preserve">2</t>
        </is>
      </c>
      <c r="E71" s="10" t="inlineStr">
        <is>
          <t xml:space="preserve">Compte</t>
        </is>
      </c>
      <c r="F71" s="10" t="inlineStr">
        <is>
          <t xml:space="preserve">AN_AUT</t>
        </is>
      </c>
      <c r="H71" s="20" t="inlineStr">
        <is>
          <t xml:space="preserve">403</t>
        </is>
      </c>
      <c r="I71" s="9" t="inlineStr">
        <is>
          <t xml:space="preserve">Fournisseurs, effets à payer</t>
        </is>
      </c>
      <c r="J71" s="10" t="inlineStr">
        <is>
          <t xml:space="preserve">PC_FRN</t>
        </is>
      </c>
      <c r="K71" s="10">
        <v>0</v>
      </c>
    </row>
    <row r="72">
      <c r="A72" s="20" t="inlineStr">
        <is>
          <t xml:space="preserve">30</t>
        </is>
      </c>
      <c r="B72" s="9" t="inlineStr">
        <is>
          <t xml:space="preserve">Stocks de marchandises</t>
        </is>
      </c>
      <c r="C72" s="21" t="inlineStr">
        <is>
          <t xml:space="preserve">مخزونات البضائع</t>
        </is>
      </c>
      <c r="D72" s="10" t="inlineStr">
        <is>
          <t xml:space="preserve">3</t>
        </is>
      </c>
      <c r="E72" s="10" t="inlineStr">
        <is>
          <t xml:space="preserve">Compte</t>
        </is>
      </c>
      <c r="F72" s="10" t="inlineStr">
        <is>
          <t xml:space="preserve">AC_STK</t>
        </is>
      </c>
      <c r="H72" s="20" t="inlineStr">
        <is>
          <t xml:space="preserve">404</t>
        </is>
      </c>
      <c r="I72" s="9" t="inlineStr">
        <is>
          <t xml:space="preserve">Fournisseurs d'immobilisations</t>
        </is>
      </c>
      <c r="J72" s="10" t="inlineStr">
        <is>
          <t xml:space="preserve">PC_FRN</t>
        </is>
      </c>
      <c r="K72" s="10">
        <v>0</v>
      </c>
    </row>
    <row r="73">
      <c r="A73" s="20" t="inlineStr">
        <is>
          <t xml:space="preserve">31</t>
        </is>
      </c>
      <c r="B73" s="9" t="inlineStr">
        <is>
          <t xml:space="preserve">Matières premières et fournitures</t>
        </is>
      </c>
      <c r="C73" s="21" t="inlineStr">
        <is>
          <t xml:space="preserve">المواد الأولية واللوازم</t>
        </is>
      </c>
      <c r="D73" s="10" t="inlineStr">
        <is>
          <t xml:space="preserve">3</t>
        </is>
      </c>
      <c r="E73" s="10" t="inlineStr">
        <is>
          <t xml:space="preserve">Compte</t>
        </is>
      </c>
      <c r="F73" s="10" t="inlineStr">
        <is>
          <t xml:space="preserve">AC_STK</t>
        </is>
      </c>
      <c r="H73" s="20" t="inlineStr">
        <is>
          <t xml:space="preserve">408</t>
        </is>
      </c>
      <c r="I73" s="9" t="inlineStr">
        <is>
          <t xml:space="preserve">Fournisseurs, factures non parvenues</t>
        </is>
      </c>
      <c r="J73" s="10" t="inlineStr">
        <is>
          <t xml:space="preserve">PC_FRN</t>
        </is>
      </c>
      <c r="K73" s="10">
        <v>0</v>
      </c>
    </row>
    <row r="74">
      <c r="A74" s="20" t="inlineStr">
        <is>
          <t xml:space="preserve">32</t>
        </is>
      </c>
      <c r="B74" s="9" t="inlineStr">
        <is>
          <t xml:space="preserve">Autres approvisionnements</t>
        </is>
      </c>
      <c r="C74" s="21" t="inlineStr">
        <is>
          <t xml:space="preserve">تموينات أخرى</t>
        </is>
      </c>
      <c r="D74" s="10" t="inlineStr">
        <is>
          <t xml:space="preserve">3</t>
        </is>
      </c>
      <c r="E74" s="10" t="inlineStr">
        <is>
          <t xml:space="preserve">Compte</t>
        </is>
      </c>
      <c r="F74" s="10" t="inlineStr">
        <is>
          <t xml:space="preserve">AC_STK</t>
        </is>
      </c>
      <c r="H74" s="20" t="inlineStr">
        <is>
          <t xml:space="preserve">409</t>
        </is>
      </c>
      <c r="I74" s="9" t="inlineStr">
        <is>
          <t xml:space="preserve">Fournisseurs débiteurs (avances, acomptes)</t>
        </is>
      </c>
      <c r="J74" s="10" t="inlineStr">
        <is>
          <t xml:space="preserve">AC_DEB</t>
        </is>
      </c>
      <c r="K74" s="10">
        <v>0</v>
      </c>
    </row>
    <row r="75">
      <c r="A75" s="20" t="inlineStr">
        <is>
          <t xml:space="preserve">33</t>
        </is>
      </c>
      <c r="B75" s="9" t="inlineStr">
        <is>
          <t xml:space="preserve">En-cours de production de biens</t>
        </is>
      </c>
      <c r="C75" s="21" t="inlineStr">
        <is>
          <t xml:space="preserve">منتجات قيد التنفيذ — سلع</t>
        </is>
      </c>
      <c r="D75" s="10" t="inlineStr">
        <is>
          <t xml:space="preserve">3</t>
        </is>
      </c>
      <c r="E75" s="10" t="inlineStr">
        <is>
          <t xml:space="preserve">Compte</t>
        </is>
      </c>
      <c r="F75" s="10" t="inlineStr">
        <is>
          <t xml:space="preserve">AC_STK</t>
        </is>
      </c>
      <c r="H75" s="20" t="inlineStr">
        <is>
          <t xml:space="preserve">411</t>
        </is>
      </c>
      <c r="I75" s="9" t="inlineStr">
        <is>
          <t xml:space="preserve">Clients</t>
        </is>
      </c>
      <c r="J75" s="10" t="inlineStr">
        <is>
          <t xml:space="preserve">AC_CLI</t>
        </is>
      </c>
      <c r="K75" s="10">
        <v>0</v>
      </c>
    </row>
    <row r="76">
      <c r="A76" s="20" t="inlineStr">
        <is>
          <t xml:space="preserve">34</t>
        </is>
      </c>
      <c r="B76" s="9" t="inlineStr">
        <is>
          <t xml:space="preserve">En-cours de production de services</t>
        </is>
      </c>
      <c r="C76" s="21" t="inlineStr">
        <is>
          <t xml:space="preserve">منتجات قيد التنفيذ — خدمات</t>
        </is>
      </c>
      <c r="D76" s="10" t="inlineStr">
        <is>
          <t xml:space="preserve">3</t>
        </is>
      </c>
      <c r="E76" s="10" t="inlineStr">
        <is>
          <t xml:space="preserve">Compte</t>
        </is>
      </c>
      <c r="F76" s="10" t="inlineStr">
        <is>
          <t xml:space="preserve">AC_STK</t>
        </is>
      </c>
      <c r="H76" s="20" t="inlineStr">
        <is>
          <t xml:space="preserve">413</t>
        </is>
      </c>
      <c r="I76" s="9" t="inlineStr">
        <is>
          <t xml:space="preserve">Clients, effets à recevoir</t>
        </is>
      </c>
      <c r="J76" s="10" t="inlineStr">
        <is>
          <t xml:space="preserve">AC_CLI</t>
        </is>
      </c>
      <c r="K76" s="10">
        <v>0</v>
      </c>
    </row>
    <row r="77">
      <c r="A77" s="20" t="inlineStr">
        <is>
          <t xml:space="preserve">35</t>
        </is>
      </c>
      <c r="B77" s="9" t="inlineStr">
        <is>
          <t xml:space="preserve">Stocks de produits finis</t>
        </is>
      </c>
      <c r="C77" s="21" t="inlineStr">
        <is>
          <t xml:space="preserve">مخزونات المنتجات التامة</t>
        </is>
      </c>
      <c r="D77" s="10" t="inlineStr">
        <is>
          <t xml:space="preserve">3</t>
        </is>
      </c>
      <c r="E77" s="10" t="inlineStr">
        <is>
          <t xml:space="preserve">Compte</t>
        </is>
      </c>
      <c r="F77" s="10" t="inlineStr">
        <is>
          <t xml:space="preserve">AC_STK</t>
        </is>
      </c>
      <c r="H77" s="20" t="inlineStr">
        <is>
          <t xml:space="preserve">416</t>
        </is>
      </c>
      <c r="I77" s="9" t="inlineStr">
        <is>
          <t xml:space="preserve">Clients douteux ou litigieux</t>
        </is>
      </c>
      <c r="J77" s="10" t="inlineStr">
        <is>
          <t xml:space="preserve">AC_CLI</t>
        </is>
      </c>
      <c r="K77" s="10">
        <v>0</v>
      </c>
    </row>
    <row r="78">
      <c r="A78" s="20" t="inlineStr">
        <is>
          <t xml:space="preserve">36</t>
        </is>
      </c>
      <c r="B78" s="9" t="inlineStr">
        <is>
          <t xml:space="preserve">Stocks provenant d'immobilisations</t>
        </is>
      </c>
      <c r="C78" s="21" t="inlineStr">
        <is>
          <t xml:space="preserve">مخزونات متأتية من التثبيتات</t>
        </is>
      </c>
      <c r="D78" s="10" t="inlineStr">
        <is>
          <t xml:space="preserve">3</t>
        </is>
      </c>
      <c r="E78" s="10" t="inlineStr">
        <is>
          <t xml:space="preserve">Compte</t>
        </is>
      </c>
      <c r="F78" s="10" t="inlineStr">
        <is>
          <t xml:space="preserve">AC_STK</t>
        </is>
      </c>
      <c r="H78" s="20" t="inlineStr">
        <is>
          <t xml:space="preserve">417</t>
        </is>
      </c>
      <c r="I78" s="9" t="inlineStr">
        <is>
          <t xml:space="preserve">Créances sur travaux ou prestations en cours</t>
        </is>
      </c>
      <c r="J78" s="10" t="inlineStr">
        <is>
          <t xml:space="preserve">AC_CLI</t>
        </is>
      </c>
      <c r="K78" s="10">
        <v>0</v>
      </c>
    </row>
    <row r="79">
      <c r="A79" s="20" t="inlineStr">
        <is>
          <t xml:space="preserve">37</t>
        </is>
      </c>
      <c r="B79" s="9" t="inlineStr">
        <is>
          <t xml:space="preserve">Stocks à l'extérieur (en consignation, en dépôt)</t>
        </is>
      </c>
      <c r="C79" s="21" t="inlineStr">
        <is>
          <t xml:space="preserve">مخزونات في الخارج (أمانة أو إيداع)</t>
        </is>
      </c>
      <c r="D79" s="10" t="inlineStr">
        <is>
          <t xml:space="preserve">3</t>
        </is>
      </c>
      <c r="E79" s="10" t="inlineStr">
        <is>
          <t xml:space="preserve">Compte</t>
        </is>
      </c>
      <c r="F79" s="10" t="inlineStr">
        <is>
          <t xml:space="preserve">AC_STK</t>
        </is>
      </c>
      <c r="H79" s="20" t="inlineStr">
        <is>
          <t xml:space="preserve">418</t>
        </is>
      </c>
      <c r="I79" s="9" t="inlineStr">
        <is>
          <t xml:space="preserve">Clients, produits non encore facturés</t>
        </is>
      </c>
      <c r="J79" s="10" t="inlineStr">
        <is>
          <t xml:space="preserve">AC_CLI</t>
        </is>
      </c>
      <c r="K79" s="10">
        <v>0</v>
      </c>
    </row>
    <row r="80">
      <c r="A80" s="20" t="inlineStr">
        <is>
          <t xml:space="preserve">38</t>
        </is>
      </c>
      <c r="B80" s="9" t="inlineStr">
        <is>
          <t xml:space="preserve">Achats stockés</t>
        </is>
      </c>
      <c r="C80" s="21" t="inlineStr">
        <is>
          <t xml:space="preserve">المشتريات المخزنة</t>
        </is>
      </c>
      <c r="D80" s="10" t="inlineStr">
        <is>
          <t xml:space="preserve">3</t>
        </is>
      </c>
      <c r="E80" s="10" t="inlineStr">
        <is>
          <t xml:space="preserve">Compte</t>
        </is>
      </c>
      <c r="F80" s="10" t="inlineStr">
        <is>
          <t xml:space="preserve">AC_STK</t>
        </is>
      </c>
      <c r="H80" s="20" t="inlineStr">
        <is>
          <t xml:space="preserve">419</t>
        </is>
      </c>
      <c r="I80" s="9" t="inlineStr">
        <is>
          <t xml:space="preserve">Clients créditeurs (avances reçues)</t>
        </is>
      </c>
      <c r="J80" s="10" t="inlineStr">
        <is>
          <t xml:space="preserve">PC_AUT</t>
        </is>
      </c>
      <c r="K80" s="10">
        <v>0</v>
      </c>
    </row>
    <row r="81">
      <c r="A81" s="20" t="inlineStr">
        <is>
          <t xml:space="preserve">39</t>
        </is>
      </c>
      <c r="B81" s="9" t="inlineStr">
        <is>
          <t xml:space="preserve">Pertes de valeur sur stocks et en-cours</t>
        </is>
      </c>
      <c r="C81" s="21" t="inlineStr">
        <is>
          <t xml:space="preserve">خسائر القيمة عن المخزونات</t>
        </is>
      </c>
      <c r="D81" s="10" t="inlineStr">
        <is>
          <t xml:space="preserve">3</t>
        </is>
      </c>
      <c r="E81" s="10" t="inlineStr">
        <is>
          <t xml:space="preserve">Compte</t>
        </is>
      </c>
      <c r="F81" s="10" t="inlineStr">
        <is>
          <t xml:space="preserve">AC_STK</t>
        </is>
      </c>
      <c r="H81" s="20" t="inlineStr">
        <is>
          <t xml:space="preserve">421</t>
        </is>
      </c>
      <c r="I81" s="9" t="inlineStr">
        <is>
          <t xml:space="preserve">Personnel, rémunérations dues</t>
        </is>
      </c>
      <c r="J81" s="10" t="inlineStr">
        <is>
          <t xml:space="preserve">PC_AUT</t>
        </is>
      </c>
      <c r="K81" s="10">
        <v>0</v>
      </c>
    </row>
    <row r="82">
      <c r="A82" s="23" t="inlineStr">
        <is>
          <t xml:space="preserve">40</t>
        </is>
      </c>
      <c r="B82" s="23" t="inlineStr">
        <is>
          <t xml:space="preserve">Fournisseurs et comptes rattachés</t>
        </is>
      </c>
      <c r="C82" s="23" t="inlineStr">
        <is>
          <t xml:space="preserve">الموردون والحسابات الملحقة</t>
        </is>
      </c>
      <c r="D82" s="10" t="inlineStr">
        <is>
          <t xml:space="preserve">4</t>
        </is>
      </c>
      <c r="E82" s="10" t="inlineStr">
        <is>
          <t xml:space="preserve">Rubrique</t>
        </is>
      </c>
      <c r="F82" s="10"/>
      <c r="H82" s="20" t="inlineStr">
        <is>
          <t xml:space="preserve">422</t>
        </is>
      </c>
      <c r="I82" s="9" t="inlineStr">
        <is>
          <t xml:space="preserve">Fonds des œuvres sociales</t>
        </is>
      </c>
      <c r="J82" s="10" t="inlineStr">
        <is>
          <t xml:space="preserve">PC_AUT</t>
        </is>
      </c>
      <c r="K82" s="10">
        <v>0</v>
      </c>
    </row>
    <row r="83">
      <c r="A83" s="20" t="inlineStr">
        <is>
          <t xml:space="preserve">401</t>
        </is>
      </c>
      <c r="B83" s="9" t="inlineStr">
        <is>
          <t xml:space="preserve">Fournisseurs de stocks et services</t>
        </is>
      </c>
      <c r="C83" s="21" t="inlineStr">
        <is>
          <t xml:space="preserve">موردو المخزونات والخدمات</t>
        </is>
      </c>
      <c r="D83" s="10" t="inlineStr">
        <is>
          <t xml:space="preserve">4</t>
        </is>
      </c>
      <c r="E83" s="10" t="inlineStr">
        <is>
          <t xml:space="preserve">Compte</t>
        </is>
      </c>
      <c r="F83" s="10" t="inlineStr">
        <is>
          <t xml:space="preserve">PC_FRN</t>
        </is>
      </c>
      <c r="H83" s="20" t="inlineStr">
        <is>
          <t xml:space="preserve">425</t>
        </is>
      </c>
      <c r="I83" s="9" t="inlineStr">
        <is>
          <t xml:space="preserve">Personnel, avances et acomptes accordés</t>
        </is>
      </c>
      <c r="J83" s="10" t="inlineStr">
        <is>
          <t xml:space="preserve">AC_DEB</t>
        </is>
      </c>
      <c r="K83" s="10">
        <v>0</v>
      </c>
    </row>
    <row r="84">
      <c r="A84" s="20" t="inlineStr">
        <is>
          <t xml:space="preserve">403</t>
        </is>
      </c>
      <c r="B84" s="9" t="inlineStr">
        <is>
          <t xml:space="preserve">Fournisseurs, effets à payer</t>
        </is>
      </c>
      <c r="C84" s="21" t="inlineStr">
        <is>
          <t xml:space="preserve">الموردون، أوراق الدفع</t>
        </is>
      </c>
      <c r="D84" s="10" t="inlineStr">
        <is>
          <t xml:space="preserve">4</t>
        </is>
      </c>
      <c r="E84" s="10" t="inlineStr">
        <is>
          <t xml:space="preserve">Compte</t>
        </is>
      </c>
      <c r="F84" s="10" t="inlineStr">
        <is>
          <t xml:space="preserve">PC_FRN</t>
        </is>
      </c>
      <c r="H84" s="20" t="inlineStr">
        <is>
          <t xml:space="preserve">428</t>
        </is>
      </c>
      <c r="I84" s="9" t="inlineStr">
        <is>
          <t xml:space="preserve">Personnel, charges à payer</t>
        </is>
      </c>
      <c r="J84" s="10" t="inlineStr">
        <is>
          <t xml:space="preserve">PC_AUT</t>
        </is>
      </c>
      <c r="K84" s="10">
        <v>0</v>
      </c>
    </row>
    <row r="85">
      <c r="A85" s="20" t="inlineStr">
        <is>
          <t xml:space="preserve">404</t>
        </is>
      </c>
      <c r="B85" s="9" t="inlineStr">
        <is>
          <t xml:space="preserve">Fournisseurs d'immobilisations</t>
        </is>
      </c>
      <c r="C85" s="21" t="inlineStr">
        <is>
          <t xml:space="preserve">موردو التثبيتات</t>
        </is>
      </c>
      <c r="D85" s="10" t="inlineStr">
        <is>
          <t xml:space="preserve">4</t>
        </is>
      </c>
      <c r="E85" s="10" t="inlineStr">
        <is>
          <t xml:space="preserve">Compte</t>
        </is>
      </c>
      <c r="F85" s="10" t="inlineStr">
        <is>
          <t xml:space="preserve">PC_FRN</t>
        </is>
      </c>
      <c r="H85" s="20" t="inlineStr">
        <is>
          <t xml:space="preserve">431</t>
        </is>
      </c>
      <c r="I85" s="9" t="inlineStr">
        <is>
          <t xml:space="preserve">Sécurité sociale (CNAS)</t>
        </is>
      </c>
      <c r="J85" s="10" t="inlineStr">
        <is>
          <t xml:space="preserve">PC_AUT</t>
        </is>
      </c>
      <c r="K85" s="10">
        <v>0</v>
      </c>
    </row>
    <row r="86">
      <c r="A86" s="20" t="inlineStr">
        <is>
          <t xml:space="preserve">408</t>
        </is>
      </c>
      <c r="B86" s="9" t="inlineStr">
        <is>
          <t xml:space="preserve">Fournisseurs, factures non parvenues</t>
        </is>
      </c>
      <c r="C86" s="21" t="inlineStr">
        <is>
          <t xml:space="preserve">الموردون، فواتير لم تصل بعد</t>
        </is>
      </c>
      <c r="D86" s="10" t="inlineStr">
        <is>
          <t xml:space="preserve">4</t>
        </is>
      </c>
      <c r="E86" s="10" t="inlineStr">
        <is>
          <t xml:space="preserve">Compte</t>
        </is>
      </c>
      <c r="F86" s="10" t="inlineStr">
        <is>
          <t xml:space="preserve">PC_FRN</t>
        </is>
      </c>
      <c r="H86" s="20" t="inlineStr">
        <is>
          <t xml:space="preserve">432</t>
        </is>
      </c>
      <c r="I86" s="9" t="inlineStr">
        <is>
          <t xml:space="preserve">Autres organismes sociaux (CASNOS, CACOBATPH)</t>
        </is>
      </c>
      <c r="J86" s="10" t="inlineStr">
        <is>
          <t xml:space="preserve">PC_AUT</t>
        </is>
      </c>
      <c r="K86" s="10">
        <v>0</v>
      </c>
    </row>
    <row r="87">
      <c r="A87" s="20" t="inlineStr">
        <is>
          <t xml:space="preserve">409</t>
        </is>
      </c>
      <c r="B87" s="9" t="inlineStr">
        <is>
          <t xml:space="preserve">Fournisseurs débiteurs (avances, acomptes)</t>
        </is>
      </c>
      <c r="C87" s="21" t="inlineStr">
        <is>
          <t xml:space="preserve">الموردون المدينون (تسبيقات ودفعات)</t>
        </is>
      </c>
      <c r="D87" s="10" t="inlineStr">
        <is>
          <t xml:space="preserve">4</t>
        </is>
      </c>
      <c r="E87" s="10" t="inlineStr">
        <is>
          <t xml:space="preserve">Compte</t>
        </is>
      </c>
      <c r="F87" s="10" t="inlineStr">
        <is>
          <t xml:space="preserve">AC_DEB</t>
        </is>
      </c>
      <c r="H87" s="20" t="inlineStr">
        <is>
          <t xml:space="preserve">438</t>
        </is>
      </c>
      <c r="I87" s="9" t="inlineStr">
        <is>
          <t xml:space="preserve">Organismes sociaux, charges à payer</t>
        </is>
      </c>
      <c r="J87" s="10" t="inlineStr">
        <is>
          <t xml:space="preserve">PC_AUT</t>
        </is>
      </c>
      <c r="K87" s="10">
        <v>0</v>
      </c>
    </row>
    <row r="88">
      <c r="A88" s="23" t="inlineStr">
        <is>
          <t xml:space="preserve">41</t>
        </is>
      </c>
      <c r="B88" s="23" t="inlineStr">
        <is>
          <t xml:space="preserve">Clients et comptes rattachés</t>
        </is>
      </c>
      <c r="C88" s="23" t="inlineStr">
        <is>
          <t xml:space="preserve">الزبائن والحسابات الملحقة</t>
        </is>
      </c>
      <c r="D88" s="10" t="inlineStr">
        <is>
          <t xml:space="preserve">4</t>
        </is>
      </c>
      <c r="E88" s="10" t="inlineStr">
        <is>
          <t xml:space="preserve">Rubrique</t>
        </is>
      </c>
      <c r="F88" s="10"/>
      <c r="H88" s="20" t="inlineStr">
        <is>
          <t xml:space="preserve">441</t>
        </is>
      </c>
      <c r="I88" s="9" t="inlineStr">
        <is>
          <t xml:space="preserve">État, subventions à recevoir</t>
        </is>
      </c>
      <c r="J88" s="10" t="inlineStr">
        <is>
          <t xml:space="preserve">AC_DEB</t>
        </is>
      </c>
      <c r="K88" s="10">
        <v>0</v>
      </c>
    </row>
    <row r="89">
      <c r="A89" s="20" t="inlineStr">
        <is>
          <t xml:space="preserve">411</t>
        </is>
      </c>
      <c r="B89" s="9" t="inlineStr">
        <is>
          <t xml:space="preserve">Clients</t>
        </is>
      </c>
      <c r="C89" s="21" t="inlineStr">
        <is>
          <t xml:space="preserve">الزبائن</t>
        </is>
      </c>
      <c r="D89" s="10" t="inlineStr">
        <is>
          <t xml:space="preserve">4</t>
        </is>
      </c>
      <c r="E89" s="10" t="inlineStr">
        <is>
          <t xml:space="preserve">Compte</t>
        </is>
      </c>
      <c r="F89" s="10" t="inlineStr">
        <is>
          <t xml:space="preserve">AC_CLI</t>
        </is>
      </c>
      <c r="H89" s="20" t="inlineStr">
        <is>
          <t xml:space="preserve">442</t>
        </is>
      </c>
      <c r="I89" s="9" t="inlineStr">
        <is>
          <t xml:space="preserve">État, impôts et taxes recouvrables sur des tiers</t>
        </is>
      </c>
      <c r="J89" s="10" t="inlineStr">
        <is>
          <t xml:space="preserve">PC_IMP</t>
        </is>
      </c>
      <c r="K89" s="10">
        <v>0</v>
      </c>
    </row>
    <row r="90">
      <c r="A90" s="20" t="inlineStr">
        <is>
          <t xml:space="preserve">413</t>
        </is>
      </c>
      <c r="B90" s="9" t="inlineStr">
        <is>
          <t xml:space="preserve">Clients, effets à recevoir</t>
        </is>
      </c>
      <c r="C90" s="21" t="inlineStr">
        <is>
          <t xml:space="preserve">الزبائن، أوراق القبض</t>
        </is>
      </c>
      <c r="D90" s="10" t="inlineStr">
        <is>
          <t xml:space="preserve">4</t>
        </is>
      </c>
      <c r="E90" s="10" t="inlineStr">
        <is>
          <t xml:space="preserve">Compte</t>
        </is>
      </c>
      <c r="F90" s="10" t="inlineStr">
        <is>
          <t xml:space="preserve">AC_CLI</t>
        </is>
      </c>
      <c r="H90" s="20" t="inlineStr">
        <is>
          <t xml:space="preserve">444</t>
        </is>
      </c>
      <c r="I90" s="9" t="inlineStr">
        <is>
          <t xml:space="preserve">État, impôts sur les résultats (IBS, IRG)</t>
        </is>
      </c>
      <c r="J90" s="10" t="inlineStr">
        <is>
          <t xml:space="preserve">PC_IMP</t>
        </is>
      </c>
      <c r="K90" s="10">
        <v>0</v>
      </c>
    </row>
    <row r="91">
      <c r="A91" s="20" t="inlineStr">
        <is>
          <t xml:space="preserve">416</t>
        </is>
      </c>
      <c r="B91" s="9" t="inlineStr">
        <is>
          <t xml:space="preserve">Clients douteux ou litigieux</t>
        </is>
      </c>
      <c r="C91" s="21" t="inlineStr">
        <is>
          <t xml:space="preserve">الزبائن المشكوك فيهم</t>
        </is>
      </c>
      <c r="D91" s="10" t="inlineStr">
        <is>
          <t xml:space="preserve">4</t>
        </is>
      </c>
      <c r="E91" s="10" t="inlineStr">
        <is>
          <t xml:space="preserve">Compte</t>
        </is>
      </c>
      <c r="F91" s="10" t="inlineStr">
        <is>
          <t xml:space="preserve">AC_CLI</t>
        </is>
      </c>
      <c r="H91" s="20" t="inlineStr">
        <is>
          <t xml:space="preserve">44562</t>
        </is>
      </c>
      <c r="I91" s="9" t="inlineStr">
        <is>
          <t xml:space="preserve">TVA déductible sur immobilisations</t>
        </is>
      </c>
      <c r="J91" s="10" t="inlineStr">
        <is>
          <t xml:space="preserve">AC_IMP</t>
        </is>
      </c>
      <c r="K91" s="10">
        <v>0</v>
      </c>
    </row>
    <row r="92">
      <c r="A92" s="20" t="inlineStr">
        <is>
          <t xml:space="preserve">417</t>
        </is>
      </c>
      <c r="B92" s="9" t="inlineStr">
        <is>
          <t xml:space="preserve">Créances sur travaux ou prestations en cours</t>
        </is>
      </c>
      <c r="C92" s="21" t="inlineStr">
        <is>
          <t xml:space="preserve">ديون على أشغال أو خدمات قيد التنفيذ</t>
        </is>
      </c>
      <c r="D92" s="10" t="inlineStr">
        <is>
          <t xml:space="preserve">4</t>
        </is>
      </c>
      <c r="E92" s="10" t="inlineStr">
        <is>
          <t xml:space="preserve">Compte</t>
        </is>
      </c>
      <c r="F92" s="10" t="inlineStr">
        <is>
          <t xml:space="preserve">AC_CLI</t>
        </is>
      </c>
      <c r="H92" s="20" t="inlineStr">
        <is>
          <t xml:space="preserve">44566</t>
        </is>
      </c>
      <c r="I92" s="9" t="inlineStr">
        <is>
          <t xml:space="preserve">TVA déductible sur biens et services</t>
        </is>
      </c>
      <c r="J92" s="10" t="inlineStr">
        <is>
          <t xml:space="preserve">AC_IMP</t>
        </is>
      </c>
      <c r="K92" s="10">
        <v>0</v>
      </c>
    </row>
    <row r="93">
      <c r="A93" s="20" t="inlineStr">
        <is>
          <t xml:space="preserve">418</t>
        </is>
      </c>
      <c r="B93" s="9" t="inlineStr">
        <is>
          <t xml:space="preserve">Clients, produits non encore facturés</t>
        </is>
      </c>
      <c r="C93" s="21" t="inlineStr">
        <is>
          <t xml:space="preserve">الزبائن، منتوجات لم تفوتر بعد</t>
        </is>
      </c>
      <c r="D93" s="10" t="inlineStr">
        <is>
          <t xml:space="preserve">4</t>
        </is>
      </c>
      <c r="E93" s="10" t="inlineStr">
        <is>
          <t xml:space="preserve">Compte</t>
        </is>
      </c>
      <c r="F93" s="10" t="inlineStr">
        <is>
          <t xml:space="preserve">AC_CLI</t>
        </is>
      </c>
      <c r="H93" s="20" t="inlineStr">
        <is>
          <t xml:space="preserve">4457</t>
        </is>
      </c>
      <c r="I93" s="9" t="inlineStr">
        <is>
          <t xml:space="preserve">TVA collectée</t>
        </is>
      </c>
      <c r="J93" s="10" t="inlineStr">
        <is>
          <t xml:space="preserve">PC_IMP</t>
        </is>
      </c>
      <c r="K93" s="10">
        <v>0</v>
      </c>
    </row>
    <row r="94">
      <c r="A94" s="20" t="inlineStr">
        <is>
          <t xml:space="preserve">419</t>
        </is>
      </c>
      <c r="B94" s="9" t="inlineStr">
        <is>
          <t xml:space="preserve">Clients créditeurs (avances reçues)</t>
        </is>
      </c>
      <c r="C94" s="21" t="inlineStr">
        <is>
          <t xml:space="preserve">الزبائن الدائنون (تسبيقات مقبوضة)</t>
        </is>
      </c>
      <c r="D94" s="10" t="inlineStr">
        <is>
          <t xml:space="preserve">4</t>
        </is>
      </c>
      <c r="E94" s="10" t="inlineStr">
        <is>
          <t xml:space="preserve">Compte</t>
        </is>
      </c>
      <c r="F94" s="10" t="inlineStr">
        <is>
          <t xml:space="preserve">PC_AUT</t>
        </is>
      </c>
      <c r="H94" s="20" t="inlineStr">
        <is>
          <t xml:space="preserve">4458</t>
        </is>
      </c>
      <c r="I94" s="9" t="inlineStr">
        <is>
          <t xml:space="preserve">TVA à régulariser ou en attente</t>
        </is>
      </c>
      <c r="J94" s="10" t="inlineStr">
        <is>
          <t xml:space="preserve">PC_IMP</t>
        </is>
      </c>
      <c r="K94" s="10">
        <v>0</v>
      </c>
    </row>
    <row r="95">
      <c r="A95" s="23" t="inlineStr">
        <is>
          <t xml:space="preserve">42</t>
        </is>
      </c>
      <c r="B95" s="23" t="inlineStr">
        <is>
          <t xml:space="preserve">Personnel et comptes rattachés</t>
        </is>
      </c>
      <c r="C95" s="23" t="inlineStr">
        <is>
          <t xml:space="preserve">المستخدمون والحسابات الملحقة</t>
        </is>
      </c>
      <c r="D95" s="10" t="inlineStr">
        <is>
          <t xml:space="preserve">4</t>
        </is>
      </c>
      <c r="E95" s="10" t="inlineStr">
        <is>
          <t xml:space="preserve">Rubrique</t>
        </is>
      </c>
      <c r="F95" s="10"/>
      <c r="H95" s="20" t="inlineStr">
        <is>
          <t xml:space="preserve">4459</t>
        </is>
      </c>
      <c r="I95" s="9" t="inlineStr">
        <is>
          <t xml:space="preserve">TVA à décaisser</t>
        </is>
      </c>
      <c r="J95" s="10" t="inlineStr">
        <is>
          <t xml:space="preserve">PC_IMP</t>
        </is>
      </c>
      <c r="K95" s="10">
        <v>0</v>
      </c>
    </row>
    <row r="96">
      <c r="A96" s="20" t="inlineStr">
        <is>
          <t xml:space="preserve">421</t>
        </is>
      </c>
      <c r="B96" s="9" t="inlineStr">
        <is>
          <t xml:space="preserve">Personnel, rémunérations dues</t>
        </is>
      </c>
      <c r="C96" s="21" t="inlineStr">
        <is>
          <t xml:space="preserve">المستخدمون، الأجور المستحقة</t>
        </is>
      </c>
      <c r="D96" s="10" t="inlineStr">
        <is>
          <t xml:space="preserve">4</t>
        </is>
      </c>
      <c r="E96" s="10" t="inlineStr">
        <is>
          <t xml:space="preserve">Compte</t>
        </is>
      </c>
      <c r="F96" s="10" t="inlineStr">
        <is>
          <t xml:space="preserve">PC_AUT</t>
        </is>
      </c>
      <c r="H96" s="20" t="inlineStr">
        <is>
          <t xml:space="preserve">447</t>
        </is>
      </c>
      <c r="I96" s="9" t="inlineStr">
        <is>
          <t xml:space="preserve">Autres impôts, taxes et versements assimilés (TAP)</t>
        </is>
      </c>
      <c r="J96" s="10" t="inlineStr">
        <is>
          <t xml:space="preserve">PC_IMP</t>
        </is>
      </c>
      <c r="K96" s="10">
        <v>0</v>
      </c>
    </row>
    <row r="97">
      <c r="A97" s="20" t="inlineStr">
        <is>
          <t xml:space="preserve">422</t>
        </is>
      </c>
      <c r="B97" s="9" t="inlineStr">
        <is>
          <t xml:space="preserve">Fonds des œuvres sociales</t>
        </is>
      </c>
      <c r="C97" s="21" t="inlineStr">
        <is>
          <t xml:space="preserve">صندوق الخدمات الاجتماعية</t>
        </is>
      </c>
      <c r="D97" s="10" t="inlineStr">
        <is>
          <t xml:space="preserve">4</t>
        </is>
      </c>
      <c r="E97" s="10" t="inlineStr">
        <is>
          <t xml:space="preserve">Compte</t>
        </is>
      </c>
      <c r="F97" s="10" t="inlineStr">
        <is>
          <t xml:space="preserve">PC_AUT</t>
        </is>
      </c>
      <c r="H97" s="20" t="inlineStr">
        <is>
          <t xml:space="preserve">448</t>
        </is>
      </c>
      <c r="I97" s="9" t="inlineStr">
        <is>
          <t xml:space="preserve">État, charges à payer et produits à recevoir</t>
        </is>
      </c>
      <c r="J97" s="10" t="inlineStr">
        <is>
          <t xml:space="preserve">PC_IMP</t>
        </is>
      </c>
      <c r="K97" s="10">
        <v>0</v>
      </c>
    </row>
    <row r="98">
      <c r="A98" s="20" t="inlineStr">
        <is>
          <t xml:space="preserve">425</t>
        </is>
      </c>
      <c r="B98" s="9" t="inlineStr">
        <is>
          <t xml:space="preserve">Personnel, avances et acomptes accordés</t>
        </is>
      </c>
      <c r="C98" s="21" t="inlineStr">
        <is>
          <t xml:space="preserve">المستخدمون، تسبيقات ودفعات ممنوحة</t>
        </is>
      </c>
      <c r="D98" s="10" t="inlineStr">
        <is>
          <t xml:space="preserve">4</t>
        </is>
      </c>
      <c r="E98" s="10" t="inlineStr">
        <is>
          <t xml:space="preserve">Compte</t>
        </is>
      </c>
      <c r="F98" s="10" t="inlineStr">
        <is>
          <t xml:space="preserve">AC_DEB</t>
        </is>
      </c>
      <c r="H98" s="20" t="inlineStr">
        <is>
          <t xml:space="preserve">45</t>
        </is>
      </c>
      <c r="I98" s="9" t="inlineStr">
        <is>
          <t xml:space="preserve">Groupe et associés</t>
        </is>
      </c>
      <c r="J98" s="10" t="inlineStr">
        <is>
          <t xml:space="preserve">PC_AUT</t>
        </is>
      </c>
      <c r="K98" s="10">
        <v>0</v>
      </c>
    </row>
    <row r="99">
      <c r="A99" s="20" t="inlineStr">
        <is>
          <t xml:space="preserve">428</t>
        </is>
      </c>
      <c r="B99" s="9" t="inlineStr">
        <is>
          <t xml:space="preserve">Personnel, charges à payer</t>
        </is>
      </c>
      <c r="C99" s="21" t="inlineStr">
        <is>
          <t xml:space="preserve">المستخدمون، أعباء واجبة الدفع</t>
        </is>
      </c>
      <c r="D99" s="10" t="inlineStr">
        <is>
          <t xml:space="preserve">4</t>
        </is>
      </c>
      <c r="E99" s="10" t="inlineStr">
        <is>
          <t xml:space="preserve">Compte</t>
        </is>
      </c>
      <c r="F99" s="10" t="inlineStr">
        <is>
          <t xml:space="preserve">PC_AUT</t>
        </is>
      </c>
      <c r="H99" s="20" t="inlineStr">
        <is>
          <t xml:space="preserve">462</t>
        </is>
      </c>
      <c r="I99" s="9" t="inlineStr">
        <is>
          <t xml:space="preserve">Créances sur cessions d'immobilisations</t>
        </is>
      </c>
      <c r="J99" s="10" t="inlineStr">
        <is>
          <t xml:space="preserve">AC_DEB</t>
        </is>
      </c>
      <c r="K99" s="10">
        <v>0</v>
      </c>
    </row>
    <row r="100">
      <c r="A100" s="23" t="inlineStr">
        <is>
          <t xml:space="preserve">43</t>
        </is>
      </c>
      <c r="B100" s="23" t="inlineStr">
        <is>
          <t xml:space="preserve">Organismes sociaux et comptes rattachés</t>
        </is>
      </c>
      <c r="C100" s="23" t="inlineStr">
        <is>
          <t xml:space="preserve">الهيئات الاجتماعية والحسابات الملحقة</t>
        </is>
      </c>
      <c r="D100" s="10" t="inlineStr">
        <is>
          <t xml:space="preserve">4</t>
        </is>
      </c>
      <c r="E100" s="10" t="inlineStr">
        <is>
          <t xml:space="preserve">Rubrique</t>
        </is>
      </c>
      <c r="F100" s="10"/>
      <c r="H100" s="20" t="inlineStr">
        <is>
          <t xml:space="preserve">467</t>
        </is>
      </c>
      <c r="I100" s="9" t="inlineStr">
        <is>
          <t xml:space="preserve">Autres comptes débiteurs ou créditeurs</t>
        </is>
      </c>
      <c r="J100" s="10" t="inlineStr">
        <is>
          <t xml:space="preserve">AC_DEB</t>
        </is>
      </c>
      <c r="K100" s="10">
        <v>0</v>
      </c>
    </row>
    <row r="101">
      <c r="A101" s="20" t="inlineStr">
        <is>
          <t xml:space="preserve">431</t>
        </is>
      </c>
      <c r="B101" s="9" t="inlineStr">
        <is>
          <t xml:space="preserve">Sécurité sociale (CNAS)</t>
        </is>
      </c>
      <c r="C101" s="21" t="inlineStr">
        <is>
          <t xml:space="preserve">الضمان الاجتماعي (CNAS)</t>
        </is>
      </c>
      <c r="D101" s="10" t="inlineStr">
        <is>
          <t xml:space="preserve">4</t>
        </is>
      </c>
      <c r="E101" s="10" t="inlineStr">
        <is>
          <t xml:space="preserve">Compte</t>
        </is>
      </c>
      <c r="F101" s="10" t="inlineStr">
        <is>
          <t xml:space="preserve">PC_AUT</t>
        </is>
      </c>
      <c r="H101" s="20" t="inlineStr">
        <is>
          <t xml:space="preserve">468</t>
        </is>
      </c>
      <c r="I101" s="9" t="inlineStr">
        <is>
          <t xml:space="preserve">Créditeurs divers</t>
        </is>
      </c>
      <c r="J101" s="10" t="inlineStr">
        <is>
          <t xml:space="preserve">PC_AUT</t>
        </is>
      </c>
      <c r="K101" s="10">
        <v>0</v>
      </c>
    </row>
    <row r="102">
      <c r="A102" s="20" t="inlineStr">
        <is>
          <t xml:space="preserve">432</t>
        </is>
      </c>
      <c r="B102" s="9" t="inlineStr">
        <is>
          <t xml:space="preserve">Autres organismes sociaux (CASNOS, CACOBATPH)</t>
        </is>
      </c>
      <c r="C102" s="21" t="inlineStr">
        <is>
          <t xml:space="preserve">هيئات اجتماعية أخرى (CASNOS)</t>
        </is>
      </c>
      <c r="D102" s="10" t="inlineStr">
        <is>
          <t xml:space="preserve">4</t>
        </is>
      </c>
      <c r="E102" s="10" t="inlineStr">
        <is>
          <t xml:space="preserve">Compte</t>
        </is>
      </c>
      <c r="F102" s="10" t="inlineStr">
        <is>
          <t xml:space="preserve">PC_AUT</t>
        </is>
      </c>
      <c r="H102" s="20" t="inlineStr">
        <is>
          <t xml:space="preserve">47</t>
        </is>
      </c>
      <c r="I102" s="9" t="inlineStr">
        <is>
          <t xml:space="preserve">Comptes transitoires ou d'attente</t>
        </is>
      </c>
      <c r="J102" s="10" t="inlineStr">
        <is>
          <t xml:space="preserve">AC_AUT</t>
        </is>
      </c>
      <c r="K102" s="10">
        <v>0</v>
      </c>
    </row>
    <row r="103">
      <c r="A103" s="20" t="inlineStr">
        <is>
          <t xml:space="preserve">438</t>
        </is>
      </c>
      <c r="B103" s="9" t="inlineStr">
        <is>
          <t xml:space="preserve">Organismes sociaux, charges à payer</t>
        </is>
      </c>
      <c r="C103" s="21" t="inlineStr">
        <is>
          <t xml:space="preserve">الهيئات الاجتماعية، أعباء واجبة الدفع</t>
        </is>
      </c>
      <c r="D103" s="10" t="inlineStr">
        <is>
          <t xml:space="preserve">4</t>
        </is>
      </c>
      <c r="E103" s="10" t="inlineStr">
        <is>
          <t xml:space="preserve">Compte</t>
        </is>
      </c>
      <c r="F103" s="10" t="inlineStr">
        <is>
          <t xml:space="preserve">PC_AUT</t>
        </is>
      </c>
      <c r="H103" s="20" t="inlineStr">
        <is>
          <t xml:space="preserve">486</t>
        </is>
      </c>
      <c r="I103" s="9" t="inlineStr">
        <is>
          <t xml:space="preserve">Charges constatées d'avance</t>
        </is>
      </c>
      <c r="J103" s="10" t="inlineStr">
        <is>
          <t xml:space="preserve">AC_AUT</t>
        </is>
      </c>
      <c r="K103" s="10">
        <v>0</v>
      </c>
    </row>
    <row r="104">
      <c r="A104" s="23" t="inlineStr">
        <is>
          <t xml:space="preserve">44</t>
        </is>
      </c>
      <c r="B104" s="23" t="inlineStr">
        <is>
          <t xml:space="preserve">État, collectivités publiques et organismes internationaux</t>
        </is>
      </c>
      <c r="C104" s="23" t="inlineStr">
        <is>
          <t xml:space="preserve">الدولة والجماعات المحلية والهيئات الدولية</t>
        </is>
      </c>
      <c r="D104" s="10" t="inlineStr">
        <is>
          <t xml:space="preserve">4</t>
        </is>
      </c>
      <c r="E104" s="10" t="inlineStr">
        <is>
          <t xml:space="preserve">Rubrique</t>
        </is>
      </c>
      <c r="F104" s="10"/>
      <c r="H104" s="20" t="inlineStr">
        <is>
          <t xml:space="preserve">487</t>
        </is>
      </c>
      <c r="I104" s="9" t="inlineStr">
        <is>
          <t xml:space="preserve">Produits constatés d'avance</t>
        </is>
      </c>
      <c r="J104" s="10" t="inlineStr">
        <is>
          <t xml:space="preserve">PN_PRO</t>
        </is>
      </c>
      <c r="K104" s="10">
        <v>0</v>
      </c>
    </row>
    <row r="105">
      <c r="A105" s="20" t="inlineStr">
        <is>
          <t xml:space="preserve">441</t>
        </is>
      </c>
      <c r="B105" s="9" t="inlineStr">
        <is>
          <t xml:space="preserve">État, subventions à recevoir</t>
        </is>
      </c>
      <c r="C105" s="21" t="inlineStr">
        <is>
          <t xml:space="preserve">الدولة، إعانات مستحقة القبض</t>
        </is>
      </c>
      <c r="D105" s="10" t="inlineStr">
        <is>
          <t xml:space="preserve">4</t>
        </is>
      </c>
      <c r="E105" s="10" t="inlineStr">
        <is>
          <t xml:space="preserve">Compte</t>
        </is>
      </c>
      <c r="F105" s="10" t="inlineStr">
        <is>
          <t xml:space="preserve">AC_DEB</t>
        </is>
      </c>
      <c r="H105" s="20" t="inlineStr">
        <is>
          <t xml:space="preserve">489</t>
        </is>
      </c>
      <c r="I105" s="9" t="inlineStr">
        <is>
          <t xml:space="preserve">Provisions — passifs courants</t>
        </is>
      </c>
      <c r="J105" s="10" t="inlineStr">
        <is>
          <t xml:space="preserve">PC_AUT</t>
        </is>
      </c>
      <c r="K105" s="10">
        <v>0</v>
      </c>
    </row>
    <row r="106">
      <c r="A106" s="20" t="inlineStr">
        <is>
          <t xml:space="preserve">442</t>
        </is>
      </c>
      <c r="B106" s="9" t="inlineStr">
        <is>
          <t xml:space="preserve">État, impôts et taxes recouvrables sur des tiers</t>
        </is>
      </c>
      <c r="C106" s="21" t="inlineStr">
        <is>
          <t xml:space="preserve">الدولة، ضرائب ورسوم قابلة للتحصيل على الغير</t>
        </is>
      </c>
      <c r="D106" s="10" t="inlineStr">
        <is>
          <t xml:space="preserve">4</t>
        </is>
      </c>
      <c r="E106" s="10" t="inlineStr">
        <is>
          <t xml:space="preserve">Compte</t>
        </is>
      </c>
      <c r="F106" s="10" t="inlineStr">
        <is>
          <t xml:space="preserve">PC_IMP</t>
        </is>
      </c>
      <c r="H106" s="20" t="inlineStr">
        <is>
          <t xml:space="preserve">491</t>
        </is>
      </c>
      <c r="I106" s="9" t="inlineStr">
        <is>
          <t xml:space="preserve">Pertes de valeur sur comptes de clients</t>
        </is>
      </c>
      <c r="J106" s="10" t="inlineStr">
        <is>
          <t xml:space="preserve">AC_CLI</t>
        </is>
      </c>
      <c r="K106" s="10">
        <v>1</v>
      </c>
    </row>
    <row r="107">
      <c r="A107" s="20" t="inlineStr">
        <is>
          <t xml:space="preserve">444</t>
        </is>
      </c>
      <c r="B107" s="9" t="inlineStr">
        <is>
          <t xml:space="preserve">État, impôts sur les résultats (IBS, IRG)</t>
        </is>
      </c>
      <c r="C107" s="21" t="inlineStr">
        <is>
          <t xml:space="preserve">الدولة، الضرائب على النتائج</t>
        </is>
      </c>
      <c r="D107" s="10" t="inlineStr">
        <is>
          <t xml:space="preserve">4</t>
        </is>
      </c>
      <c r="E107" s="10" t="inlineStr">
        <is>
          <t xml:space="preserve">Compte</t>
        </is>
      </c>
      <c r="F107" s="10" t="inlineStr">
        <is>
          <t xml:space="preserve">PC_IMP</t>
        </is>
      </c>
      <c r="H107" s="20" t="inlineStr">
        <is>
          <t xml:space="preserve">50</t>
        </is>
      </c>
      <c r="I107" s="9" t="inlineStr">
        <is>
          <t xml:space="preserve">Valeurs mobilières de placement</t>
        </is>
      </c>
      <c r="J107" s="10" t="inlineStr">
        <is>
          <t xml:space="preserve">AC_PLA</t>
        </is>
      </c>
      <c r="K107" s="10">
        <v>0</v>
      </c>
    </row>
    <row r="108">
      <c r="A108" s="23" t="inlineStr">
        <is>
          <t xml:space="preserve">445</t>
        </is>
      </c>
      <c r="B108" s="23" t="inlineStr">
        <is>
          <t xml:space="preserve">État, taxes sur le chiffre d'affaires</t>
        </is>
      </c>
      <c r="C108" s="23" t="inlineStr">
        <is>
          <t xml:space="preserve">الدولة، الرسوم على رقم الأعمال</t>
        </is>
      </c>
      <c r="D108" s="10" t="inlineStr">
        <is>
          <t xml:space="preserve">4</t>
        </is>
      </c>
      <c r="E108" s="10" t="inlineStr">
        <is>
          <t xml:space="preserve">Rubrique</t>
        </is>
      </c>
      <c r="F108" s="10"/>
      <c r="H108" s="20" t="inlineStr">
        <is>
          <t xml:space="preserve">511</t>
        </is>
      </c>
      <c r="I108" s="9" t="inlineStr">
        <is>
          <t xml:space="preserve">Valeurs à l'encaissement</t>
        </is>
      </c>
      <c r="J108" s="10" t="inlineStr">
        <is>
          <t xml:space="preserve">AC_TRE</t>
        </is>
      </c>
      <c r="K108" s="10">
        <v>0</v>
      </c>
    </row>
    <row r="109">
      <c r="A109" s="20" t="inlineStr">
        <is>
          <t xml:space="preserve">44562</t>
        </is>
      </c>
      <c r="B109" s="9" t="inlineStr">
        <is>
          <t xml:space="preserve">TVA déductible sur immobilisations</t>
        </is>
      </c>
      <c r="C109" s="21" t="inlineStr">
        <is>
          <t xml:space="preserve">الرسم على القيمة المضافة القابل للخصم على التثبيتات</t>
        </is>
      </c>
      <c r="D109" s="10" t="inlineStr">
        <is>
          <t xml:space="preserve">4</t>
        </is>
      </c>
      <c r="E109" s="10" t="inlineStr">
        <is>
          <t xml:space="preserve">Compte</t>
        </is>
      </c>
      <c r="F109" s="10" t="inlineStr">
        <is>
          <t xml:space="preserve">AC_IMP</t>
        </is>
      </c>
      <c r="H109" s="20" t="inlineStr">
        <is>
          <t xml:space="preserve">512</t>
        </is>
      </c>
      <c r="I109" s="9" t="inlineStr">
        <is>
          <t xml:space="preserve">Banques comptes courants</t>
        </is>
      </c>
      <c r="J109" s="10" t="inlineStr">
        <is>
          <t xml:space="preserve">AC_TRE</t>
        </is>
      </c>
      <c r="K109" s="10">
        <v>0</v>
      </c>
    </row>
    <row r="110">
      <c r="A110" s="20" t="inlineStr">
        <is>
          <t xml:space="preserve">44566</t>
        </is>
      </c>
      <c r="B110" s="9" t="inlineStr">
        <is>
          <t xml:space="preserve">TVA déductible sur biens et services</t>
        </is>
      </c>
      <c r="C110" s="21" t="inlineStr">
        <is>
          <t xml:space="preserve">الرسم على القيمة المضافة القابل للخصم على السلع والخدمات</t>
        </is>
      </c>
      <c r="D110" s="10" t="inlineStr">
        <is>
          <t xml:space="preserve">4</t>
        </is>
      </c>
      <c r="E110" s="10" t="inlineStr">
        <is>
          <t xml:space="preserve">Compte</t>
        </is>
      </c>
      <c r="F110" s="10" t="inlineStr">
        <is>
          <t xml:space="preserve">AC_IMP</t>
        </is>
      </c>
      <c r="H110" s="20" t="inlineStr">
        <is>
          <t xml:space="preserve">515</t>
        </is>
      </c>
      <c r="I110" s="9" t="inlineStr">
        <is>
          <t xml:space="preserve">Trésor public et établissements publics (CCP)</t>
        </is>
      </c>
      <c r="J110" s="10" t="inlineStr">
        <is>
          <t xml:space="preserve">AC_TRE</t>
        </is>
      </c>
      <c r="K110" s="10">
        <v>0</v>
      </c>
    </row>
    <row r="111">
      <c r="A111" s="20" t="inlineStr">
        <is>
          <t xml:space="preserve">4457</t>
        </is>
      </c>
      <c r="B111" s="9" t="inlineStr">
        <is>
          <t xml:space="preserve">TVA collectée</t>
        </is>
      </c>
      <c r="C111" s="21" t="inlineStr">
        <is>
          <t xml:space="preserve">الرسم على القيمة المضافة المحصل</t>
        </is>
      </c>
      <c r="D111" s="10" t="inlineStr">
        <is>
          <t xml:space="preserve">4</t>
        </is>
      </c>
      <c r="E111" s="10" t="inlineStr">
        <is>
          <t xml:space="preserve">Compte</t>
        </is>
      </c>
      <c r="F111" s="10" t="inlineStr">
        <is>
          <t xml:space="preserve">PC_IMP</t>
        </is>
      </c>
      <c r="H111" s="20" t="inlineStr">
        <is>
          <t xml:space="preserve">517</t>
        </is>
      </c>
      <c r="I111" s="9" t="inlineStr">
        <is>
          <t xml:space="preserve">Autres organismes financiers</t>
        </is>
      </c>
      <c r="J111" s="10" t="inlineStr">
        <is>
          <t xml:space="preserve">AC_TRE</t>
        </is>
      </c>
      <c r="K111" s="10">
        <v>0</v>
      </c>
    </row>
    <row r="112">
      <c r="A112" s="20" t="inlineStr">
        <is>
          <t xml:space="preserve">4458</t>
        </is>
      </c>
      <c r="B112" s="9" t="inlineStr">
        <is>
          <t xml:space="preserve">TVA à régulariser ou en attente</t>
        </is>
      </c>
      <c r="C112" s="21" t="inlineStr">
        <is>
          <t xml:space="preserve">الرسم على القيمة المضافة قيد التسوية</t>
        </is>
      </c>
      <c r="D112" s="10" t="inlineStr">
        <is>
          <t xml:space="preserve">4</t>
        </is>
      </c>
      <c r="E112" s="10" t="inlineStr">
        <is>
          <t xml:space="preserve">Compte</t>
        </is>
      </c>
      <c r="F112" s="10" t="inlineStr">
        <is>
          <t xml:space="preserve">PC_IMP</t>
        </is>
      </c>
      <c r="H112" s="20" t="inlineStr">
        <is>
          <t xml:space="preserve">518</t>
        </is>
      </c>
      <c r="I112" s="9" t="inlineStr">
        <is>
          <t xml:space="preserve">Intérêts courus</t>
        </is>
      </c>
      <c r="J112" s="10" t="inlineStr">
        <is>
          <t xml:space="preserve">AC_TRE</t>
        </is>
      </c>
      <c r="K112" s="10">
        <v>0</v>
      </c>
    </row>
    <row r="113">
      <c r="A113" s="20" t="inlineStr">
        <is>
          <t xml:space="preserve">4459</t>
        </is>
      </c>
      <c r="B113" s="9" t="inlineStr">
        <is>
          <t xml:space="preserve">TVA à décaisser</t>
        </is>
      </c>
      <c r="C113" s="21" t="inlineStr">
        <is>
          <t xml:space="preserve">الرسم على القيمة المضافة الواجب دفعه</t>
        </is>
      </c>
      <c r="D113" s="10" t="inlineStr">
        <is>
          <t xml:space="preserve">4</t>
        </is>
      </c>
      <c r="E113" s="10" t="inlineStr">
        <is>
          <t xml:space="preserve">Compte</t>
        </is>
      </c>
      <c r="F113" s="10" t="inlineStr">
        <is>
          <t xml:space="preserve">PC_IMP</t>
        </is>
      </c>
      <c r="H113" s="20" t="inlineStr">
        <is>
          <t xml:space="preserve">519</t>
        </is>
      </c>
      <c r="I113" s="9" t="inlineStr">
        <is>
          <t xml:space="preserve">Concours bancaires courants (découverts)</t>
        </is>
      </c>
      <c r="J113" s="10" t="inlineStr">
        <is>
          <t xml:space="preserve">PC_TRE</t>
        </is>
      </c>
      <c r="K113" s="10">
        <v>0</v>
      </c>
    </row>
    <row r="114">
      <c r="A114" s="20" t="inlineStr">
        <is>
          <t xml:space="preserve">447</t>
        </is>
      </c>
      <c r="B114" s="9" t="inlineStr">
        <is>
          <t xml:space="preserve">Autres impôts, taxes et versements assimilés (TAP)</t>
        </is>
      </c>
      <c r="C114" s="21" t="inlineStr">
        <is>
          <t xml:space="preserve">ضرائب ورسوم أخرى ومدفوعات مماثلة (الرسم على النشاط المهني)</t>
        </is>
      </c>
      <c r="D114" s="10" t="inlineStr">
        <is>
          <t xml:space="preserve">4</t>
        </is>
      </c>
      <c r="E114" s="10" t="inlineStr">
        <is>
          <t xml:space="preserve">Compte</t>
        </is>
      </c>
      <c r="F114" s="10" t="inlineStr">
        <is>
          <t xml:space="preserve">PC_IMP</t>
        </is>
      </c>
      <c r="H114" s="20" t="inlineStr">
        <is>
          <t xml:space="preserve">52</t>
        </is>
      </c>
      <c r="I114" s="9" t="inlineStr">
        <is>
          <t xml:space="preserve">Instruments financiers dérivés</t>
        </is>
      </c>
      <c r="J114" s="10" t="inlineStr">
        <is>
          <t xml:space="preserve">AC_PLA</t>
        </is>
      </c>
      <c r="K114" s="10">
        <v>0</v>
      </c>
    </row>
    <row r="115">
      <c r="A115" s="20" t="inlineStr">
        <is>
          <t xml:space="preserve">448</t>
        </is>
      </c>
      <c r="B115" s="9" t="inlineStr">
        <is>
          <t xml:space="preserve">État, charges à payer et produits à recevoir</t>
        </is>
      </c>
      <c r="C115" s="21" t="inlineStr">
        <is>
          <t xml:space="preserve">الدولة، أعباء واجبة الدفع ومنتوجات مستحقة</t>
        </is>
      </c>
      <c r="D115" s="10" t="inlineStr">
        <is>
          <t xml:space="preserve">4</t>
        </is>
      </c>
      <c r="E115" s="10" t="inlineStr">
        <is>
          <t xml:space="preserve">Compte</t>
        </is>
      </c>
      <c r="F115" s="10" t="inlineStr">
        <is>
          <t xml:space="preserve">PC_IMP</t>
        </is>
      </c>
      <c r="H115" s="20" t="inlineStr">
        <is>
          <t xml:space="preserve">530</t>
        </is>
      </c>
      <c r="I115" s="9" t="inlineStr">
        <is>
          <t xml:space="preserve">Caisse</t>
        </is>
      </c>
      <c r="J115" s="10" t="inlineStr">
        <is>
          <t xml:space="preserve">AC_TRE</t>
        </is>
      </c>
      <c r="K115" s="10">
        <v>0</v>
      </c>
    </row>
    <row r="116">
      <c r="A116" s="20" t="inlineStr">
        <is>
          <t xml:space="preserve">45</t>
        </is>
      </c>
      <c r="B116" s="9" t="inlineStr">
        <is>
          <t xml:space="preserve">Groupe et associés</t>
        </is>
      </c>
      <c r="C116" s="21" t="inlineStr">
        <is>
          <t xml:space="preserve">المجمع والشركاء</t>
        </is>
      </c>
      <c r="D116" s="10" t="inlineStr">
        <is>
          <t xml:space="preserve">4</t>
        </is>
      </c>
      <c r="E116" s="10" t="inlineStr">
        <is>
          <t xml:space="preserve">Compte</t>
        </is>
      </c>
      <c r="F116" s="10" t="inlineStr">
        <is>
          <t xml:space="preserve">PC_AUT</t>
        </is>
      </c>
      <c r="H116" s="20" t="inlineStr">
        <is>
          <t xml:space="preserve">54</t>
        </is>
      </c>
      <c r="I116" s="9" t="inlineStr">
        <is>
          <t xml:space="preserve">Régies d'avances et accréditifs</t>
        </is>
      </c>
      <c r="J116" s="10" t="inlineStr">
        <is>
          <t xml:space="preserve">AC_TRE</t>
        </is>
      </c>
      <c r="K116" s="10">
        <v>0</v>
      </c>
    </row>
    <row r="117">
      <c r="A117" s="23" t="inlineStr">
        <is>
          <t xml:space="preserve">46</t>
        </is>
      </c>
      <c r="B117" s="23" t="inlineStr">
        <is>
          <t xml:space="preserve">Débiteurs divers et créditeurs divers</t>
        </is>
      </c>
      <c r="C117" s="23" t="inlineStr">
        <is>
          <t xml:space="preserve">مدينون ودائنون متنوعون</t>
        </is>
      </c>
      <c r="D117" s="10" t="inlineStr">
        <is>
          <t xml:space="preserve">4</t>
        </is>
      </c>
      <c r="E117" s="10" t="inlineStr">
        <is>
          <t xml:space="preserve">Rubrique</t>
        </is>
      </c>
      <c r="F117" s="10"/>
      <c r="H117" s="20" t="inlineStr">
        <is>
          <t xml:space="preserve">58</t>
        </is>
      </c>
      <c r="I117" s="9" t="inlineStr">
        <is>
          <t xml:space="preserve">Virements internes</t>
        </is>
      </c>
      <c r="J117" s="10" t="inlineStr">
        <is>
          <t xml:space="preserve">AC_TRE</t>
        </is>
      </c>
      <c r="K117" s="10">
        <v>0</v>
      </c>
    </row>
    <row r="118">
      <c r="A118" s="20" t="inlineStr">
        <is>
          <t xml:space="preserve">462</t>
        </is>
      </c>
      <c r="B118" s="9" t="inlineStr">
        <is>
          <t xml:space="preserve">Créances sur cessions d'immobilisations</t>
        </is>
      </c>
      <c r="C118" s="21" t="inlineStr">
        <is>
          <t xml:space="preserve">ديون على التنازل عن التثبيتات</t>
        </is>
      </c>
      <c r="D118" s="10" t="inlineStr">
        <is>
          <t xml:space="preserve">4</t>
        </is>
      </c>
      <c r="E118" s="10" t="inlineStr">
        <is>
          <t xml:space="preserve">Compte</t>
        </is>
      </c>
      <c r="F118" s="10" t="inlineStr">
        <is>
          <t xml:space="preserve">AC_DEB</t>
        </is>
      </c>
      <c r="H118" s="20" t="inlineStr">
        <is>
          <t xml:space="preserve">59</t>
        </is>
      </c>
      <c r="I118" s="9" t="inlineStr">
        <is>
          <t xml:space="preserve">Pertes de valeur sur actifs financiers courants</t>
        </is>
      </c>
      <c r="J118" s="10" t="inlineStr">
        <is>
          <t xml:space="preserve">AC_PLA</t>
        </is>
      </c>
      <c r="K118" s="10">
        <v>1</v>
      </c>
    </row>
    <row r="119">
      <c r="A119" s="20" t="inlineStr">
        <is>
          <t xml:space="preserve">467</t>
        </is>
      </c>
      <c r="B119" s="9" t="inlineStr">
        <is>
          <t xml:space="preserve">Autres comptes débiteurs ou créditeurs</t>
        </is>
      </c>
      <c r="C119" s="21" t="inlineStr">
        <is>
          <t xml:space="preserve">حسابات مدينة أو دائنة أخرى</t>
        </is>
      </c>
      <c r="D119" s="10" t="inlineStr">
        <is>
          <t xml:space="preserve">4</t>
        </is>
      </c>
      <c r="E119" s="10" t="inlineStr">
        <is>
          <t xml:space="preserve">Compte</t>
        </is>
      </c>
      <c r="F119" s="10" t="inlineStr">
        <is>
          <t xml:space="preserve">AC_DEB</t>
        </is>
      </c>
      <c r="H119" s="20" t="inlineStr">
        <is>
          <t xml:space="preserve">600</t>
        </is>
      </c>
      <c r="I119" s="9" t="inlineStr">
        <is>
          <t xml:space="preserve">Achats de marchandises vendues</t>
        </is>
      </c>
      <c r="J119" s="10"/>
      <c r="K119" s="10">
        <v>0</v>
      </c>
    </row>
    <row r="120">
      <c r="A120" s="20" t="inlineStr">
        <is>
          <t xml:space="preserve">468</t>
        </is>
      </c>
      <c r="B120" s="9" t="inlineStr">
        <is>
          <t xml:space="preserve">Créditeurs divers</t>
        </is>
      </c>
      <c r="C120" s="21" t="inlineStr">
        <is>
          <t xml:space="preserve">دائنون متنوعون</t>
        </is>
      </c>
      <c r="D120" s="10" t="inlineStr">
        <is>
          <t xml:space="preserve">4</t>
        </is>
      </c>
      <c r="E120" s="10" t="inlineStr">
        <is>
          <t xml:space="preserve">Compte</t>
        </is>
      </c>
      <c r="F120" s="10" t="inlineStr">
        <is>
          <t xml:space="preserve">PC_AUT</t>
        </is>
      </c>
      <c r="H120" s="20" t="inlineStr">
        <is>
          <t xml:space="preserve">601</t>
        </is>
      </c>
      <c r="I120" s="9" t="inlineStr">
        <is>
          <t xml:space="preserve">Matières premières</t>
        </is>
      </c>
      <c r="J120" s="10"/>
      <c r="K120" s="10">
        <v>0</v>
      </c>
    </row>
    <row r="121">
      <c r="A121" s="20" t="inlineStr">
        <is>
          <t xml:space="preserve">47</t>
        </is>
      </c>
      <c r="B121" s="9" t="inlineStr">
        <is>
          <t xml:space="preserve">Comptes transitoires ou d'attente</t>
        </is>
      </c>
      <c r="C121" s="21" t="inlineStr">
        <is>
          <t xml:space="preserve">حسابات انتقالية أو قيد التسوية</t>
        </is>
      </c>
      <c r="D121" s="10" t="inlineStr">
        <is>
          <t xml:space="preserve">4</t>
        </is>
      </c>
      <c r="E121" s="10" t="inlineStr">
        <is>
          <t xml:space="preserve">Compte</t>
        </is>
      </c>
      <c r="F121" s="10" t="inlineStr">
        <is>
          <t xml:space="preserve">AC_AUT</t>
        </is>
      </c>
      <c r="H121" s="20" t="inlineStr">
        <is>
          <t xml:space="preserve">602</t>
        </is>
      </c>
      <c r="I121" s="9" t="inlineStr">
        <is>
          <t xml:space="preserve">Autres approvisionnements</t>
        </is>
      </c>
      <c r="J121" s="10"/>
      <c r="K121" s="10">
        <v>0</v>
      </c>
    </row>
    <row r="122">
      <c r="A122" s="20" t="inlineStr">
        <is>
          <t xml:space="preserve">486</t>
        </is>
      </c>
      <c r="B122" s="9" t="inlineStr">
        <is>
          <t xml:space="preserve">Charges constatées d'avance</t>
        </is>
      </c>
      <c r="C122" s="21" t="inlineStr">
        <is>
          <t xml:space="preserve">أعباء مثبتة مسبقا</t>
        </is>
      </c>
      <c r="D122" s="10" t="inlineStr">
        <is>
          <t xml:space="preserve">4</t>
        </is>
      </c>
      <c r="E122" s="10" t="inlineStr">
        <is>
          <t xml:space="preserve">Compte</t>
        </is>
      </c>
      <c r="F122" s="10" t="inlineStr">
        <is>
          <t xml:space="preserve">AC_AUT</t>
        </is>
      </c>
      <c r="H122" s="20" t="inlineStr">
        <is>
          <t xml:space="preserve">603</t>
        </is>
      </c>
      <c r="I122" s="9" t="inlineStr">
        <is>
          <t xml:space="preserve">Variation des stocks</t>
        </is>
      </c>
      <c r="J122" s="10"/>
      <c r="K122" s="10">
        <v>0</v>
      </c>
    </row>
    <row r="123">
      <c r="A123" s="20" t="inlineStr">
        <is>
          <t xml:space="preserve">487</t>
        </is>
      </c>
      <c r="B123" s="9" t="inlineStr">
        <is>
          <t xml:space="preserve">Produits constatés d'avance</t>
        </is>
      </c>
      <c r="C123" s="21" t="inlineStr">
        <is>
          <t xml:space="preserve">منتوجات مثبتة مسبقا</t>
        </is>
      </c>
      <c r="D123" s="10" t="inlineStr">
        <is>
          <t xml:space="preserve">4</t>
        </is>
      </c>
      <c r="E123" s="10" t="inlineStr">
        <is>
          <t xml:space="preserve">Compte</t>
        </is>
      </c>
      <c r="F123" s="10" t="inlineStr">
        <is>
          <t xml:space="preserve">PN_PRO</t>
        </is>
      </c>
      <c r="H123" s="20" t="inlineStr">
        <is>
          <t xml:space="preserve">604</t>
        </is>
      </c>
      <c r="I123" s="9" t="inlineStr">
        <is>
          <t xml:space="preserve">Achats d'études et de prestations de services</t>
        </is>
      </c>
      <c r="J123" s="10"/>
      <c r="K123" s="10">
        <v>0</v>
      </c>
    </row>
    <row r="124">
      <c r="A124" s="20" t="inlineStr">
        <is>
          <t xml:space="preserve">489</t>
        </is>
      </c>
      <c r="B124" s="9" t="inlineStr">
        <is>
          <t xml:space="preserve">Provisions — passifs courants</t>
        </is>
      </c>
      <c r="C124" s="21" t="inlineStr">
        <is>
          <t xml:space="preserve">مؤونات — خصوم جارية</t>
        </is>
      </c>
      <c r="D124" s="10" t="inlineStr">
        <is>
          <t xml:space="preserve">4</t>
        </is>
      </c>
      <c r="E124" s="10" t="inlineStr">
        <is>
          <t xml:space="preserve">Compte</t>
        </is>
      </c>
      <c r="F124" s="10" t="inlineStr">
        <is>
          <t xml:space="preserve">PC_AUT</t>
        </is>
      </c>
      <c r="H124" s="20" t="inlineStr">
        <is>
          <t xml:space="preserve">605</t>
        </is>
      </c>
      <c r="I124" s="9" t="inlineStr">
        <is>
          <t xml:space="preserve">Achats de matériels, équipements et travaux</t>
        </is>
      </c>
      <c r="J124" s="10"/>
      <c r="K124" s="10">
        <v>0</v>
      </c>
    </row>
    <row r="125">
      <c r="A125" s="20" t="inlineStr">
        <is>
          <t xml:space="preserve">491</t>
        </is>
      </c>
      <c r="B125" s="9" t="inlineStr">
        <is>
          <t xml:space="preserve">Pertes de valeur sur comptes de clients</t>
        </is>
      </c>
      <c r="C125" s="21" t="inlineStr">
        <is>
          <t xml:space="preserve">خسائر القيمة عن حسابات الزبائن</t>
        </is>
      </c>
      <c r="D125" s="10" t="inlineStr">
        <is>
          <t xml:space="preserve">4</t>
        </is>
      </c>
      <c r="E125" s="10" t="inlineStr">
        <is>
          <t xml:space="preserve">Compte</t>
        </is>
      </c>
      <c r="F125" s="10" t="inlineStr">
        <is>
          <t xml:space="preserve">AC_CLI</t>
        </is>
      </c>
      <c r="H125" s="20" t="inlineStr">
        <is>
          <t xml:space="preserve">607</t>
        </is>
      </c>
      <c r="I125" s="9" t="inlineStr">
        <is>
          <t xml:space="preserve">Achats non stockés de matières et fournitures</t>
        </is>
      </c>
      <c r="J125" s="10"/>
      <c r="K125" s="10">
        <v>0</v>
      </c>
    </row>
    <row r="126">
      <c r="A126" s="20" t="inlineStr">
        <is>
          <t xml:space="preserve">50</t>
        </is>
      </c>
      <c r="B126" s="9" t="inlineStr">
        <is>
          <t xml:space="preserve">Valeurs mobilières de placement</t>
        </is>
      </c>
      <c r="C126" s="21" t="inlineStr">
        <is>
          <t xml:space="preserve">القيم المنقولة للتوظيف</t>
        </is>
      </c>
      <c r="D126" s="10" t="inlineStr">
        <is>
          <t xml:space="preserve">5</t>
        </is>
      </c>
      <c r="E126" s="10" t="inlineStr">
        <is>
          <t xml:space="preserve">Compte</t>
        </is>
      </c>
      <c r="F126" s="10" t="inlineStr">
        <is>
          <t xml:space="preserve">AC_PLA</t>
        </is>
      </c>
      <c r="H126" s="20" t="inlineStr">
        <is>
          <t xml:space="preserve">608</t>
        </is>
      </c>
      <c r="I126" s="9" t="inlineStr">
        <is>
          <t xml:space="preserve">Frais accessoires d'achat</t>
        </is>
      </c>
      <c r="J126" s="10"/>
      <c r="K126" s="10">
        <v>0</v>
      </c>
    </row>
    <row r="127">
      <c r="A127" s="23" t="inlineStr">
        <is>
          <t xml:space="preserve">51</t>
        </is>
      </c>
      <c r="B127" s="23" t="inlineStr">
        <is>
          <t xml:space="preserve">Banques, établissements financiers et assimilés</t>
        </is>
      </c>
      <c r="C127" s="23" t="inlineStr">
        <is>
          <t xml:space="preserve">البنوك والمؤسسات المالية وما شابهها</t>
        </is>
      </c>
      <c r="D127" s="10" t="inlineStr">
        <is>
          <t xml:space="preserve">5</t>
        </is>
      </c>
      <c r="E127" s="10" t="inlineStr">
        <is>
          <t xml:space="preserve">Rubrique</t>
        </is>
      </c>
      <c r="F127" s="10"/>
      <c r="H127" s="20" t="inlineStr">
        <is>
          <t xml:space="preserve">609</t>
        </is>
      </c>
      <c r="I127" s="9" t="inlineStr">
        <is>
          <t xml:space="preserve">Rabais, remises et ristournes obtenus sur achats</t>
        </is>
      </c>
      <c r="J127" s="10"/>
      <c r="K127" s="10">
        <v>0</v>
      </c>
    </row>
    <row r="128">
      <c r="A128" s="20" t="inlineStr">
        <is>
          <t xml:space="preserve">511</t>
        </is>
      </c>
      <c r="B128" s="9" t="inlineStr">
        <is>
          <t xml:space="preserve">Valeurs à l'encaissement</t>
        </is>
      </c>
      <c r="C128" s="21" t="inlineStr">
        <is>
          <t xml:space="preserve">قيم قيد التحصيل</t>
        </is>
      </c>
      <c r="D128" s="10" t="inlineStr">
        <is>
          <t xml:space="preserve">5</t>
        </is>
      </c>
      <c r="E128" s="10" t="inlineStr">
        <is>
          <t xml:space="preserve">Compte</t>
        </is>
      </c>
      <c r="F128" s="10" t="inlineStr">
        <is>
          <t xml:space="preserve">AC_TRE</t>
        </is>
      </c>
      <c r="H128" s="20" t="inlineStr">
        <is>
          <t xml:space="preserve">611</t>
        </is>
      </c>
      <c r="I128" s="9" t="inlineStr">
        <is>
          <t xml:space="preserve">Sous-traitance générale</t>
        </is>
      </c>
      <c r="J128" s="10"/>
      <c r="K128" s="10">
        <v>0</v>
      </c>
    </row>
    <row r="129">
      <c r="A129" s="20" t="inlineStr">
        <is>
          <t xml:space="preserve">512</t>
        </is>
      </c>
      <c r="B129" s="9" t="inlineStr">
        <is>
          <t xml:space="preserve">Banques comptes courants</t>
        </is>
      </c>
      <c r="C129" s="21" t="inlineStr">
        <is>
          <t xml:space="preserve">البنوك، الحسابات الجارية</t>
        </is>
      </c>
      <c r="D129" s="10" t="inlineStr">
        <is>
          <t xml:space="preserve">5</t>
        </is>
      </c>
      <c r="E129" s="10" t="inlineStr">
        <is>
          <t xml:space="preserve">Compte</t>
        </is>
      </c>
      <c r="F129" s="10" t="inlineStr">
        <is>
          <t xml:space="preserve">AC_TRE</t>
        </is>
      </c>
      <c r="H129" s="20" t="inlineStr">
        <is>
          <t xml:space="preserve">613</t>
        </is>
      </c>
      <c r="I129" s="9" t="inlineStr">
        <is>
          <t xml:space="preserve">Locations</t>
        </is>
      </c>
      <c r="J129" s="10"/>
      <c r="K129" s="10">
        <v>0</v>
      </c>
    </row>
    <row r="130">
      <c r="A130" s="20" t="inlineStr">
        <is>
          <t xml:space="preserve">515</t>
        </is>
      </c>
      <c r="B130" s="9" t="inlineStr">
        <is>
          <t xml:space="preserve">Trésor public et établissements publics (CCP)</t>
        </is>
      </c>
      <c r="C130" s="21" t="inlineStr">
        <is>
          <t xml:space="preserve">الخزينة العمومية والمؤسسات العمومية (الحساب الجاري البريدي)</t>
        </is>
      </c>
      <c r="D130" s="10" t="inlineStr">
        <is>
          <t xml:space="preserve">5</t>
        </is>
      </c>
      <c r="E130" s="10" t="inlineStr">
        <is>
          <t xml:space="preserve">Compte</t>
        </is>
      </c>
      <c r="F130" s="10" t="inlineStr">
        <is>
          <t xml:space="preserve">AC_TRE</t>
        </is>
      </c>
      <c r="H130" s="20" t="inlineStr">
        <is>
          <t xml:space="preserve">614</t>
        </is>
      </c>
      <c r="I130" s="9" t="inlineStr">
        <is>
          <t xml:space="preserve">Charges locatives et de copropriété</t>
        </is>
      </c>
      <c r="J130" s="10"/>
      <c r="K130" s="10">
        <v>0</v>
      </c>
    </row>
    <row r="131">
      <c r="A131" s="20" t="inlineStr">
        <is>
          <t xml:space="preserve">517</t>
        </is>
      </c>
      <c r="B131" s="9" t="inlineStr">
        <is>
          <t xml:space="preserve">Autres organismes financiers</t>
        </is>
      </c>
      <c r="C131" s="21" t="inlineStr">
        <is>
          <t xml:space="preserve">هيئات مالية أخرى</t>
        </is>
      </c>
      <c r="D131" s="10" t="inlineStr">
        <is>
          <t xml:space="preserve">5</t>
        </is>
      </c>
      <c r="E131" s="10" t="inlineStr">
        <is>
          <t xml:space="preserve">Compte</t>
        </is>
      </c>
      <c r="F131" s="10" t="inlineStr">
        <is>
          <t xml:space="preserve">AC_TRE</t>
        </is>
      </c>
      <c r="H131" s="20" t="inlineStr">
        <is>
          <t xml:space="preserve">615</t>
        </is>
      </c>
      <c r="I131" s="9" t="inlineStr">
        <is>
          <t xml:space="preserve">Entretien, réparations et maintenance</t>
        </is>
      </c>
      <c r="J131" s="10"/>
      <c r="K131" s="10">
        <v>0</v>
      </c>
    </row>
    <row r="132">
      <c r="A132" s="20" t="inlineStr">
        <is>
          <t xml:space="preserve">518</t>
        </is>
      </c>
      <c r="B132" s="9" t="inlineStr">
        <is>
          <t xml:space="preserve">Intérêts courus</t>
        </is>
      </c>
      <c r="C132" s="21" t="inlineStr">
        <is>
          <t xml:space="preserve">الفوائد الجارية</t>
        </is>
      </c>
      <c r="D132" s="10" t="inlineStr">
        <is>
          <t xml:space="preserve">5</t>
        </is>
      </c>
      <c r="E132" s="10" t="inlineStr">
        <is>
          <t xml:space="preserve">Compte</t>
        </is>
      </c>
      <c r="F132" s="10" t="inlineStr">
        <is>
          <t xml:space="preserve">AC_TRE</t>
        </is>
      </c>
      <c r="H132" s="20" t="inlineStr">
        <is>
          <t xml:space="preserve">616</t>
        </is>
      </c>
      <c r="I132" s="9" t="inlineStr">
        <is>
          <t xml:space="preserve">Primes d'assurances</t>
        </is>
      </c>
      <c r="J132" s="10"/>
      <c r="K132" s="10">
        <v>0</v>
      </c>
    </row>
    <row r="133">
      <c r="A133" s="20" t="inlineStr">
        <is>
          <t xml:space="preserve">519</t>
        </is>
      </c>
      <c r="B133" s="9" t="inlineStr">
        <is>
          <t xml:space="preserve">Concours bancaires courants (découverts)</t>
        </is>
      </c>
      <c r="C133" s="21" t="inlineStr">
        <is>
          <t xml:space="preserve">التسهيلات البنكية الجارية (السحب على المكشوف)</t>
        </is>
      </c>
      <c r="D133" s="10" t="inlineStr">
        <is>
          <t xml:space="preserve">5</t>
        </is>
      </c>
      <c r="E133" s="10" t="inlineStr">
        <is>
          <t xml:space="preserve">Compte</t>
        </is>
      </c>
      <c r="F133" s="10" t="inlineStr">
        <is>
          <t xml:space="preserve">PC_TRE</t>
        </is>
      </c>
      <c r="H133" s="20" t="inlineStr">
        <is>
          <t xml:space="preserve">617</t>
        </is>
      </c>
      <c r="I133" s="9" t="inlineStr">
        <is>
          <t xml:space="preserve">Études et recherches</t>
        </is>
      </c>
      <c r="J133" s="10"/>
      <c r="K133" s="10">
        <v>0</v>
      </c>
    </row>
    <row r="134">
      <c r="A134" s="20" t="inlineStr">
        <is>
          <t xml:space="preserve">52</t>
        </is>
      </c>
      <c r="B134" s="9" t="inlineStr">
        <is>
          <t xml:space="preserve">Instruments financiers dérivés</t>
        </is>
      </c>
      <c r="C134" s="21" t="inlineStr">
        <is>
          <t xml:space="preserve">الأدوات المالية المشتقة</t>
        </is>
      </c>
      <c r="D134" s="10" t="inlineStr">
        <is>
          <t xml:space="preserve">5</t>
        </is>
      </c>
      <c r="E134" s="10" t="inlineStr">
        <is>
          <t xml:space="preserve">Compte</t>
        </is>
      </c>
      <c r="F134" s="10" t="inlineStr">
        <is>
          <t xml:space="preserve">AC_PLA</t>
        </is>
      </c>
      <c r="H134" s="20" t="inlineStr">
        <is>
          <t xml:space="preserve">618</t>
        </is>
      </c>
      <c r="I134" s="9" t="inlineStr">
        <is>
          <t xml:space="preserve">Documentation et divers</t>
        </is>
      </c>
      <c r="J134" s="10"/>
      <c r="K134" s="10">
        <v>0</v>
      </c>
    </row>
    <row r="135">
      <c r="A135" s="23" t="inlineStr">
        <is>
          <t xml:space="preserve">53</t>
        </is>
      </c>
      <c r="B135" s="23" t="inlineStr">
        <is>
          <t xml:space="preserve">Caisse</t>
        </is>
      </c>
      <c r="C135" s="23" t="inlineStr">
        <is>
          <t xml:space="preserve">الصندوق</t>
        </is>
      </c>
      <c r="D135" s="10" t="inlineStr">
        <is>
          <t xml:space="preserve">5</t>
        </is>
      </c>
      <c r="E135" s="10" t="inlineStr">
        <is>
          <t xml:space="preserve">Rubrique</t>
        </is>
      </c>
      <c r="F135" s="10"/>
      <c r="H135" s="20" t="inlineStr">
        <is>
          <t xml:space="preserve">621</t>
        </is>
      </c>
      <c r="I135" s="9" t="inlineStr">
        <is>
          <t xml:space="preserve">Personnel extérieur à l'entreprise</t>
        </is>
      </c>
      <c r="J135" s="10"/>
      <c r="K135" s="10">
        <v>0</v>
      </c>
    </row>
    <row r="136">
      <c r="A136" s="20" t="inlineStr">
        <is>
          <t xml:space="preserve">530</t>
        </is>
      </c>
      <c r="B136" s="9" t="inlineStr">
        <is>
          <t xml:space="preserve">Caisse</t>
        </is>
      </c>
      <c r="C136" s="21" t="inlineStr">
        <is>
          <t xml:space="preserve">الصندوق</t>
        </is>
      </c>
      <c r="D136" s="10" t="inlineStr">
        <is>
          <t xml:space="preserve">5</t>
        </is>
      </c>
      <c r="E136" s="10" t="inlineStr">
        <is>
          <t xml:space="preserve">Compte</t>
        </is>
      </c>
      <c r="F136" s="10" t="inlineStr">
        <is>
          <t xml:space="preserve">AC_TRE</t>
        </is>
      </c>
      <c r="H136" s="20" t="inlineStr">
        <is>
          <t xml:space="preserve">622</t>
        </is>
      </c>
      <c r="I136" s="9" t="inlineStr">
        <is>
          <t xml:space="preserve">Rémunérations d'intermédiaires et honoraires</t>
        </is>
      </c>
      <c r="J136" s="10"/>
      <c r="K136" s="10">
        <v>0</v>
      </c>
    </row>
    <row r="137">
      <c r="A137" s="20" t="inlineStr">
        <is>
          <t xml:space="preserve">54</t>
        </is>
      </c>
      <c r="B137" s="9" t="inlineStr">
        <is>
          <t xml:space="preserve">Régies d'avances et accréditifs</t>
        </is>
      </c>
      <c r="C137" s="21" t="inlineStr">
        <is>
          <t xml:space="preserve">وكالات التسبيقات والاعتمادات</t>
        </is>
      </c>
      <c r="D137" s="10" t="inlineStr">
        <is>
          <t xml:space="preserve">5</t>
        </is>
      </c>
      <c r="E137" s="10" t="inlineStr">
        <is>
          <t xml:space="preserve">Compte</t>
        </is>
      </c>
      <c r="F137" s="10" t="inlineStr">
        <is>
          <t xml:space="preserve">AC_TRE</t>
        </is>
      </c>
      <c r="H137" s="20" t="inlineStr">
        <is>
          <t xml:space="preserve">623</t>
        </is>
      </c>
      <c r="I137" s="9" t="inlineStr">
        <is>
          <t xml:space="preserve">Publicité, publications, relations publiques</t>
        </is>
      </c>
      <c r="J137" s="10"/>
      <c r="K137" s="10">
        <v>0</v>
      </c>
    </row>
    <row r="138">
      <c r="A138" s="20" t="inlineStr">
        <is>
          <t xml:space="preserve">58</t>
        </is>
      </c>
      <c r="B138" s="9" t="inlineStr">
        <is>
          <t xml:space="preserve">Virements internes</t>
        </is>
      </c>
      <c r="C138" s="21" t="inlineStr">
        <is>
          <t xml:space="preserve">التحويلات الداخلية</t>
        </is>
      </c>
      <c r="D138" s="10" t="inlineStr">
        <is>
          <t xml:space="preserve">5</t>
        </is>
      </c>
      <c r="E138" s="10" t="inlineStr">
        <is>
          <t xml:space="preserve">Compte</t>
        </is>
      </c>
      <c r="F138" s="10" t="inlineStr">
        <is>
          <t xml:space="preserve">AC_TRE</t>
        </is>
      </c>
      <c r="H138" s="20" t="inlineStr">
        <is>
          <t xml:space="preserve">624</t>
        </is>
      </c>
      <c r="I138" s="9" t="inlineStr">
        <is>
          <t xml:space="preserve">Transports de biens et du personnel</t>
        </is>
      </c>
      <c r="J138" s="10"/>
      <c r="K138" s="10">
        <v>0</v>
      </c>
    </row>
    <row r="139">
      <c r="A139" s="20" t="inlineStr">
        <is>
          <t xml:space="preserve">59</t>
        </is>
      </c>
      <c r="B139" s="9" t="inlineStr">
        <is>
          <t xml:space="preserve">Pertes de valeur sur actifs financiers courants</t>
        </is>
      </c>
      <c r="C139" s="21" t="inlineStr">
        <is>
          <t xml:space="preserve">خسائر القيمة عن الأصول المالية الجارية</t>
        </is>
      </c>
      <c r="D139" s="10" t="inlineStr">
        <is>
          <t xml:space="preserve">5</t>
        </is>
      </c>
      <c r="E139" s="10" t="inlineStr">
        <is>
          <t xml:space="preserve">Compte</t>
        </is>
      </c>
      <c r="F139" s="10" t="inlineStr">
        <is>
          <t xml:space="preserve">AC_PLA</t>
        </is>
      </c>
      <c r="H139" s="20" t="inlineStr">
        <is>
          <t xml:space="preserve">625</t>
        </is>
      </c>
      <c r="I139" s="9" t="inlineStr">
        <is>
          <t xml:space="preserve">Déplacements, missions et réceptions</t>
        </is>
      </c>
      <c r="J139" s="10"/>
      <c r="K139" s="10">
        <v>0</v>
      </c>
    </row>
    <row r="140">
      <c r="A140" s="23" t="inlineStr">
        <is>
          <t xml:space="preserve">60</t>
        </is>
      </c>
      <c r="B140" s="23" t="inlineStr">
        <is>
          <t xml:space="preserve">Achats consommés</t>
        </is>
      </c>
      <c r="C140" s="23" t="inlineStr">
        <is>
          <t xml:space="preserve">المشتريات المستهلكة</t>
        </is>
      </c>
      <c r="D140" s="10" t="inlineStr">
        <is>
          <t xml:space="preserve">6</t>
        </is>
      </c>
      <c r="E140" s="10" t="inlineStr">
        <is>
          <t xml:space="preserve">Rubrique</t>
        </is>
      </c>
      <c r="F140" s="10"/>
      <c r="H140" s="20" t="inlineStr">
        <is>
          <t xml:space="preserve">626</t>
        </is>
      </c>
      <c r="I140" s="9" t="inlineStr">
        <is>
          <t xml:space="preserve">Frais postaux et de télécommunications</t>
        </is>
      </c>
      <c r="J140" s="10"/>
      <c r="K140" s="10">
        <v>0</v>
      </c>
    </row>
    <row r="141">
      <c r="A141" s="20" t="inlineStr">
        <is>
          <t xml:space="preserve">600</t>
        </is>
      </c>
      <c r="B141" s="9" t="inlineStr">
        <is>
          <t xml:space="preserve">Achats de marchandises vendues</t>
        </is>
      </c>
      <c r="C141" s="21" t="inlineStr">
        <is>
          <t xml:space="preserve">مشتريات البضائع المبيعة</t>
        </is>
      </c>
      <c r="D141" s="10" t="inlineStr">
        <is>
          <t xml:space="preserve">6</t>
        </is>
      </c>
      <c r="E141" s="10" t="inlineStr">
        <is>
          <t xml:space="preserve">Compte</t>
        </is>
      </c>
      <c r="F141" s="10" t="inlineStr">
        <is>
          <t xml:space="preserve">—</t>
        </is>
      </c>
      <c r="H141" s="20" t="inlineStr">
        <is>
          <t xml:space="preserve">627</t>
        </is>
      </c>
      <c r="I141" s="9" t="inlineStr">
        <is>
          <t xml:space="preserve">Services bancaires et assimilés</t>
        </is>
      </c>
      <c r="J141" s="10"/>
      <c r="K141" s="10">
        <v>0</v>
      </c>
    </row>
    <row r="142">
      <c r="A142" s="20" t="inlineStr">
        <is>
          <t xml:space="preserve">601</t>
        </is>
      </c>
      <c r="B142" s="9" t="inlineStr">
        <is>
          <t xml:space="preserve">Matières premières</t>
        </is>
      </c>
      <c r="C142" s="21" t="inlineStr">
        <is>
          <t xml:space="preserve">المواد الأولية</t>
        </is>
      </c>
      <c r="D142" s="10" t="inlineStr">
        <is>
          <t xml:space="preserve">6</t>
        </is>
      </c>
      <c r="E142" s="10" t="inlineStr">
        <is>
          <t xml:space="preserve">Compte</t>
        </is>
      </c>
      <c r="F142" s="10" t="inlineStr">
        <is>
          <t xml:space="preserve">—</t>
        </is>
      </c>
      <c r="H142" s="20" t="inlineStr">
        <is>
          <t xml:space="preserve">628</t>
        </is>
      </c>
      <c r="I142" s="9" t="inlineStr">
        <is>
          <t xml:space="preserve">Cotisations et divers</t>
        </is>
      </c>
      <c r="J142" s="10"/>
      <c r="K142" s="10">
        <v>0</v>
      </c>
    </row>
    <row r="143">
      <c r="A143" s="20" t="inlineStr">
        <is>
          <t xml:space="preserve">602</t>
        </is>
      </c>
      <c r="B143" s="9" t="inlineStr">
        <is>
          <t xml:space="preserve">Autres approvisionnements</t>
        </is>
      </c>
      <c r="C143" s="21" t="inlineStr">
        <is>
          <t xml:space="preserve">تموينات أخرى</t>
        </is>
      </c>
      <c r="D143" s="10" t="inlineStr">
        <is>
          <t xml:space="preserve">6</t>
        </is>
      </c>
      <c r="E143" s="10" t="inlineStr">
        <is>
          <t xml:space="preserve">Compte</t>
        </is>
      </c>
      <c r="F143" s="10" t="inlineStr">
        <is>
          <t xml:space="preserve">—</t>
        </is>
      </c>
      <c r="H143" s="20" t="inlineStr">
        <is>
          <t xml:space="preserve">631</t>
        </is>
      </c>
      <c r="I143" s="9" t="inlineStr">
        <is>
          <t xml:space="preserve">Rémunérations du personnel</t>
        </is>
      </c>
      <c r="J143" s="10"/>
      <c r="K143" s="10">
        <v>0</v>
      </c>
    </row>
    <row r="144">
      <c r="A144" s="20" t="inlineStr">
        <is>
          <t xml:space="preserve">603</t>
        </is>
      </c>
      <c r="B144" s="9" t="inlineStr">
        <is>
          <t xml:space="preserve">Variation des stocks</t>
        </is>
      </c>
      <c r="C144" s="21" t="inlineStr">
        <is>
          <t xml:space="preserve">تغيرات المخزونات</t>
        </is>
      </c>
      <c r="D144" s="10" t="inlineStr">
        <is>
          <t xml:space="preserve">6</t>
        </is>
      </c>
      <c r="E144" s="10" t="inlineStr">
        <is>
          <t xml:space="preserve">Compte</t>
        </is>
      </c>
      <c r="F144" s="10" t="inlineStr">
        <is>
          <t xml:space="preserve">—</t>
        </is>
      </c>
      <c r="H144" s="20" t="inlineStr">
        <is>
          <t xml:space="preserve">634</t>
        </is>
      </c>
      <c r="I144" s="9" t="inlineStr">
        <is>
          <t xml:space="preserve">Rémunération de l'exploitant individuel</t>
        </is>
      </c>
      <c r="J144" s="10"/>
      <c r="K144" s="10">
        <v>0</v>
      </c>
    </row>
    <row r="145">
      <c r="A145" s="20" t="inlineStr">
        <is>
          <t xml:space="preserve">604</t>
        </is>
      </c>
      <c r="B145" s="9" t="inlineStr">
        <is>
          <t xml:space="preserve">Achats d'études et de prestations de services</t>
        </is>
      </c>
      <c r="C145" s="21" t="inlineStr">
        <is>
          <t xml:space="preserve">شراء الدراسات والخدمات</t>
        </is>
      </c>
      <c r="D145" s="10" t="inlineStr">
        <is>
          <t xml:space="preserve">6</t>
        </is>
      </c>
      <c r="E145" s="10" t="inlineStr">
        <is>
          <t xml:space="preserve">Compte</t>
        </is>
      </c>
      <c r="F145" s="10" t="inlineStr">
        <is>
          <t xml:space="preserve">—</t>
        </is>
      </c>
      <c r="H145" s="20" t="inlineStr">
        <is>
          <t xml:space="preserve">635</t>
        </is>
      </c>
      <c r="I145" s="9" t="inlineStr">
        <is>
          <t xml:space="preserve">Cotisations aux organismes sociaux</t>
        </is>
      </c>
      <c r="J145" s="10"/>
      <c r="K145" s="10">
        <v>0</v>
      </c>
    </row>
    <row r="146">
      <c r="A146" s="20" t="inlineStr">
        <is>
          <t xml:space="preserve">605</t>
        </is>
      </c>
      <c r="B146" s="9" t="inlineStr">
        <is>
          <t xml:space="preserve">Achats de matériels, équipements et travaux</t>
        </is>
      </c>
      <c r="C146" s="21" t="inlineStr">
        <is>
          <t xml:space="preserve">شراء العتاد والتجهيزات والأشغال</t>
        </is>
      </c>
      <c r="D146" s="10" t="inlineStr">
        <is>
          <t xml:space="preserve">6</t>
        </is>
      </c>
      <c r="E146" s="10" t="inlineStr">
        <is>
          <t xml:space="preserve">Compte</t>
        </is>
      </c>
      <c r="F146" s="10" t="inlineStr">
        <is>
          <t xml:space="preserve">—</t>
        </is>
      </c>
      <c r="H146" s="20" t="inlineStr">
        <is>
          <t xml:space="preserve">636</t>
        </is>
      </c>
      <c r="I146" s="9" t="inlineStr">
        <is>
          <t xml:space="preserve">Charges sociales de l'exploitant individuel</t>
        </is>
      </c>
      <c r="J146" s="10"/>
      <c r="K146" s="10">
        <v>0</v>
      </c>
    </row>
    <row r="147">
      <c r="A147" s="20" t="inlineStr">
        <is>
          <t xml:space="preserve">607</t>
        </is>
      </c>
      <c r="B147" s="9" t="inlineStr">
        <is>
          <t xml:space="preserve">Achats non stockés de matières et fournitures</t>
        </is>
      </c>
      <c r="C147" s="21" t="inlineStr">
        <is>
          <t xml:space="preserve">المشتريات غير المخزنة من المواد واللوازم</t>
        </is>
      </c>
      <c r="D147" s="10" t="inlineStr">
        <is>
          <t xml:space="preserve">6</t>
        </is>
      </c>
      <c r="E147" s="10" t="inlineStr">
        <is>
          <t xml:space="preserve">Compte</t>
        </is>
      </c>
      <c r="F147" s="10" t="inlineStr">
        <is>
          <t xml:space="preserve">—</t>
        </is>
      </c>
      <c r="H147" s="20" t="inlineStr">
        <is>
          <t xml:space="preserve">638</t>
        </is>
      </c>
      <c r="I147" s="9" t="inlineStr">
        <is>
          <t xml:space="preserve">Autres charges sociales</t>
        </is>
      </c>
      <c r="J147" s="10"/>
      <c r="K147" s="10">
        <v>0</v>
      </c>
    </row>
    <row r="148">
      <c r="A148" s="20" t="inlineStr">
        <is>
          <t xml:space="preserve">608</t>
        </is>
      </c>
      <c r="B148" s="9" t="inlineStr">
        <is>
          <t xml:space="preserve">Frais accessoires d'achat</t>
        </is>
      </c>
      <c r="C148" s="21" t="inlineStr">
        <is>
          <t xml:space="preserve">المصاريف الملحقة بالشراء</t>
        </is>
      </c>
      <c r="D148" s="10" t="inlineStr">
        <is>
          <t xml:space="preserve">6</t>
        </is>
      </c>
      <c r="E148" s="10" t="inlineStr">
        <is>
          <t xml:space="preserve">Compte</t>
        </is>
      </c>
      <c r="F148" s="10" t="inlineStr">
        <is>
          <t xml:space="preserve">—</t>
        </is>
      </c>
      <c r="H148" s="20" t="inlineStr">
        <is>
          <t xml:space="preserve">641</t>
        </is>
      </c>
      <c r="I148" s="9" t="inlineStr">
        <is>
          <t xml:space="preserve">Impôts et taxes non récupérables sur le chiffre d'affaires (TAP)</t>
        </is>
      </c>
      <c r="J148" s="10"/>
      <c r="K148" s="10">
        <v>0</v>
      </c>
    </row>
    <row r="149">
      <c r="A149" s="20" t="inlineStr">
        <is>
          <t xml:space="preserve">609</t>
        </is>
      </c>
      <c r="B149" s="9" t="inlineStr">
        <is>
          <t xml:space="preserve">Rabais, remises et ristournes obtenus sur achats</t>
        </is>
      </c>
      <c r="C149" s="21" t="inlineStr">
        <is>
          <t xml:space="preserve">التخفيضات المحصل عليها على المشتريات</t>
        </is>
      </c>
      <c r="D149" s="10" t="inlineStr">
        <is>
          <t xml:space="preserve">6</t>
        </is>
      </c>
      <c r="E149" s="10" t="inlineStr">
        <is>
          <t xml:space="preserve">Compte</t>
        </is>
      </c>
      <c r="F149" s="10" t="inlineStr">
        <is>
          <t xml:space="preserve">—</t>
        </is>
      </c>
      <c r="H149" s="20" t="inlineStr">
        <is>
          <t xml:space="preserve">642</t>
        </is>
      </c>
      <c r="I149" s="9" t="inlineStr">
        <is>
          <t xml:space="preserve">Impôts et taxes non récupérables sur rémunérations</t>
        </is>
      </c>
      <c r="J149" s="10"/>
      <c r="K149" s="10">
        <v>0</v>
      </c>
    </row>
    <row r="150">
      <c r="A150" s="23" t="inlineStr">
        <is>
          <t xml:space="preserve">61</t>
        </is>
      </c>
      <c r="B150" s="23" t="inlineStr">
        <is>
          <t xml:space="preserve">Services extérieurs</t>
        </is>
      </c>
      <c r="C150" s="23" t="inlineStr">
        <is>
          <t xml:space="preserve">الخدمات الخارجية</t>
        </is>
      </c>
      <c r="D150" s="10" t="inlineStr">
        <is>
          <t xml:space="preserve">6</t>
        </is>
      </c>
      <c r="E150" s="10" t="inlineStr">
        <is>
          <t xml:space="preserve">Rubrique</t>
        </is>
      </c>
      <c r="F150" s="10"/>
      <c r="H150" s="20" t="inlineStr">
        <is>
          <t xml:space="preserve">645</t>
        </is>
      </c>
      <c r="I150" s="9" t="inlineStr">
        <is>
          <t xml:space="preserve">Autres impôts et taxes (droit de timbre supporté)</t>
        </is>
      </c>
      <c r="J150" s="10"/>
      <c r="K150" s="10">
        <v>0</v>
      </c>
    </row>
    <row r="151">
      <c r="A151" s="20" t="inlineStr">
        <is>
          <t xml:space="preserve">611</t>
        </is>
      </c>
      <c r="B151" s="9" t="inlineStr">
        <is>
          <t xml:space="preserve">Sous-traitance générale</t>
        </is>
      </c>
      <c r="C151" s="21" t="inlineStr">
        <is>
          <t xml:space="preserve">المناولة العامة</t>
        </is>
      </c>
      <c r="D151" s="10" t="inlineStr">
        <is>
          <t xml:space="preserve">6</t>
        </is>
      </c>
      <c r="E151" s="10" t="inlineStr">
        <is>
          <t xml:space="preserve">Compte</t>
        </is>
      </c>
      <c r="F151" s="10" t="inlineStr">
        <is>
          <t xml:space="preserve">—</t>
        </is>
      </c>
      <c r="H151" s="20" t="inlineStr">
        <is>
          <t xml:space="preserve">651</t>
        </is>
      </c>
      <c r="I151" s="9" t="inlineStr">
        <is>
          <t xml:space="preserve">Redevances pour concessions, brevets, licences</t>
        </is>
      </c>
      <c r="J151" s="10"/>
      <c r="K151" s="10">
        <v>0</v>
      </c>
    </row>
    <row r="152">
      <c r="A152" s="20" t="inlineStr">
        <is>
          <t xml:space="preserve">613</t>
        </is>
      </c>
      <c r="B152" s="9" t="inlineStr">
        <is>
          <t xml:space="preserve">Locations</t>
        </is>
      </c>
      <c r="C152" s="21" t="inlineStr">
        <is>
          <t xml:space="preserve">الإيجارات</t>
        </is>
      </c>
      <c r="D152" s="10" t="inlineStr">
        <is>
          <t xml:space="preserve">6</t>
        </is>
      </c>
      <c r="E152" s="10" t="inlineStr">
        <is>
          <t xml:space="preserve">Compte</t>
        </is>
      </c>
      <c r="F152" s="10" t="inlineStr">
        <is>
          <t xml:space="preserve">—</t>
        </is>
      </c>
      <c r="H152" s="20" t="inlineStr">
        <is>
          <t xml:space="preserve">654</t>
        </is>
      </c>
      <c r="I152" s="9" t="inlineStr">
        <is>
          <t xml:space="preserve">Pertes sur créances irrécouvrables</t>
        </is>
      </c>
      <c r="J152" s="10"/>
      <c r="K152" s="10">
        <v>0</v>
      </c>
    </row>
    <row r="153">
      <c r="A153" s="20" t="inlineStr">
        <is>
          <t xml:space="preserve">614</t>
        </is>
      </c>
      <c r="B153" s="9" t="inlineStr">
        <is>
          <t xml:space="preserve">Charges locatives et de copropriété</t>
        </is>
      </c>
      <c r="C153" s="21" t="inlineStr">
        <is>
          <t xml:space="preserve">أعباء الإيجار والملكية المشتركة</t>
        </is>
      </c>
      <c r="D153" s="10" t="inlineStr">
        <is>
          <t xml:space="preserve">6</t>
        </is>
      </c>
      <c r="E153" s="10" t="inlineStr">
        <is>
          <t xml:space="preserve">Compte</t>
        </is>
      </c>
      <c r="F153" s="10" t="inlineStr">
        <is>
          <t xml:space="preserve">—</t>
        </is>
      </c>
      <c r="H153" s="20" t="inlineStr">
        <is>
          <t xml:space="preserve">656</t>
        </is>
      </c>
      <c r="I153" s="9" t="inlineStr">
        <is>
          <t xml:space="preserve">Amendes et pénalités</t>
        </is>
      </c>
      <c r="J153" s="10"/>
      <c r="K153" s="10">
        <v>0</v>
      </c>
    </row>
    <row r="154">
      <c r="A154" s="20" t="inlineStr">
        <is>
          <t xml:space="preserve">615</t>
        </is>
      </c>
      <c r="B154" s="9" t="inlineStr">
        <is>
          <t xml:space="preserve">Entretien, réparations et maintenance</t>
        </is>
      </c>
      <c r="C154" s="21" t="inlineStr">
        <is>
          <t xml:space="preserve">الصيانة والإصلاحات</t>
        </is>
      </c>
      <c r="D154" s="10" t="inlineStr">
        <is>
          <t xml:space="preserve">6</t>
        </is>
      </c>
      <c r="E154" s="10" t="inlineStr">
        <is>
          <t xml:space="preserve">Compte</t>
        </is>
      </c>
      <c r="F154" s="10" t="inlineStr">
        <is>
          <t xml:space="preserve">—</t>
        </is>
      </c>
      <c r="H154" s="20" t="inlineStr">
        <is>
          <t xml:space="preserve">657</t>
        </is>
      </c>
      <c r="I154" s="9" t="inlineStr">
        <is>
          <t xml:space="preserve">Charges exceptionnelles de gestion courante</t>
        </is>
      </c>
      <c r="J154" s="10"/>
      <c r="K154" s="10">
        <v>0</v>
      </c>
    </row>
    <row r="155">
      <c r="A155" s="20" t="inlineStr">
        <is>
          <t xml:space="preserve">616</t>
        </is>
      </c>
      <c r="B155" s="9" t="inlineStr">
        <is>
          <t xml:space="preserve">Primes d'assurances</t>
        </is>
      </c>
      <c r="C155" s="21" t="inlineStr">
        <is>
          <t xml:space="preserve">أقساط التأمين</t>
        </is>
      </c>
      <c r="D155" s="10" t="inlineStr">
        <is>
          <t xml:space="preserve">6</t>
        </is>
      </c>
      <c r="E155" s="10" t="inlineStr">
        <is>
          <t xml:space="preserve">Compte</t>
        </is>
      </c>
      <c r="F155" s="10" t="inlineStr">
        <is>
          <t xml:space="preserve">—</t>
        </is>
      </c>
      <c r="H155" s="20" t="inlineStr">
        <is>
          <t xml:space="preserve">658</t>
        </is>
      </c>
      <c r="I155" s="9" t="inlineStr">
        <is>
          <t xml:space="preserve">Autres charges de gestion courante</t>
        </is>
      </c>
      <c r="J155" s="10"/>
      <c r="K155" s="10">
        <v>0</v>
      </c>
    </row>
    <row r="156">
      <c r="A156" s="20" t="inlineStr">
        <is>
          <t xml:space="preserve">617</t>
        </is>
      </c>
      <c r="B156" s="9" t="inlineStr">
        <is>
          <t xml:space="preserve">Études et recherches</t>
        </is>
      </c>
      <c r="C156" s="21" t="inlineStr">
        <is>
          <t xml:space="preserve">الدراسات والأبحاث</t>
        </is>
      </c>
      <c r="D156" s="10" t="inlineStr">
        <is>
          <t xml:space="preserve">6</t>
        </is>
      </c>
      <c r="E156" s="10" t="inlineStr">
        <is>
          <t xml:space="preserve">Compte</t>
        </is>
      </c>
      <c r="F156" s="10" t="inlineStr">
        <is>
          <t xml:space="preserve">—</t>
        </is>
      </c>
      <c r="H156" s="20" t="inlineStr">
        <is>
          <t xml:space="preserve">661</t>
        </is>
      </c>
      <c r="I156" s="9" t="inlineStr">
        <is>
          <t xml:space="preserve">Charges d'intérêts</t>
        </is>
      </c>
      <c r="J156" s="10"/>
      <c r="K156" s="10">
        <v>0</v>
      </c>
    </row>
    <row r="157">
      <c r="A157" s="20" t="inlineStr">
        <is>
          <t xml:space="preserve">618</t>
        </is>
      </c>
      <c r="B157" s="9" t="inlineStr">
        <is>
          <t xml:space="preserve">Documentation et divers</t>
        </is>
      </c>
      <c r="C157" s="21" t="inlineStr">
        <is>
          <t xml:space="preserve">الوثائق ومصاريف متنوعة</t>
        </is>
      </c>
      <c r="D157" s="10" t="inlineStr">
        <is>
          <t xml:space="preserve">6</t>
        </is>
      </c>
      <c r="E157" s="10" t="inlineStr">
        <is>
          <t xml:space="preserve">Compte</t>
        </is>
      </c>
      <c r="F157" s="10" t="inlineStr">
        <is>
          <t xml:space="preserve">—</t>
        </is>
      </c>
      <c r="H157" s="20" t="inlineStr">
        <is>
          <t xml:space="preserve">666</t>
        </is>
      </c>
      <c r="I157" s="9" t="inlineStr">
        <is>
          <t xml:space="preserve">Pertes de change</t>
        </is>
      </c>
      <c r="J157" s="10"/>
      <c r="K157" s="10">
        <v>0</v>
      </c>
    </row>
    <row r="158">
      <c r="A158" s="23" t="inlineStr">
        <is>
          <t xml:space="preserve">62</t>
        </is>
      </c>
      <c r="B158" s="23" t="inlineStr">
        <is>
          <t xml:space="preserve">Autres services extérieurs</t>
        </is>
      </c>
      <c r="C158" s="23" t="inlineStr">
        <is>
          <t xml:space="preserve">الخدمات الخارجية الأخرى</t>
        </is>
      </c>
      <c r="D158" s="10" t="inlineStr">
        <is>
          <t xml:space="preserve">6</t>
        </is>
      </c>
      <c r="E158" s="10" t="inlineStr">
        <is>
          <t xml:space="preserve">Rubrique</t>
        </is>
      </c>
      <c r="F158" s="10"/>
      <c r="H158" s="20" t="inlineStr">
        <is>
          <t xml:space="preserve">668</t>
        </is>
      </c>
      <c r="I158" s="9" t="inlineStr">
        <is>
          <t xml:space="preserve">Autres charges financières</t>
        </is>
      </c>
      <c r="J158" s="10"/>
      <c r="K158" s="10">
        <v>0</v>
      </c>
    </row>
    <row r="159">
      <c r="A159" s="20" t="inlineStr">
        <is>
          <t xml:space="preserve">621</t>
        </is>
      </c>
      <c r="B159" s="9" t="inlineStr">
        <is>
          <t xml:space="preserve">Personnel extérieur à l'entreprise</t>
        </is>
      </c>
      <c r="C159" s="21" t="inlineStr">
        <is>
          <t xml:space="preserve">المستخدمون من خارج المؤسسة</t>
        </is>
      </c>
      <c r="D159" s="10" t="inlineStr">
        <is>
          <t xml:space="preserve">6</t>
        </is>
      </c>
      <c r="E159" s="10" t="inlineStr">
        <is>
          <t xml:space="preserve">Compte</t>
        </is>
      </c>
      <c r="F159" s="10" t="inlineStr">
        <is>
          <t xml:space="preserve">—</t>
        </is>
      </c>
      <c r="H159" s="20" t="inlineStr">
        <is>
          <t xml:space="preserve">67</t>
        </is>
      </c>
      <c r="I159" s="9" t="inlineStr">
        <is>
          <t xml:space="preserve">Éléments extraordinaires — charges</t>
        </is>
      </c>
      <c r="J159" s="10"/>
      <c r="K159" s="10">
        <v>0</v>
      </c>
    </row>
    <row r="160">
      <c r="A160" s="20" t="inlineStr">
        <is>
          <t xml:space="preserve">622</t>
        </is>
      </c>
      <c r="B160" s="9" t="inlineStr">
        <is>
          <t xml:space="preserve">Rémunérations d'intermédiaires et honoraires</t>
        </is>
      </c>
      <c r="C160" s="21" t="inlineStr">
        <is>
          <t xml:space="preserve">أجور الوسطاء والأتعاب</t>
        </is>
      </c>
      <c r="D160" s="10" t="inlineStr">
        <is>
          <t xml:space="preserve">6</t>
        </is>
      </c>
      <c r="E160" s="10" t="inlineStr">
        <is>
          <t xml:space="preserve">Compte</t>
        </is>
      </c>
      <c r="F160" s="10" t="inlineStr">
        <is>
          <t xml:space="preserve">—</t>
        </is>
      </c>
      <c r="H160" s="20" t="inlineStr">
        <is>
          <t xml:space="preserve">681</t>
        </is>
      </c>
      <c r="I160" s="9" t="inlineStr">
        <is>
          <t xml:space="preserve">Dotations — actifs non courants</t>
        </is>
      </c>
      <c r="J160" s="10"/>
      <c r="K160" s="10">
        <v>0</v>
      </c>
    </row>
    <row r="161">
      <c r="A161" s="20" t="inlineStr">
        <is>
          <t xml:space="preserve">623</t>
        </is>
      </c>
      <c r="B161" s="9" t="inlineStr">
        <is>
          <t xml:space="preserve">Publicité, publications, relations publiques</t>
        </is>
      </c>
      <c r="C161" s="21" t="inlineStr">
        <is>
          <t xml:space="preserve">الإشهار والنشر والعلاقات العامة</t>
        </is>
      </c>
      <c r="D161" s="10" t="inlineStr">
        <is>
          <t xml:space="preserve">6</t>
        </is>
      </c>
      <c r="E161" s="10" t="inlineStr">
        <is>
          <t xml:space="preserve">Compte</t>
        </is>
      </c>
      <c r="F161" s="10" t="inlineStr">
        <is>
          <t xml:space="preserve">—</t>
        </is>
      </c>
      <c r="H161" s="20" t="inlineStr">
        <is>
          <t xml:space="preserve">685</t>
        </is>
      </c>
      <c r="I161" s="9" t="inlineStr">
        <is>
          <t xml:space="preserve">Dotations — actifs courants</t>
        </is>
      </c>
      <c r="J161" s="10"/>
      <c r="K161" s="10">
        <v>0</v>
      </c>
    </row>
    <row r="162">
      <c r="A162" s="20" t="inlineStr">
        <is>
          <t xml:space="preserve">624</t>
        </is>
      </c>
      <c r="B162" s="9" t="inlineStr">
        <is>
          <t xml:space="preserve">Transports de biens et du personnel</t>
        </is>
      </c>
      <c r="C162" s="21" t="inlineStr">
        <is>
          <t xml:space="preserve">نقل السلع والمستخدمين</t>
        </is>
      </c>
      <c r="D162" s="10" t="inlineStr">
        <is>
          <t xml:space="preserve">6</t>
        </is>
      </c>
      <c r="E162" s="10" t="inlineStr">
        <is>
          <t xml:space="preserve">Compte</t>
        </is>
      </c>
      <c r="F162" s="10" t="inlineStr">
        <is>
          <t xml:space="preserve">—</t>
        </is>
      </c>
      <c r="H162" s="20" t="inlineStr">
        <is>
          <t xml:space="preserve">686</t>
        </is>
      </c>
      <c r="I162" s="9" t="inlineStr">
        <is>
          <t xml:space="preserve">Dotations — éléments financiers</t>
        </is>
      </c>
      <c r="J162" s="10"/>
      <c r="K162" s="10">
        <v>0</v>
      </c>
    </row>
    <row r="163">
      <c r="A163" s="20" t="inlineStr">
        <is>
          <t xml:space="preserve">625</t>
        </is>
      </c>
      <c r="B163" s="9" t="inlineStr">
        <is>
          <t xml:space="preserve">Déplacements, missions et réceptions</t>
        </is>
      </c>
      <c r="C163" s="21" t="inlineStr">
        <is>
          <t xml:space="preserve">التنقلات والمهمات والاستقبالات</t>
        </is>
      </c>
      <c r="D163" s="10" t="inlineStr">
        <is>
          <t xml:space="preserve">6</t>
        </is>
      </c>
      <c r="E163" s="10" t="inlineStr">
        <is>
          <t xml:space="preserve">Compte</t>
        </is>
      </c>
      <c r="F163" s="10" t="inlineStr">
        <is>
          <t xml:space="preserve">—</t>
        </is>
      </c>
      <c r="H163" s="20" t="inlineStr">
        <is>
          <t xml:space="preserve">692</t>
        </is>
      </c>
      <c r="I163" s="9" t="inlineStr">
        <is>
          <t xml:space="preserve">Imposition différée actif</t>
        </is>
      </c>
      <c r="J163" s="10"/>
      <c r="K163" s="10">
        <v>0</v>
      </c>
    </row>
    <row r="164">
      <c r="A164" s="20" t="inlineStr">
        <is>
          <t xml:space="preserve">626</t>
        </is>
      </c>
      <c r="B164" s="9" t="inlineStr">
        <is>
          <t xml:space="preserve">Frais postaux et de télécommunications</t>
        </is>
      </c>
      <c r="C164" s="21" t="inlineStr">
        <is>
          <t xml:space="preserve">المصاريف البريدية والاتصالات</t>
        </is>
      </c>
      <c r="D164" s="10" t="inlineStr">
        <is>
          <t xml:space="preserve">6</t>
        </is>
      </c>
      <c r="E164" s="10" t="inlineStr">
        <is>
          <t xml:space="preserve">Compte</t>
        </is>
      </c>
      <c r="F164" s="10" t="inlineStr">
        <is>
          <t xml:space="preserve">—</t>
        </is>
      </c>
      <c r="H164" s="20" t="inlineStr">
        <is>
          <t xml:space="preserve">693</t>
        </is>
      </c>
      <c r="I164" s="9" t="inlineStr">
        <is>
          <t xml:space="preserve">Imposition différée passif</t>
        </is>
      </c>
      <c r="J164" s="10"/>
      <c r="K164" s="10">
        <v>0</v>
      </c>
    </row>
    <row r="165">
      <c r="A165" s="20" t="inlineStr">
        <is>
          <t xml:space="preserve">627</t>
        </is>
      </c>
      <c r="B165" s="9" t="inlineStr">
        <is>
          <t xml:space="preserve">Services bancaires et assimilés</t>
        </is>
      </c>
      <c r="C165" s="21" t="inlineStr">
        <is>
          <t xml:space="preserve">الخدمات المصرفية وما شابهها</t>
        </is>
      </c>
      <c r="D165" s="10" t="inlineStr">
        <is>
          <t xml:space="preserve">6</t>
        </is>
      </c>
      <c r="E165" s="10" t="inlineStr">
        <is>
          <t xml:space="preserve">Compte</t>
        </is>
      </c>
      <c r="F165" s="10" t="inlineStr">
        <is>
          <t xml:space="preserve">—</t>
        </is>
      </c>
      <c r="H165" s="20" t="inlineStr">
        <is>
          <t xml:space="preserve">695</t>
        </is>
      </c>
      <c r="I165" s="9" t="inlineStr">
        <is>
          <t xml:space="preserve">Impôts sur les bénéfices basés sur le résultat ordinaire</t>
        </is>
      </c>
      <c r="J165" s="10"/>
      <c r="K165" s="10">
        <v>0</v>
      </c>
    </row>
    <row r="166">
      <c r="A166" s="20" t="inlineStr">
        <is>
          <t xml:space="preserve">628</t>
        </is>
      </c>
      <c r="B166" s="9" t="inlineStr">
        <is>
          <t xml:space="preserve">Cotisations et divers</t>
        </is>
      </c>
      <c r="C166" s="21" t="inlineStr">
        <is>
          <t xml:space="preserve">الاشتراكات ومصاريف متنوعة</t>
        </is>
      </c>
      <c r="D166" s="10" t="inlineStr">
        <is>
          <t xml:space="preserve">6</t>
        </is>
      </c>
      <c r="E166" s="10" t="inlineStr">
        <is>
          <t xml:space="preserve">Compte</t>
        </is>
      </c>
      <c r="F166" s="10" t="inlineStr">
        <is>
          <t xml:space="preserve">—</t>
        </is>
      </c>
      <c r="H166" s="20" t="inlineStr">
        <is>
          <t xml:space="preserve">698</t>
        </is>
      </c>
      <c r="I166" s="9" t="inlineStr">
        <is>
          <t xml:space="preserve">Autres impôts sur les résultats</t>
        </is>
      </c>
      <c r="J166" s="10"/>
      <c r="K166" s="10">
        <v>0</v>
      </c>
    </row>
    <row r="167">
      <c r="A167" s="23" t="inlineStr">
        <is>
          <t xml:space="preserve">63</t>
        </is>
      </c>
      <c r="B167" s="23" t="inlineStr">
        <is>
          <t xml:space="preserve">Charges de personnel</t>
        </is>
      </c>
      <c r="C167" s="23" t="inlineStr">
        <is>
          <t xml:space="preserve">أعباء المستخدمين</t>
        </is>
      </c>
      <c r="D167" s="10" t="inlineStr">
        <is>
          <t xml:space="preserve">6</t>
        </is>
      </c>
      <c r="E167" s="10" t="inlineStr">
        <is>
          <t xml:space="preserve">Rubrique</t>
        </is>
      </c>
      <c r="F167" s="10"/>
      <c r="H167" s="20" t="inlineStr">
        <is>
          <t xml:space="preserve">700</t>
        </is>
      </c>
      <c r="I167" s="9" t="inlineStr">
        <is>
          <t xml:space="preserve">Ventes de marchandises</t>
        </is>
      </c>
      <c r="J167" s="10"/>
      <c r="K167" s="10">
        <v>0</v>
      </c>
    </row>
    <row r="168">
      <c r="A168" s="20" t="inlineStr">
        <is>
          <t xml:space="preserve">631</t>
        </is>
      </c>
      <c r="B168" s="9" t="inlineStr">
        <is>
          <t xml:space="preserve">Rémunérations du personnel</t>
        </is>
      </c>
      <c r="C168" s="21" t="inlineStr">
        <is>
          <t xml:space="preserve">أجور المستخدمين</t>
        </is>
      </c>
      <c r="D168" s="10" t="inlineStr">
        <is>
          <t xml:space="preserve">6</t>
        </is>
      </c>
      <c r="E168" s="10" t="inlineStr">
        <is>
          <t xml:space="preserve">Compte</t>
        </is>
      </c>
      <c r="F168" s="10" t="inlineStr">
        <is>
          <t xml:space="preserve">—</t>
        </is>
      </c>
      <c r="H168" s="20" t="inlineStr">
        <is>
          <t xml:space="preserve">701</t>
        </is>
      </c>
      <c r="I168" s="9" t="inlineStr">
        <is>
          <t xml:space="preserve">Ventes de produits finis</t>
        </is>
      </c>
      <c r="J168" s="10"/>
      <c r="K168" s="10">
        <v>0</v>
      </c>
    </row>
    <row r="169">
      <c r="A169" s="20" t="inlineStr">
        <is>
          <t xml:space="preserve">634</t>
        </is>
      </c>
      <c r="B169" s="9" t="inlineStr">
        <is>
          <t xml:space="preserve">Rémunération de l'exploitant individuel</t>
        </is>
      </c>
      <c r="C169" s="21" t="inlineStr">
        <is>
          <t xml:space="preserve">أجر المستغل الفردي</t>
        </is>
      </c>
      <c r="D169" s="10" t="inlineStr">
        <is>
          <t xml:space="preserve">6</t>
        </is>
      </c>
      <c r="E169" s="10" t="inlineStr">
        <is>
          <t xml:space="preserve">Compte</t>
        </is>
      </c>
      <c r="F169" s="10" t="inlineStr">
        <is>
          <t xml:space="preserve">—</t>
        </is>
      </c>
      <c r="H169" s="20" t="inlineStr">
        <is>
          <t xml:space="preserve">702</t>
        </is>
      </c>
      <c r="I169" s="9" t="inlineStr">
        <is>
          <t xml:space="preserve">Ventes de produits intermédiaires</t>
        </is>
      </c>
      <c r="J169" s="10"/>
      <c r="K169" s="10">
        <v>0</v>
      </c>
    </row>
    <row r="170">
      <c r="A170" s="20" t="inlineStr">
        <is>
          <t xml:space="preserve">635</t>
        </is>
      </c>
      <c r="B170" s="9" t="inlineStr">
        <is>
          <t xml:space="preserve">Cotisations aux organismes sociaux</t>
        </is>
      </c>
      <c r="C170" s="21" t="inlineStr">
        <is>
          <t xml:space="preserve">الاشتراكات لدى الهيئات الاجتماعية</t>
        </is>
      </c>
      <c r="D170" s="10" t="inlineStr">
        <is>
          <t xml:space="preserve">6</t>
        </is>
      </c>
      <c r="E170" s="10" t="inlineStr">
        <is>
          <t xml:space="preserve">Compte</t>
        </is>
      </c>
      <c r="F170" s="10" t="inlineStr">
        <is>
          <t xml:space="preserve">—</t>
        </is>
      </c>
      <c r="H170" s="20" t="inlineStr">
        <is>
          <t xml:space="preserve">704</t>
        </is>
      </c>
      <c r="I170" s="9" t="inlineStr">
        <is>
          <t xml:space="preserve">Ventes de travaux</t>
        </is>
      </c>
      <c r="J170" s="10"/>
      <c r="K170" s="10">
        <v>0</v>
      </c>
    </row>
    <row r="171">
      <c r="A171" s="20" t="inlineStr">
        <is>
          <t xml:space="preserve">636</t>
        </is>
      </c>
      <c r="B171" s="9" t="inlineStr">
        <is>
          <t xml:space="preserve">Charges sociales de l'exploitant individuel</t>
        </is>
      </c>
      <c r="C171" s="21" t="inlineStr">
        <is>
          <t xml:space="preserve">الأعباء الاجتماعية للمستغل الفردي</t>
        </is>
      </c>
      <c r="D171" s="10" t="inlineStr">
        <is>
          <t xml:space="preserve">6</t>
        </is>
      </c>
      <c r="E171" s="10" t="inlineStr">
        <is>
          <t xml:space="preserve">Compte</t>
        </is>
      </c>
      <c r="F171" s="10" t="inlineStr">
        <is>
          <t xml:space="preserve">—</t>
        </is>
      </c>
      <c r="H171" s="20" t="inlineStr">
        <is>
          <t xml:space="preserve">705</t>
        </is>
      </c>
      <c r="I171" s="9" t="inlineStr">
        <is>
          <t xml:space="preserve">Ventes d'études</t>
        </is>
      </c>
      <c r="J171" s="10"/>
      <c r="K171" s="10">
        <v>0</v>
      </c>
    </row>
    <row r="172">
      <c r="A172" s="20" t="inlineStr">
        <is>
          <t xml:space="preserve">638</t>
        </is>
      </c>
      <c r="B172" s="9" t="inlineStr">
        <is>
          <t xml:space="preserve">Autres charges sociales</t>
        </is>
      </c>
      <c r="C172" s="21" t="inlineStr">
        <is>
          <t xml:space="preserve">أعباء اجتماعية أخرى</t>
        </is>
      </c>
      <c r="D172" s="10" t="inlineStr">
        <is>
          <t xml:space="preserve">6</t>
        </is>
      </c>
      <c r="E172" s="10" t="inlineStr">
        <is>
          <t xml:space="preserve">Compte</t>
        </is>
      </c>
      <c r="F172" s="10" t="inlineStr">
        <is>
          <t xml:space="preserve">—</t>
        </is>
      </c>
      <c r="H172" s="20" t="inlineStr">
        <is>
          <t xml:space="preserve">706</t>
        </is>
      </c>
      <c r="I172" s="9" t="inlineStr">
        <is>
          <t xml:space="preserve">Autres prestations de services</t>
        </is>
      </c>
      <c r="J172" s="10"/>
      <c r="K172" s="10">
        <v>0</v>
      </c>
    </row>
    <row r="173">
      <c r="A173" s="23" t="inlineStr">
        <is>
          <t xml:space="preserve">64</t>
        </is>
      </c>
      <c r="B173" s="23" t="inlineStr">
        <is>
          <t xml:space="preserve">Impôts, taxes et versements assimilés</t>
        </is>
      </c>
      <c r="C173" s="23" t="inlineStr">
        <is>
          <t xml:space="preserve">الضرائب والرسوم والمدفوعات المماثلة</t>
        </is>
      </c>
      <c r="D173" s="10" t="inlineStr">
        <is>
          <t xml:space="preserve">6</t>
        </is>
      </c>
      <c r="E173" s="10" t="inlineStr">
        <is>
          <t xml:space="preserve">Rubrique</t>
        </is>
      </c>
      <c r="F173" s="10"/>
      <c r="H173" s="20" t="inlineStr">
        <is>
          <t xml:space="preserve">708</t>
        </is>
      </c>
      <c r="I173" s="9" t="inlineStr">
        <is>
          <t xml:space="preserve">Produits des activités annexes</t>
        </is>
      </c>
      <c r="J173" s="10"/>
      <c r="K173" s="10">
        <v>0</v>
      </c>
    </row>
    <row r="174">
      <c r="A174" s="20" t="inlineStr">
        <is>
          <t xml:space="preserve">641</t>
        </is>
      </c>
      <c r="B174" s="9" t="inlineStr">
        <is>
          <t xml:space="preserve">Impôts et taxes non récupérables sur le chiffre d'affaires (TAP)</t>
        </is>
      </c>
      <c r="C174" s="21" t="inlineStr">
        <is>
          <t xml:space="preserve">الضرائب والرسوم غير القابلة للاسترجاع على رقم الأعمال (الرسم على النشاط المهني)</t>
        </is>
      </c>
      <c r="D174" s="10" t="inlineStr">
        <is>
          <t xml:space="preserve">6</t>
        </is>
      </c>
      <c r="E174" s="10" t="inlineStr">
        <is>
          <t xml:space="preserve">Compte</t>
        </is>
      </c>
      <c r="F174" s="10" t="inlineStr">
        <is>
          <t xml:space="preserve">—</t>
        </is>
      </c>
      <c r="H174" s="20" t="inlineStr">
        <is>
          <t xml:space="preserve">709</t>
        </is>
      </c>
      <c r="I174" s="9" t="inlineStr">
        <is>
          <t xml:space="preserve">Rabais, remises et ristournes accordés</t>
        </is>
      </c>
      <c r="J174" s="10"/>
      <c r="K174" s="10">
        <v>0</v>
      </c>
    </row>
    <row r="175">
      <c r="A175" s="20" t="inlineStr">
        <is>
          <t xml:space="preserve">642</t>
        </is>
      </c>
      <c r="B175" s="9" t="inlineStr">
        <is>
          <t xml:space="preserve">Impôts et taxes non récupérables sur rémunérations</t>
        </is>
      </c>
      <c r="C175" s="21" t="inlineStr">
        <is>
          <t xml:space="preserve">الضرائب والرسوم غير القابلة للاسترجاع على الأجور</t>
        </is>
      </c>
      <c r="D175" s="10" t="inlineStr">
        <is>
          <t xml:space="preserve">6</t>
        </is>
      </c>
      <c r="E175" s="10" t="inlineStr">
        <is>
          <t xml:space="preserve">Compte</t>
        </is>
      </c>
      <c r="F175" s="10" t="inlineStr">
        <is>
          <t xml:space="preserve">—</t>
        </is>
      </c>
      <c r="H175" s="20" t="inlineStr">
        <is>
          <t xml:space="preserve">723</t>
        </is>
      </c>
      <c r="I175" s="9" t="inlineStr">
        <is>
          <t xml:space="preserve">Variation des stocks d'en-cours</t>
        </is>
      </c>
      <c r="J175" s="10"/>
      <c r="K175" s="10">
        <v>0</v>
      </c>
    </row>
    <row r="176">
      <c r="A176" s="20" t="inlineStr">
        <is>
          <t xml:space="preserve">645</t>
        </is>
      </c>
      <c r="B176" s="9" t="inlineStr">
        <is>
          <t xml:space="preserve">Autres impôts et taxes (droit de timbre supporté)</t>
        </is>
      </c>
      <c r="C176" s="21" t="inlineStr">
        <is>
          <t xml:space="preserve">ضرائب ورسوم أخرى (رسم الطابع المتحمل)</t>
        </is>
      </c>
      <c r="D176" s="10" t="inlineStr">
        <is>
          <t xml:space="preserve">6</t>
        </is>
      </c>
      <c r="E176" s="10" t="inlineStr">
        <is>
          <t xml:space="preserve">Compte</t>
        </is>
      </c>
      <c r="F176" s="10" t="inlineStr">
        <is>
          <t xml:space="preserve">—</t>
        </is>
      </c>
      <c r="H176" s="20" t="inlineStr">
        <is>
          <t xml:space="preserve">724</t>
        </is>
      </c>
      <c r="I176" s="9" t="inlineStr">
        <is>
          <t xml:space="preserve">Variation des stocks de produits finis</t>
        </is>
      </c>
      <c r="J176" s="10"/>
      <c r="K176" s="10">
        <v>0</v>
      </c>
    </row>
    <row r="177">
      <c r="A177" s="23" t="inlineStr">
        <is>
          <t xml:space="preserve">65</t>
        </is>
      </c>
      <c r="B177" s="23" t="inlineStr">
        <is>
          <t xml:space="preserve">Autres charges opérationnelles</t>
        </is>
      </c>
      <c r="C177" s="23" t="inlineStr">
        <is>
          <t xml:space="preserve">الأعباء العملياتية الأخرى</t>
        </is>
      </c>
      <c r="D177" s="10" t="inlineStr">
        <is>
          <t xml:space="preserve">6</t>
        </is>
      </c>
      <c r="E177" s="10" t="inlineStr">
        <is>
          <t xml:space="preserve">Rubrique</t>
        </is>
      </c>
      <c r="F177" s="10"/>
      <c r="H177" s="20" t="inlineStr">
        <is>
          <t xml:space="preserve">73</t>
        </is>
      </c>
      <c r="I177" s="9" t="inlineStr">
        <is>
          <t xml:space="preserve">Production immobilisée</t>
        </is>
      </c>
      <c r="J177" s="10"/>
      <c r="K177" s="10">
        <v>0</v>
      </c>
    </row>
    <row r="178">
      <c r="A178" s="20" t="inlineStr">
        <is>
          <t xml:space="preserve">651</t>
        </is>
      </c>
      <c r="B178" s="9" t="inlineStr">
        <is>
          <t xml:space="preserve">Redevances pour concessions, brevets, licences</t>
        </is>
      </c>
      <c r="C178" s="21" t="inlineStr">
        <is>
          <t xml:space="preserve">إتاوات الامتيازات وبراءات الاختراع والرخص</t>
        </is>
      </c>
      <c r="D178" s="10" t="inlineStr">
        <is>
          <t xml:space="preserve">6</t>
        </is>
      </c>
      <c r="E178" s="10" t="inlineStr">
        <is>
          <t xml:space="preserve">Compte</t>
        </is>
      </c>
      <c r="F178" s="10" t="inlineStr">
        <is>
          <t xml:space="preserve">—</t>
        </is>
      </c>
      <c r="H178" s="20" t="inlineStr">
        <is>
          <t xml:space="preserve">74</t>
        </is>
      </c>
      <c r="I178" s="9" t="inlineStr">
        <is>
          <t xml:space="preserve">Subventions d'exploitation</t>
        </is>
      </c>
      <c r="J178" s="10"/>
      <c r="K178" s="10">
        <v>0</v>
      </c>
    </row>
    <row r="179">
      <c r="A179" s="20" t="inlineStr">
        <is>
          <t xml:space="preserve">654</t>
        </is>
      </c>
      <c r="B179" s="9" t="inlineStr">
        <is>
          <t xml:space="preserve">Pertes sur créances irrécouvrables</t>
        </is>
      </c>
      <c r="C179" s="21" t="inlineStr">
        <is>
          <t xml:space="preserve">خسائر عن ديون غير قابلة للتحصيل</t>
        </is>
      </c>
      <c r="D179" s="10" t="inlineStr">
        <is>
          <t xml:space="preserve">6</t>
        </is>
      </c>
      <c r="E179" s="10" t="inlineStr">
        <is>
          <t xml:space="preserve">Compte</t>
        </is>
      </c>
      <c r="F179" s="10" t="inlineStr">
        <is>
          <t xml:space="preserve">—</t>
        </is>
      </c>
      <c r="H179" s="20" t="inlineStr">
        <is>
          <t xml:space="preserve">751</t>
        </is>
      </c>
      <c r="I179" s="9" t="inlineStr">
        <is>
          <t xml:space="preserve">Redevances pour concessions, brevets, licences</t>
        </is>
      </c>
      <c r="J179" s="10"/>
      <c r="K179" s="10">
        <v>0</v>
      </c>
    </row>
    <row r="180">
      <c r="A180" s="20" t="inlineStr">
        <is>
          <t xml:space="preserve">656</t>
        </is>
      </c>
      <c r="B180" s="9" t="inlineStr">
        <is>
          <t xml:space="preserve">Amendes et pénalités</t>
        </is>
      </c>
      <c r="C180" s="21" t="inlineStr">
        <is>
          <t xml:space="preserve">الغرامات والعقوبات المالية</t>
        </is>
      </c>
      <c r="D180" s="10" t="inlineStr">
        <is>
          <t xml:space="preserve">6</t>
        </is>
      </c>
      <c r="E180" s="10" t="inlineStr">
        <is>
          <t xml:space="preserve">Compte</t>
        </is>
      </c>
      <c r="F180" s="10" t="inlineStr">
        <is>
          <t xml:space="preserve">—</t>
        </is>
      </c>
      <c r="H180" s="20" t="inlineStr">
        <is>
          <t xml:space="preserve">752</t>
        </is>
      </c>
      <c r="I180" s="9" t="inlineStr">
        <is>
          <t xml:space="preserve">Plus-values sur sortie d'actifs immobilisés</t>
        </is>
      </c>
      <c r="J180" s="10"/>
      <c r="K180" s="10">
        <v>0</v>
      </c>
    </row>
    <row r="181">
      <c r="A181" s="20" t="inlineStr">
        <is>
          <t xml:space="preserve">657</t>
        </is>
      </c>
      <c r="B181" s="9" t="inlineStr">
        <is>
          <t xml:space="preserve">Charges exceptionnelles de gestion courante</t>
        </is>
      </c>
      <c r="C181" s="21" t="inlineStr">
        <is>
          <t xml:space="preserve">أعباء استثنائية للتسيير الجاري</t>
        </is>
      </c>
      <c r="D181" s="10" t="inlineStr">
        <is>
          <t xml:space="preserve">6</t>
        </is>
      </c>
      <c r="E181" s="10" t="inlineStr">
        <is>
          <t xml:space="preserve">Compte</t>
        </is>
      </c>
      <c r="F181" s="10" t="inlineStr">
        <is>
          <t xml:space="preserve">—</t>
        </is>
      </c>
      <c r="H181" s="20" t="inlineStr">
        <is>
          <t xml:space="preserve">754</t>
        </is>
      </c>
      <c r="I181" s="9" t="inlineStr">
        <is>
          <t xml:space="preserve">Quote-part de subvention d'investissement virée au résultat</t>
        </is>
      </c>
      <c r="J181" s="10"/>
      <c r="K181" s="10">
        <v>0</v>
      </c>
    </row>
    <row r="182">
      <c r="A182" s="20" t="inlineStr">
        <is>
          <t xml:space="preserve">658</t>
        </is>
      </c>
      <c r="B182" s="9" t="inlineStr">
        <is>
          <t xml:space="preserve">Autres charges de gestion courante</t>
        </is>
      </c>
      <c r="C182" s="21" t="inlineStr">
        <is>
          <t xml:space="preserve">أعباء أخرى للتسيير الجاري</t>
        </is>
      </c>
      <c r="D182" s="10" t="inlineStr">
        <is>
          <t xml:space="preserve">6</t>
        </is>
      </c>
      <c r="E182" s="10" t="inlineStr">
        <is>
          <t xml:space="preserve">Compte</t>
        </is>
      </c>
      <c r="F182" s="10" t="inlineStr">
        <is>
          <t xml:space="preserve">—</t>
        </is>
      </c>
      <c r="H182" s="20" t="inlineStr">
        <is>
          <t xml:space="preserve">756</t>
        </is>
      </c>
      <c r="I182" s="9" t="inlineStr">
        <is>
          <t xml:space="preserve">Rentrées sur créances amorties</t>
        </is>
      </c>
      <c r="J182" s="10"/>
      <c r="K182" s="10">
        <v>0</v>
      </c>
    </row>
    <row r="183">
      <c r="A183" s="23" t="inlineStr">
        <is>
          <t xml:space="preserve">66</t>
        </is>
      </c>
      <c r="B183" s="23" t="inlineStr">
        <is>
          <t xml:space="preserve">Charges financières</t>
        </is>
      </c>
      <c r="C183" s="23" t="inlineStr">
        <is>
          <t xml:space="preserve">الأعباء المالية</t>
        </is>
      </c>
      <c r="D183" s="10" t="inlineStr">
        <is>
          <t xml:space="preserve">6</t>
        </is>
      </c>
      <c r="E183" s="10" t="inlineStr">
        <is>
          <t xml:space="preserve">Rubrique</t>
        </is>
      </c>
      <c r="F183" s="10"/>
      <c r="H183" s="20" t="inlineStr">
        <is>
          <t xml:space="preserve">757</t>
        </is>
      </c>
      <c r="I183" s="9" t="inlineStr">
        <is>
          <t xml:space="preserve">Produits exceptionnels sur opérations de gestion</t>
        </is>
      </c>
      <c r="J183" s="10"/>
      <c r="K183" s="10">
        <v>0</v>
      </c>
    </row>
    <row r="184">
      <c r="A184" s="20" t="inlineStr">
        <is>
          <t xml:space="preserve">661</t>
        </is>
      </c>
      <c r="B184" s="9" t="inlineStr">
        <is>
          <t xml:space="preserve">Charges d'intérêts</t>
        </is>
      </c>
      <c r="C184" s="21" t="inlineStr">
        <is>
          <t xml:space="preserve">أعباء الفوائد</t>
        </is>
      </c>
      <c r="D184" s="10" t="inlineStr">
        <is>
          <t xml:space="preserve">6</t>
        </is>
      </c>
      <c r="E184" s="10" t="inlineStr">
        <is>
          <t xml:space="preserve">Compte</t>
        </is>
      </c>
      <c r="F184" s="10" t="inlineStr">
        <is>
          <t xml:space="preserve">—</t>
        </is>
      </c>
      <c r="H184" s="20" t="inlineStr">
        <is>
          <t xml:space="preserve">758</t>
        </is>
      </c>
      <c r="I184" s="9" t="inlineStr">
        <is>
          <t xml:space="preserve">Autres produits de gestion courante</t>
        </is>
      </c>
      <c r="J184" s="10"/>
      <c r="K184" s="10">
        <v>0</v>
      </c>
    </row>
    <row r="185">
      <c r="A185" s="20" t="inlineStr">
        <is>
          <t xml:space="preserve">666</t>
        </is>
      </c>
      <c r="B185" s="9" t="inlineStr">
        <is>
          <t xml:space="preserve">Pertes de change</t>
        </is>
      </c>
      <c r="C185" s="21" t="inlineStr">
        <is>
          <t xml:space="preserve">خسائر الصرف</t>
        </is>
      </c>
      <c r="D185" s="10" t="inlineStr">
        <is>
          <t xml:space="preserve">6</t>
        </is>
      </c>
      <c r="E185" s="10" t="inlineStr">
        <is>
          <t xml:space="preserve">Compte</t>
        </is>
      </c>
      <c r="F185" s="10" t="inlineStr">
        <is>
          <t xml:space="preserve">—</t>
        </is>
      </c>
      <c r="H185" s="20" t="inlineStr">
        <is>
          <t xml:space="preserve">761</t>
        </is>
      </c>
      <c r="I185" s="9" t="inlineStr">
        <is>
          <t xml:space="preserve">Produits des participations</t>
        </is>
      </c>
      <c r="J185" s="10"/>
      <c r="K185" s="10">
        <v>0</v>
      </c>
    </row>
    <row r="186">
      <c r="A186" s="20" t="inlineStr">
        <is>
          <t xml:space="preserve">668</t>
        </is>
      </c>
      <c r="B186" s="9" t="inlineStr">
        <is>
          <t xml:space="preserve">Autres charges financières</t>
        </is>
      </c>
      <c r="C186" s="21" t="inlineStr">
        <is>
          <t xml:space="preserve">أعباء مالية أخرى</t>
        </is>
      </c>
      <c r="D186" s="10" t="inlineStr">
        <is>
          <t xml:space="preserve">6</t>
        </is>
      </c>
      <c r="E186" s="10" t="inlineStr">
        <is>
          <t xml:space="preserve">Compte</t>
        </is>
      </c>
      <c r="F186" s="10" t="inlineStr">
        <is>
          <t xml:space="preserve">—</t>
        </is>
      </c>
      <c r="H186" s="20" t="inlineStr">
        <is>
          <t xml:space="preserve">763</t>
        </is>
      </c>
      <c r="I186" s="9" t="inlineStr">
        <is>
          <t xml:space="preserve">Revenus de créances</t>
        </is>
      </c>
      <c r="J186" s="10"/>
      <c r="K186" s="10">
        <v>0</v>
      </c>
    </row>
    <row r="187">
      <c r="A187" s="20" t="inlineStr">
        <is>
          <t xml:space="preserve">67</t>
        </is>
      </c>
      <c r="B187" s="9" t="inlineStr">
        <is>
          <t xml:space="preserve">Éléments extraordinaires — charges</t>
        </is>
      </c>
      <c r="C187" s="21" t="inlineStr">
        <is>
          <t xml:space="preserve">العناصر غير العادية — أعباء</t>
        </is>
      </c>
      <c r="D187" s="10" t="inlineStr">
        <is>
          <t xml:space="preserve">6</t>
        </is>
      </c>
      <c r="E187" s="10" t="inlineStr">
        <is>
          <t xml:space="preserve">Compte</t>
        </is>
      </c>
      <c r="F187" s="10" t="inlineStr">
        <is>
          <t xml:space="preserve">—</t>
        </is>
      </c>
      <c r="H187" s="20" t="inlineStr">
        <is>
          <t xml:space="preserve">766</t>
        </is>
      </c>
      <c r="I187" s="9" t="inlineStr">
        <is>
          <t xml:space="preserve">Gains de change</t>
        </is>
      </c>
      <c r="J187" s="10"/>
      <c r="K187" s="10">
        <v>0</v>
      </c>
    </row>
    <row r="188">
      <c r="A188" s="23" t="inlineStr">
        <is>
          <t xml:space="preserve">68</t>
        </is>
      </c>
      <c r="B188" s="23" t="inlineStr">
        <is>
          <t xml:space="preserve">Dotations aux amortissements, provisions et pertes de valeur</t>
        </is>
      </c>
      <c r="C188" s="23" t="inlineStr">
        <is>
          <t xml:space="preserve">مخصصات الاهتلاكات والمؤونات وخسائر القيمة</t>
        </is>
      </c>
      <c r="D188" s="10" t="inlineStr">
        <is>
          <t xml:space="preserve">6</t>
        </is>
      </c>
      <c r="E188" s="10" t="inlineStr">
        <is>
          <t xml:space="preserve">Rubrique</t>
        </is>
      </c>
      <c r="F188" s="10"/>
      <c r="H188" s="20" t="inlineStr">
        <is>
          <t xml:space="preserve">768</t>
        </is>
      </c>
      <c r="I188" s="9" t="inlineStr">
        <is>
          <t xml:space="preserve">Autres produits financiers</t>
        </is>
      </c>
      <c r="J188" s="10"/>
      <c r="K188" s="10">
        <v>0</v>
      </c>
    </row>
    <row r="189">
      <c r="A189" s="20" t="inlineStr">
        <is>
          <t xml:space="preserve">681</t>
        </is>
      </c>
      <c r="B189" s="9" t="inlineStr">
        <is>
          <t xml:space="preserve">Dotations — actifs non courants</t>
        </is>
      </c>
      <c r="C189" s="21" t="inlineStr">
        <is>
          <t xml:space="preserve">المخصصات — الأصول غير الجارية</t>
        </is>
      </c>
      <c r="D189" s="10" t="inlineStr">
        <is>
          <t xml:space="preserve">6</t>
        </is>
      </c>
      <c r="E189" s="10" t="inlineStr">
        <is>
          <t xml:space="preserve">Compte</t>
        </is>
      </c>
      <c r="F189" s="10" t="inlineStr">
        <is>
          <t xml:space="preserve">—</t>
        </is>
      </c>
      <c r="H189" s="20" t="inlineStr">
        <is>
          <t xml:space="preserve">77</t>
        </is>
      </c>
      <c r="I189" s="9" t="inlineStr">
        <is>
          <t xml:space="preserve">Éléments extraordinaires — produits</t>
        </is>
      </c>
      <c r="J189" s="10"/>
      <c r="K189" s="10">
        <v>0</v>
      </c>
    </row>
    <row r="190">
      <c r="A190" s="20" t="inlineStr">
        <is>
          <t xml:space="preserve">685</t>
        </is>
      </c>
      <c r="B190" s="9" t="inlineStr">
        <is>
          <t xml:space="preserve">Dotations — actifs courants</t>
        </is>
      </c>
      <c r="C190" s="21" t="inlineStr">
        <is>
          <t xml:space="preserve">المخصصات — الأصول الجارية</t>
        </is>
      </c>
      <c r="D190" s="10" t="inlineStr">
        <is>
          <t xml:space="preserve">6</t>
        </is>
      </c>
      <c r="E190" s="10" t="inlineStr">
        <is>
          <t xml:space="preserve">Compte</t>
        </is>
      </c>
      <c r="F190" s="10" t="inlineStr">
        <is>
          <t xml:space="preserve">—</t>
        </is>
      </c>
      <c r="H190" s="20" t="inlineStr">
        <is>
          <t xml:space="preserve">781</t>
        </is>
      </c>
      <c r="I190" s="9" t="inlineStr">
        <is>
          <t xml:space="preserve">Reprises — actifs non courants</t>
        </is>
      </c>
      <c r="J190" s="10"/>
      <c r="K190" s="10">
        <v>0</v>
      </c>
    </row>
    <row r="191">
      <c r="A191" s="20" t="inlineStr">
        <is>
          <t xml:space="preserve">686</t>
        </is>
      </c>
      <c r="B191" s="9" t="inlineStr">
        <is>
          <t xml:space="preserve">Dotations — éléments financiers</t>
        </is>
      </c>
      <c r="C191" s="21" t="inlineStr">
        <is>
          <t xml:space="preserve">المخصصات — العناصر المالية</t>
        </is>
      </c>
      <c r="D191" s="10" t="inlineStr">
        <is>
          <t xml:space="preserve">6</t>
        </is>
      </c>
      <c r="E191" s="10" t="inlineStr">
        <is>
          <t xml:space="preserve">Compte</t>
        </is>
      </c>
      <c r="F191" s="10" t="inlineStr">
        <is>
          <t xml:space="preserve">—</t>
        </is>
      </c>
      <c r="H191" s="20" t="inlineStr">
        <is>
          <t xml:space="preserve">785</t>
        </is>
      </c>
      <c r="I191" s="9" t="inlineStr">
        <is>
          <t xml:space="preserve">Reprises — actifs courants</t>
        </is>
      </c>
      <c r="J191" s="10"/>
      <c r="K191" s="10">
        <v>0</v>
      </c>
    </row>
    <row r="192">
      <c r="A192" s="23" t="inlineStr">
        <is>
          <t xml:space="preserve">69</t>
        </is>
      </c>
      <c r="B192" s="23" t="inlineStr">
        <is>
          <t xml:space="preserve">Impôts sur les résultats et assimilés</t>
        </is>
      </c>
      <c r="C192" s="23" t="inlineStr">
        <is>
          <t xml:space="preserve">الضرائب على النتائج وما شابهها</t>
        </is>
      </c>
      <c r="D192" s="10" t="inlineStr">
        <is>
          <t xml:space="preserve">6</t>
        </is>
      </c>
      <c r="E192" s="10" t="inlineStr">
        <is>
          <t xml:space="preserve">Rubrique</t>
        </is>
      </c>
      <c r="F192" s="10"/>
      <c r="H192" s="20" t="inlineStr">
        <is>
          <t xml:space="preserve">786</t>
        </is>
      </c>
      <c r="I192" s="9" t="inlineStr">
        <is>
          <t xml:space="preserve">Reprises — éléments financiers</t>
        </is>
      </c>
      <c r="J192" s="10"/>
      <c r="K192" s="10">
        <v>0</v>
      </c>
    </row>
    <row r="193">
      <c r="A193" s="20" t="inlineStr">
        <is>
          <t xml:space="preserve">692</t>
        </is>
      </c>
      <c r="B193" s="9" t="inlineStr">
        <is>
          <t xml:space="preserve">Imposition différée actif</t>
        </is>
      </c>
      <c r="C193" s="21" t="inlineStr">
        <is>
          <t xml:space="preserve">الضريبة المؤجلة على الأصول</t>
        </is>
      </c>
      <c r="D193" s="10" t="inlineStr">
        <is>
          <t xml:space="preserve">6</t>
        </is>
      </c>
      <c r="E193" s="10" t="inlineStr">
        <is>
          <t xml:space="preserve">Compte</t>
        </is>
      </c>
      <c r="F193" s="10" t="inlineStr">
        <is>
          <t xml:space="preserve">—</t>
        </is>
      </c>
    </row>
    <row r="194">
      <c r="A194" s="20" t="inlineStr">
        <is>
          <t xml:space="preserve">693</t>
        </is>
      </c>
      <c r="B194" s="9" t="inlineStr">
        <is>
          <t xml:space="preserve">Imposition différée passif</t>
        </is>
      </c>
      <c r="C194" s="21" t="inlineStr">
        <is>
          <t xml:space="preserve">الضريبة المؤجلة على الخصوم</t>
        </is>
      </c>
      <c r="D194" s="10" t="inlineStr">
        <is>
          <t xml:space="preserve">6</t>
        </is>
      </c>
      <c r="E194" s="10" t="inlineStr">
        <is>
          <t xml:space="preserve">Compte</t>
        </is>
      </c>
      <c r="F194" s="10" t="inlineStr">
        <is>
          <t xml:space="preserve">—</t>
        </is>
      </c>
    </row>
    <row r="195">
      <c r="A195" s="20" t="inlineStr">
        <is>
          <t xml:space="preserve">695</t>
        </is>
      </c>
      <c r="B195" s="9" t="inlineStr">
        <is>
          <t xml:space="preserve">Impôts sur les bénéfices basés sur le résultat ordinaire</t>
        </is>
      </c>
      <c r="C195" s="21" t="inlineStr">
        <is>
          <t xml:space="preserve">الضرائب على الأرباح المبنية على النتيجة العادية</t>
        </is>
      </c>
      <c r="D195" s="10" t="inlineStr">
        <is>
          <t xml:space="preserve">6</t>
        </is>
      </c>
      <c r="E195" s="10" t="inlineStr">
        <is>
          <t xml:space="preserve">Compte</t>
        </is>
      </c>
      <c r="F195" s="10" t="inlineStr">
        <is>
          <t xml:space="preserve">—</t>
        </is>
      </c>
    </row>
    <row r="196">
      <c r="A196" s="20" t="inlineStr">
        <is>
          <t xml:space="preserve">698</t>
        </is>
      </c>
      <c r="B196" s="9" t="inlineStr">
        <is>
          <t xml:space="preserve">Autres impôts sur les résultats</t>
        </is>
      </c>
      <c r="C196" s="21" t="inlineStr">
        <is>
          <t xml:space="preserve">ضرائب أخرى على النتائج</t>
        </is>
      </c>
      <c r="D196" s="10" t="inlineStr">
        <is>
          <t xml:space="preserve">6</t>
        </is>
      </c>
      <c r="E196" s="10" t="inlineStr">
        <is>
          <t xml:space="preserve">Compte</t>
        </is>
      </c>
      <c r="F196" s="10" t="inlineStr">
        <is>
          <t xml:space="preserve">—</t>
        </is>
      </c>
    </row>
    <row r="197">
      <c r="A197" s="23" t="inlineStr">
        <is>
          <t xml:space="preserve">70</t>
        </is>
      </c>
      <c r="B197" s="23" t="inlineStr">
        <is>
          <t xml:space="preserve">Ventes de marchandises et produits fabriqués, prestations de services</t>
        </is>
      </c>
      <c r="C197" s="23" t="inlineStr">
        <is>
          <t xml:space="preserve">المبيعات من البضائع والمنتجات المصنعة وأداءات الخدمات</t>
        </is>
      </c>
      <c r="D197" s="10" t="inlineStr">
        <is>
          <t xml:space="preserve">7</t>
        </is>
      </c>
      <c r="E197" s="10" t="inlineStr">
        <is>
          <t xml:space="preserve">Rubrique</t>
        </is>
      </c>
      <c r="F197" s="10"/>
    </row>
    <row r="198">
      <c r="A198" s="20" t="inlineStr">
        <is>
          <t xml:space="preserve">700</t>
        </is>
      </c>
      <c r="B198" s="9" t="inlineStr">
        <is>
          <t xml:space="preserve">Ventes de marchandises</t>
        </is>
      </c>
      <c r="C198" s="21" t="inlineStr">
        <is>
          <t xml:space="preserve">مبيعات البضائع</t>
        </is>
      </c>
      <c r="D198" s="10" t="inlineStr">
        <is>
          <t xml:space="preserve">7</t>
        </is>
      </c>
      <c r="E198" s="10" t="inlineStr">
        <is>
          <t xml:space="preserve">Compte</t>
        </is>
      </c>
      <c r="F198" s="10" t="inlineStr">
        <is>
          <t xml:space="preserve">—</t>
        </is>
      </c>
    </row>
    <row r="199">
      <c r="A199" s="20" t="inlineStr">
        <is>
          <t xml:space="preserve">701</t>
        </is>
      </c>
      <c r="B199" s="9" t="inlineStr">
        <is>
          <t xml:space="preserve">Ventes de produits finis</t>
        </is>
      </c>
      <c r="C199" s="21" t="inlineStr">
        <is>
          <t xml:space="preserve">مبيعات المنتجات التامة</t>
        </is>
      </c>
      <c r="D199" s="10" t="inlineStr">
        <is>
          <t xml:space="preserve">7</t>
        </is>
      </c>
      <c r="E199" s="10" t="inlineStr">
        <is>
          <t xml:space="preserve">Compte</t>
        </is>
      </c>
      <c r="F199" s="10" t="inlineStr">
        <is>
          <t xml:space="preserve">—</t>
        </is>
      </c>
    </row>
    <row r="200">
      <c r="A200" s="20" t="inlineStr">
        <is>
          <t xml:space="preserve">702</t>
        </is>
      </c>
      <c r="B200" s="9" t="inlineStr">
        <is>
          <t xml:space="preserve">Ventes de produits intermédiaires</t>
        </is>
      </c>
      <c r="C200" s="21" t="inlineStr">
        <is>
          <t xml:space="preserve">مبيعات المنتجات الوسيطة</t>
        </is>
      </c>
      <c r="D200" s="10" t="inlineStr">
        <is>
          <t xml:space="preserve">7</t>
        </is>
      </c>
      <c r="E200" s="10" t="inlineStr">
        <is>
          <t xml:space="preserve">Compte</t>
        </is>
      </c>
      <c r="F200" s="10" t="inlineStr">
        <is>
          <t xml:space="preserve">—</t>
        </is>
      </c>
    </row>
    <row r="201">
      <c r="A201" s="20" t="inlineStr">
        <is>
          <t xml:space="preserve">704</t>
        </is>
      </c>
      <c r="B201" s="9" t="inlineStr">
        <is>
          <t xml:space="preserve">Ventes de travaux</t>
        </is>
      </c>
      <c r="C201" s="21" t="inlineStr">
        <is>
          <t xml:space="preserve">مبيعات الأشغال</t>
        </is>
      </c>
      <c r="D201" s="10" t="inlineStr">
        <is>
          <t xml:space="preserve">7</t>
        </is>
      </c>
      <c r="E201" s="10" t="inlineStr">
        <is>
          <t xml:space="preserve">Compte</t>
        </is>
      </c>
      <c r="F201" s="10" t="inlineStr">
        <is>
          <t xml:space="preserve">—</t>
        </is>
      </c>
    </row>
    <row r="202">
      <c r="A202" s="20" t="inlineStr">
        <is>
          <t xml:space="preserve">705</t>
        </is>
      </c>
      <c r="B202" s="9" t="inlineStr">
        <is>
          <t xml:space="preserve">Ventes d'études</t>
        </is>
      </c>
      <c r="C202" s="21" t="inlineStr">
        <is>
          <t xml:space="preserve">مبيعات الدراسات</t>
        </is>
      </c>
      <c r="D202" s="10" t="inlineStr">
        <is>
          <t xml:space="preserve">7</t>
        </is>
      </c>
      <c r="E202" s="10" t="inlineStr">
        <is>
          <t xml:space="preserve">Compte</t>
        </is>
      </c>
      <c r="F202" s="10" t="inlineStr">
        <is>
          <t xml:space="preserve">—</t>
        </is>
      </c>
    </row>
    <row r="203">
      <c r="A203" s="20" t="inlineStr">
        <is>
          <t xml:space="preserve">706</t>
        </is>
      </c>
      <c r="B203" s="9" t="inlineStr">
        <is>
          <t xml:space="preserve">Autres prestations de services</t>
        </is>
      </c>
      <c r="C203" s="21" t="inlineStr">
        <is>
          <t xml:space="preserve">أداءات الخدمات الأخرى</t>
        </is>
      </c>
      <c r="D203" s="10" t="inlineStr">
        <is>
          <t xml:space="preserve">7</t>
        </is>
      </c>
      <c r="E203" s="10" t="inlineStr">
        <is>
          <t xml:space="preserve">Compte</t>
        </is>
      </c>
      <c r="F203" s="10" t="inlineStr">
        <is>
          <t xml:space="preserve">—</t>
        </is>
      </c>
    </row>
    <row r="204">
      <c r="A204" s="20" t="inlineStr">
        <is>
          <t xml:space="preserve">708</t>
        </is>
      </c>
      <c r="B204" s="9" t="inlineStr">
        <is>
          <t xml:space="preserve">Produits des activités annexes</t>
        </is>
      </c>
      <c r="C204" s="21" t="inlineStr">
        <is>
          <t xml:space="preserve">منتوجات الأنشطة الملحقة</t>
        </is>
      </c>
      <c r="D204" s="10" t="inlineStr">
        <is>
          <t xml:space="preserve">7</t>
        </is>
      </c>
      <c r="E204" s="10" t="inlineStr">
        <is>
          <t xml:space="preserve">Compte</t>
        </is>
      </c>
      <c r="F204" s="10" t="inlineStr">
        <is>
          <t xml:space="preserve">—</t>
        </is>
      </c>
    </row>
    <row r="205">
      <c r="A205" s="20" t="inlineStr">
        <is>
          <t xml:space="preserve">709</t>
        </is>
      </c>
      <c r="B205" s="9" t="inlineStr">
        <is>
          <t xml:space="preserve">Rabais, remises et ristournes accordés</t>
        </is>
      </c>
      <c r="C205" s="21" t="inlineStr">
        <is>
          <t xml:space="preserve">التخفيضات الممنوحة</t>
        </is>
      </c>
      <c r="D205" s="10" t="inlineStr">
        <is>
          <t xml:space="preserve">7</t>
        </is>
      </c>
      <c r="E205" s="10" t="inlineStr">
        <is>
          <t xml:space="preserve">Compte</t>
        </is>
      </c>
      <c r="F205" s="10" t="inlineStr">
        <is>
          <t xml:space="preserve">—</t>
        </is>
      </c>
    </row>
    <row r="206">
      <c r="A206" s="23" t="inlineStr">
        <is>
          <t xml:space="preserve">72</t>
        </is>
      </c>
      <c r="B206" s="23" t="inlineStr">
        <is>
          <t xml:space="preserve">Production stockée ou déstockée</t>
        </is>
      </c>
      <c r="C206" s="23" t="inlineStr">
        <is>
          <t xml:space="preserve">الإنتاج المخزن أو المسحوب من المخزون</t>
        </is>
      </c>
      <c r="D206" s="10" t="inlineStr">
        <is>
          <t xml:space="preserve">7</t>
        </is>
      </c>
      <c r="E206" s="10" t="inlineStr">
        <is>
          <t xml:space="preserve">Rubrique</t>
        </is>
      </c>
      <c r="F206" s="10"/>
    </row>
    <row r="207">
      <c r="A207" s="20" t="inlineStr">
        <is>
          <t xml:space="preserve">723</t>
        </is>
      </c>
      <c r="B207" s="9" t="inlineStr">
        <is>
          <t xml:space="preserve">Variation des stocks d'en-cours</t>
        </is>
      </c>
      <c r="C207" s="21" t="inlineStr">
        <is>
          <t xml:space="preserve">تغيرات مخزونات المنتجات قيد التنفيذ</t>
        </is>
      </c>
      <c r="D207" s="10" t="inlineStr">
        <is>
          <t xml:space="preserve">7</t>
        </is>
      </c>
      <c r="E207" s="10" t="inlineStr">
        <is>
          <t xml:space="preserve">Compte</t>
        </is>
      </c>
      <c r="F207" s="10" t="inlineStr">
        <is>
          <t xml:space="preserve">—</t>
        </is>
      </c>
    </row>
    <row r="208">
      <c r="A208" s="20" t="inlineStr">
        <is>
          <t xml:space="preserve">724</t>
        </is>
      </c>
      <c r="B208" s="9" t="inlineStr">
        <is>
          <t xml:space="preserve">Variation des stocks de produits finis</t>
        </is>
      </c>
      <c r="C208" s="21" t="inlineStr">
        <is>
          <t xml:space="preserve">تغيرات مخزونات المنتجات التامة</t>
        </is>
      </c>
      <c r="D208" s="10" t="inlineStr">
        <is>
          <t xml:space="preserve">7</t>
        </is>
      </c>
      <c r="E208" s="10" t="inlineStr">
        <is>
          <t xml:space="preserve">Compte</t>
        </is>
      </c>
      <c r="F208" s="10" t="inlineStr">
        <is>
          <t xml:space="preserve">—</t>
        </is>
      </c>
    </row>
    <row r="209">
      <c r="A209" s="20" t="inlineStr">
        <is>
          <t xml:space="preserve">73</t>
        </is>
      </c>
      <c r="B209" s="9" t="inlineStr">
        <is>
          <t xml:space="preserve">Production immobilisée</t>
        </is>
      </c>
      <c r="C209" s="21" t="inlineStr">
        <is>
          <t xml:space="preserve">الإنتاج المثبت</t>
        </is>
      </c>
      <c r="D209" s="10" t="inlineStr">
        <is>
          <t xml:space="preserve">7</t>
        </is>
      </c>
      <c r="E209" s="10" t="inlineStr">
        <is>
          <t xml:space="preserve">Compte</t>
        </is>
      </c>
      <c r="F209" s="10" t="inlineStr">
        <is>
          <t xml:space="preserve">—</t>
        </is>
      </c>
    </row>
    <row r="210">
      <c r="A210" s="20" t="inlineStr">
        <is>
          <t xml:space="preserve">74</t>
        </is>
      </c>
      <c r="B210" s="9" t="inlineStr">
        <is>
          <t xml:space="preserve">Subventions d'exploitation</t>
        </is>
      </c>
      <c r="C210" s="21" t="inlineStr">
        <is>
          <t xml:space="preserve">إعانات الاستغلال</t>
        </is>
      </c>
      <c r="D210" s="10" t="inlineStr">
        <is>
          <t xml:space="preserve">7</t>
        </is>
      </c>
      <c r="E210" s="10" t="inlineStr">
        <is>
          <t xml:space="preserve">Compte</t>
        </is>
      </c>
      <c r="F210" s="10" t="inlineStr">
        <is>
          <t xml:space="preserve">—</t>
        </is>
      </c>
    </row>
    <row r="211">
      <c r="A211" s="23" t="inlineStr">
        <is>
          <t xml:space="preserve">75</t>
        </is>
      </c>
      <c r="B211" s="23" t="inlineStr">
        <is>
          <t xml:space="preserve">Autres produits opérationnels</t>
        </is>
      </c>
      <c r="C211" s="23" t="inlineStr">
        <is>
          <t xml:space="preserve">المنتوجات العملياتية الأخرى</t>
        </is>
      </c>
      <c r="D211" s="10" t="inlineStr">
        <is>
          <t xml:space="preserve">7</t>
        </is>
      </c>
      <c r="E211" s="10" t="inlineStr">
        <is>
          <t xml:space="preserve">Rubrique</t>
        </is>
      </c>
      <c r="F211" s="10"/>
    </row>
    <row r="212">
      <c r="A212" s="20" t="inlineStr">
        <is>
          <t xml:space="preserve">751</t>
        </is>
      </c>
      <c r="B212" s="9" t="inlineStr">
        <is>
          <t xml:space="preserve">Redevances pour concessions, brevets, licences</t>
        </is>
      </c>
      <c r="C212" s="21" t="inlineStr">
        <is>
          <t xml:space="preserve">إتاوات الامتيازات وبراءات الاختراع</t>
        </is>
      </c>
      <c r="D212" s="10" t="inlineStr">
        <is>
          <t xml:space="preserve">7</t>
        </is>
      </c>
      <c r="E212" s="10" t="inlineStr">
        <is>
          <t xml:space="preserve">Compte</t>
        </is>
      </c>
      <c r="F212" s="10" t="inlineStr">
        <is>
          <t xml:space="preserve">—</t>
        </is>
      </c>
    </row>
    <row r="213">
      <c r="A213" s="20" t="inlineStr">
        <is>
          <t xml:space="preserve">752</t>
        </is>
      </c>
      <c r="B213" s="9" t="inlineStr">
        <is>
          <t xml:space="preserve">Plus-values sur sortie d'actifs immobilisés</t>
        </is>
      </c>
      <c r="C213" s="21" t="inlineStr">
        <is>
          <t xml:space="preserve">فوائض القيمة عن خروج الأصول المثبتة</t>
        </is>
      </c>
      <c r="D213" s="10" t="inlineStr">
        <is>
          <t xml:space="preserve">7</t>
        </is>
      </c>
      <c r="E213" s="10" t="inlineStr">
        <is>
          <t xml:space="preserve">Compte</t>
        </is>
      </c>
      <c r="F213" s="10" t="inlineStr">
        <is>
          <t xml:space="preserve">—</t>
        </is>
      </c>
    </row>
    <row r="214">
      <c r="A214" s="20" t="inlineStr">
        <is>
          <t xml:space="preserve">754</t>
        </is>
      </c>
      <c r="B214" s="9" t="inlineStr">
        <is>
          <t xml:space="preserve">Quote-part de subvention d'investissement virée au résultat</t>
        </is>
      </c>
      <c r="C214" s="21" t="inlineStr">
        <is>
          <t xml:space="preserve">حصة إعانة الاستثمار المحولة إلى النتيجة</t>
        </is>
      </c>
      <c r="D214" s="10" t="inlineStr">
        <is>
          <t xml:space="preserve">7</t>
        </is>
      </c>
      <c r="E214" s="10" t="inlineStr">
        <is>
          <t xml:space="preserve">Compte</t>
        </is>
      </c>
      <c r="F214" s="10" t="inlineStr">
        <is>
          <t xml:space="preserve">—</t>
        </is>
      </c>
    </row>
    <row r="215">
      <c r="A215" s="20" t="inlineStr">
        <is>
          <t xml:space="preserve">756</t>
        </is>
      </c>
      <c r="B215" s="9" t="inlineStr">
        <is>
          <t xml:space="preserve">Rentrées sur créances amorties</t>
        </is>
      </c>
      <c r="C215" s="21" t="inlineStr">
        <is>
          <t xml:space="preserve">مبالغ محصلة عن ديون مهتلكة</t>
        </is>
      </c>
      <c r="D215" s="10" t="inlineStr">
        <is>
          <t xml:space="preserve">7</t>
        </is>
      </c>
      <c r="E215" s="10" t="inlineStr">
        <is>
          <t xml:space="preserve">Compte</t>
        </is>
      </c>
      <c r="F215" s="10" t="inlineStr">
        <is>
          <t xml:space="preserve">—</t>
        </is>
      </c>
    </row>
    <row r="216">
      <c r="A216" s="20" t="inlineStr">
        <is>
          <t xml:space="preserve">757</t>
        </is>
      </c>
      <c r="B216" s="9" t="inlineStr">
        <is>
          <t xml:space="preserve">Produits exceptionnels sur opérations de gestion</t>
        </is>
      </c>
      <c r="C216" s="21" t="inlineStr">
        <is>
          <t xml:space="preserve">منتوجات استثنائية عن عمليات التسيير</t>
        </is>
      </c>
      <c r="D216" s="10" t="inlineStr">
        <is>
          <t xml:space="preserve">7</t>
        </is>
      </c>
      <c r="E216" s="10" t="inlineStr">
        <is>
          <t xml:space="preserve">Compte</t>
        </is>
      </c>
      <c r="F216" s="10" t="inlineStr">
        <is>
          <t xml:space="preserve">—</t>
        </is>
      </c>
    </row>
    <row r="217">
      <c r="A217" s="20" t="inlineStr">
        <is>
          <t xml:space="preserve">758</t>
        </is>
      </c>
      <c r="B217" s="9" t="inlineStr">
        <is>
          <t xml:space="preserve">Autres produits de gestion courante</t>
        </is>
      </c>
      <c r="C217" s="21" t="inlineStr">
        <is>
          <t xml:space="preserve">منتوجات أخرى للتسيير الجاري</t>
        </is>
      </c>
      <c r="D217" s="10" t="inlineStr">
        <is>
          <t xml:space="preserve">7</t>
        </is>
      </c>
      <c r="E217" s="10" t="inlineStr">
        <is>
          <t xml:space="preserve">Compte</t>
        </is>
      </c>
      <c r="F217" s="10" t="inlineStr">
        <is>
          <t xml:space="preserve">—</t>
        </is>
      </c>
    </row>
    <row r="218">
      <c r="A218" s="23" t="inlineStr">
        <is>
          <t xml:space="preserve">76</t>
        </is>
      </c>
      <c r="B218" s="23" t="inlineStr">
        <is>
          <t xml:space="preserve">Produits financiers</t>
        </is>
      </c>
      <c r="C218" s="23" t="inlineStr">
        <is>
          <t xml:space="preserve">المنتوجات المالية</t>
        </is>
      </c>
      <c r="D218" s="10" t="inlineStr">
        <is>
          <t xml:space="preserve">7</t>
        </is>
      </c>
      <c r="E218" s="10" t="inlineStr">
        <is>
          <t xml:space="preserve">Rubrique</t>
        </is>
      </c>
      <c r="F218" s="10"/>
    </row>
    <row r="219">
      <c r="A219" s="20" t="inlineStr">
        <is>
          <t xml:space="preserve">761</t>
        </is>
      </c>
      <c r="B219" s="9" t="inlineStr">
        <is>
          <t xml:space="preserve">Produits des participations</t>
        </is>
      </c>
      <c r="C219" s="21" t="inlineStr">
        <is>
          <t xml:space="preserve">منتوجات المساهمات</t>
        </is>
      </c>
      <c r="D219" s="10" t="inlineStr">
        <is>
          <t xml:space="preserve">7</t>
        </is>
      </c>
      <c r="E219" s="10" t="inlineStr">
        <is>
          <t xml:space="preserve">Compte</t>
        </is>
      </c>
      <c r="F219" s="10" t="inlineStr">
        <is>
          <t xml:space="preserve">—</t>
        </is>
      </c>
    </row>
    <row r="220">
      <c r="A220" s="20" t="inlineStr">
        <is>
          <t xml:space="preserve">763</t>
        </is>
      </c>
      <c r="B220" s="9" t="inlineStr">
        <is>
          <t xml:space="preserve">Revenus de créances</t>
        </is>
      </c>
      <c r="C220" s="21" t="inlineStr">
        <is>
          <t xml:space="preserve">إيرادات الديون</t>
        </is>
      </c>
      <c r="D220" s="10" t="inlineStr">
        <is>
          <t xml:space="preserve">7</t>
        </is>
      </c>
      <c r="E220" s="10" t="inlineStr">
        <is>
          <t xml:space="preserve">Compte</t>
        </is>
      </c>
      <c r="F220" s="10" t="inlineStr">
        <is>
          <t xml:space="preserve">—</t>
        </is>
      </c>
    </row>
    <row r="221">
      <c r="A221" s="20" t="inlineStr">
        <is>
          <t xml:space="preserve">766</t>
        </is>
      </c>
      <c r="B221" s="9" t="inlineStr">
        <is>
          <t xml:space="preserve">Gains de change</t>
        </is>
      </c>
      <c r="C221" s="21" t="inlineStr">
        <is>
          <t xml:space="preserve">أرباح الصرف</t>
        </is>
      </c>
      <c r="D221" s="10" t="inlineStr">
        <is>
          <t xml:space="preserve">7</t>
        </is>
      </c>
      <c r="E221" s="10" t="inlineStr">
        <is>
          <t xml:space="preserve">Compte</t>
        </is>
      </c>
      <c r="F221" s="10" t="inlineStr">
        <is>
          <t xml:space="preserve">—</t>
        </is>
      </c>
    </row>
    <row r="222">
      <c r="A222" s="20" t="inlineStr">
        <is>
          <t xml:space="preserve">768</t>
        </is>
      </c>
      <c r="B222" s="9" t="inlineStr">
        <is>
          <t xml:space="preserve">Autres produits financiers</t>
        </is>
      </c>
      <c r="C222" s="21" t="inlineStr">
        <is>
          <t xml:space="preserve">منتوجات مالية أخرى</t>
        </is>
      </c>
      <c r="D222" s="10" t="inlineStr">
        <is>
          <t xml:space="preserve">7</t>
        </is>
      </c>
      <c r="E222" s="10" t="inlineStr">
        <is>
          <t xml:space="preserve">Compte</t>
        </is>
      </c>
      <c r="F222" s="10" t="inlineStr">
        <is>
          <t xml:space="preserve">—</t>
        </is>
      </c>
    </row>
    <row r="223">
      <c r="A223" s="20" t="inlineStr">
        <is>
          <t xml:space="preserve">77</t>
        </is>
      </c>
      <c r="B223" s="9" t="inlineStr">
        <is>
          <t xml:space="preserve">Éléments extraordinaires — produits</t>
        </is>
      </c>
      <c r="C223" s="21" t="inlineStr">
        <is>
          <t xml:space="preserve">العناصر غير العادية — منتوجات</t>
        </is>
      </c>
      <c r="D223" s="10" t="inlineStr">
        <is>
          <t xml:space="preserve">7</t>
        </is>
      </c>
      <c r="E223" s="10" t="inlineStr">
        <is>
          <t xml:space="preserve">Compte</t>
        </is>
      </c>
      <c r="F223" s="10" t="inlineStr">
        <is>
          <t xml:space="preserve">—</t>
        </is>
      </c>
    </row>
    <row r="224">
      <c r="A224" s="23" t="inlineStr">
        <is>
          <t xml:space="preserve">78</t>
        </is>
      </c>
      <c r="B224" s="23" t="inlineStr">
        <is>
          <t xml:space="preserve">Reprises sur pertes de valeur et provisions</t>
        </is>
      </c>
      <c r="C224" s="23" t="inlineStr">
        <is>
          <t xml:space="preserve">استئنافات عن خسائر القيمة والمؤونات</t>
        </is>
      </c>
      <c r="D224" s="10" t="inlineStr">
        <is>
          <t xml:space="preserve">7</t>
        </is>
      </c>
      <c r="E224" s="10" t="inlineStr">
        <is>
          <t xml:space="preserve">Rubrique</t>
        </is>
      </c>
      <c r="F224" s="10"/>
    </row>
    <row r="225">
      <c r="A225" s="20" t="inlineStr">
        <is>
          <t xml:space="preserve">781</t>
        </is>
      </c>
      <c r="B225" s="9" t="inlineStr">
        <is>
          <t xml:space="preserve">Reprises — actifs non courants</t>
        </is>
      </c>
      <c r="C225" s="21" t="inlineStr">
        <is>
          <t xml:space="preserve">الاستئنافات — الأصول غير الجارية</t>
        </is>
      </c>
      <c r="D225" s="10" t="inlineStr">
        <is>
          <t xml:space="preserve">7</t>
        </is>
      </c>
      <c r="E225" s="10" t="inlineStr">
        <is>
          <t xml:space="preserve">Compte</t>
        </is>
      </c>
      <c r="F225" s="10" t="inlineStr">
        <is>
          <t xml:space="preserve">—</t>
        </is>
      </c>
    </row>
    <row r="226">
      <c r="A226" s="20" t="inlineStr">
        <is>
          <t xml:space="preserve">785</t>
        </is>
      </c>
      <c r="B226" s="9" t="inlineStr">
        <is>
          <t xml:space="preserve">Reprises — actifs courants</t>
        </is>
      </c>
      <c r="C226" s="21" t="inlineStr">
        <is>
          <t xml:space="preserve">الاستئنافات — الأصول الجارية</t>
        </is>
      </c>
      <c r="D226" s="10" t="inlineStr">
        <is>
          <t xml:space="preserve">7</t>
        </is>
      </c>
      <c r="E226" s="10" t="inlineStr">
        <is>
          <t xml:space="preserve">Compte</t>
        </is>
      </c>
      <c r="F226" s="10" t="inlineStr">
        <is>
          <t xml:space="preserve">—</t>
        </is>
      </c>
    </row>
    <row r="227">
      <c r="A227" s="20" t="inlineStr">
        <is>
          <t xml:space="preserve">786</t>
        </is>
      </c>
      <c r="B227" s="9" t="inlineStr">
        <is>
          <t xml:space="preserve">Reprises — éléments financiers</t>
        </is>
      </c>
      <c r="C227" s="21" t="inlineStr">
        <is>
          <t xml:space="preserve">الاستئنافات — العناصر المالية</t>
        </is>
      </c>
      <c r="D227" s="10" t="inlineStr">
        <is>
          <t xml:space="preserve">7</t>
        </is>
      </c>
      <c r="E227" s="10" t="inlineStr">
        <is>
          <t xml:space="preserve">Compte</t>
        </is>
      </c>
      <c r="F227" s="10" t="inlineStr">
        <is>
          <t xml:space="preserve">—</t>
        </is>
      </c>
    </row>
  </sheetData>
  <autoFilter ref="A7:F7"/>
  <mergeCells count="4">
    <mergeCell ref="A1:F1"/>
    <mergeCell ref="A2:F2"/>
    <mergeCell ref="A3:F3"/>
    <mergeCell ref="A5:F5"/>
  </mergeCells>
  <pageMargins left="0.4" right="0.4" top="0.5" bottom="0.5" header="0.3" footer="0.3"/>
</worksheet>
</file>

<file path=xl/worksheets/sheet3.xml><?xml version="1.0" encoding="utf-8"?>
<worksheet xmlns="http://schemas.openxmlformats.org/spreadsheetml/2006/main">
  <sheetPr>
    <tabColor rgb="FF7C3AED"/>
  </sheetPr>
  <sheetViews>
    <sheetView workbookViewId="0" showGridLines="0">
      <pane ySplit="7" topLeftCell="A8" activePane="bottomLeft" state="frozen"/>
      <selection pane="bottomLeft" activeCell="A8" sqref="A8"/>
    </sheetView>
  </sheetViews>
  <sheetFormatPr defaultRowHeight="15"/>
  <cols>
    <col min="1" max="1" width="14" customWidth="1"/>
    <col min="2" max="2" width="40" customWidth="1"/>
    <col min="3" max="3" width="34" customWidth="1"/>
    <col min="4" max="4" width="16" customWidth="1"/>
  </cols>
  <sheetData>
    <row r="1" ht="30" customHeight="1">
      <c r="A1" s="1" t="inlineStr">
        <is>
          <t xml:space="preserve">CENTRES DE COÛTS</t>
        </is>
      </c>
    </row>
    <row r="2" ht="22" customHeight="1">
      <c r="A2" s="2" t="inlineStr">
        <is>
          <t xml:space="preserve">مراكز التكلفة</t>
        </is>
      </c>
    </row>
    <row r="3">
      <c r="A3" s="18">
        <f>Societe&amp;"   ·   Exercice "&amp;Exercice</f>
      </c>
    </row>
    <row r="5">
      <c r="A5" s="18" t="inlineStr">
        <is>
          <t xml:space="preserve">Un centre s'affecte sur une ligne du journal, colonne G. Les charges et les produits qui le portent se retrouvent dans Rapports.</t>
        </is>
      </c>
    </row>
    <row r="7">
      <c r="A7" s="8" t="inlineStr">
        <is>
          <t xml:space="preserve">Code</t>
        </is>
      </c>
      <c r="B7" s="8" t="inlineStr">
        <is>
          <t xml:space="preserve">Libellé</t>
        </is>
      </c>
      <c r="C7" s="8" t="inlineStr">
        <is>
          <t xml:space="preserve">التسمية</t>
        </is>
      </c>
      <c r="D7" s="8" t="inlineStr">
        <is>
          <t xml:space="preserve">Note</t>
        </is>
      </c>
    </row>
    <row r="8">
      <c r="A8" s="5" t="inlineStr">
        <is>
          <t xml:space="preserve">MAG1</t>
        </is>
      </c>
      <c r="B8" s="5" t="inlineStr">
        <is>
          <t xml:space="preserve">Magasin centre</t>
        </is>
      </c>
      <c r="C8" s="21" t="inlineStr">
        <is>
          <t xml:space="preserve">المحل المركزي</t>
        </is>
      </c>
      <c r="D8" s="9" t="inlineStr">
        <is>
          <t xml:space="preserve">EXEMPLE</t>
        </is>
      </c>
    </row>
    <row r="9">
      <c r="A9" s="5" t="inlineStr">
        <is>
          <t xml:space="preserve">CH01</t>
        </is>
      </c>
      <c r="B9" s="5" t="inlineStr">
        <is>
          <t xml:space="preserve">Chantier Alger</t>
        </is>
      </c>
      <c r="C9" s="21" t="inlineStr">
        <is>
          <t xml:space="preserve">ورشة الجزائر</t>
        </is>
      </c>
      <c r="D9" s="9" t="inlineStr">
        <is>
          <t xml:space="preserve">EXEMPLE</t>
        </is>
      </c>
    </row>
    <row r="10">
      <c r="A10" s="5" t="inlineStr">
        <is>
          <t xml:space="preserve">VEH1</t>
        </is>
      </c>
      <c r="B10" s="5" t="inlineStr">
        <is>
          <t xml:space="preserve">Véhicule utilitaire</t>
        </is>
      </c>
      <c r="C10" s="21" t="inlineStr">
        <is>
          <t xml:space="preserve">سيارة النفعية</t>
        </is>
      </c>
      <c r="D10" s="9" t="inlineStr">
        <is>
          <t xml:space="preserve">EXEMPLE</t>
        </is>
      </c>
    </row>
    <row r="11">
      <c r="A11" s="5"/>
      <c r="B11" s="5"/>
      <c r="C11" s="21"/>
      <c r="D11" s="9"/>
    </row>
    <row r="12">
      <c r="A12" s="5"/>
      <c r="B12" s="5"/>
      <c r="C12" s="21"/>
      <c r="D12" s="9"/>
    </row>
    <row r="13">
      <c r="A13" s="5"/>
      <c r="B13" s="5"/>
      <c r="C13" s="21"/>
      <c r="D13" s="9"/>
    </row>
    <row r="14">
      <c r="A14" s="5"/>
      <c r="B14" s="5"/>
      <c r="C14" s="21"/>
      <c r="D14" s="9"/>
    </row>
    <row r="15">
      <c r="A15" s="5"/>
      <c r="B15" s="5"/>
      <c r="C15" s="21"/>
      <c r="D15" s="9"/>
    </row>
    <row r="16">
      <c r="A16" s="5"/>
      <c r="B16" s="5"/>
      <c r="C16" s="21"/>
      <c r="D16" s="9"/>
    </row>
    <row r="17">
      <c r="A17" s="5"/>
      <c r="B17" s="5"/>
      <c r="C17" s="21"/>
      <c r="D17" s="9"/>
    </row>
    <row r="18">
      <c r="A18" s="5"/>
      <c r="B18" s="5"/>
      <c r="C18" s="21"/>
      <c r="D18" s="9"/>
    </row>
    <row r="19">
      <c r="A19" s="5"/>
      <c r="B19" s="5"/>
      <c r="C19" s="21"/>
      <c r="D19" s="9"/>
    </row>
    <row r="20">
      <c r="A20" s="5"/>
      <c r="B20" s="5"/>
      <c r="C20" s="21"/>
      <c r="D20" s="9"/>
    </row>
    <row r="21">
      <c r="A21" s="5"/>
      <c r="B21" s="5"/>
      <c r="C21" s="21"/>
      <c r="D21" s="9"/>
    </row>
    <row r="22">
      <c r="A22" s="5"/>
      <c r="B22" s="5"/>
      <c r="C22" s="21"/>
      <c r="D22" s="9"/>
    </row>
    <row r="23">
      <c r="A23" s="5"/>
      <c r="B23" s="5"/>
      <c r="C23" s="21"/>
      <c r="D23" s="9"/>
    </row>
    <row r="24">
      <c r="A24" s="5"/>
      <c r="B24" s="5"/>
      <c r="C24" s="21"/>
      <c r="D24" s="9"/>
    </row>
    <row r="25">
      <c r="A25" s="5"/>
      <c r="B25" s="5"/>
      <c r="C25" s="21"/>
      <c r="D25" s="9"/>
    </row>
    <row r="26">
      <c r="A26" s="5"/>
      <c r="B26" s="5"/>
      <c r="C26" s="21"/>
      <c r="D26" s="9"/>
    </row>
    <row r="27">
      <c r="A27" s="5"/>
      <c r="B27" s="5"/>
      <c r="C27" s="21"/>
      <c r="D27" s="9"/>
    </row>
    <row r="28">
      <c r="A28" s="5"/>
      <c r="B28" s="5"/>
      <c r="C28" s="21"/>
      <c r="D28" s="9"/>
    </row>
    <row r="29">
      <c r="A29" s="5"/>
      <c r="B29" s="5"/>
      <c r="C29" s="21"/>
      <c r="D29" s="9"/>
    </row>
    <row r="30">
      <c r="A30" s="5"/>
      <c r="B30" s="5"/>
      <c r="C30" s="21"/>
      <c r="D30" s="9"/>
    </row>
    <row r="31">
      <c r="A31" s="5"/>
      <c r="B31" s="5"/>
      <c r="C31" s="21"/>
      <c r="D31" s="9"/>
    </row>
    <row r="32">
      <c r="A32" s="5"/>
      <c r="B32" s="5"/>
      <c r="C32" s="21"/>
      <c r="D32" s="9"/>
    </row>
    <row r="33">
      <c r="A33" s="5"/>
      <c r="B33" s="5"/>
      <c r="C33" s="21"/>
      <c r="D33" s="9"/>
    </row>
    <row r="34">
      <c r="A34" s="5"/>
      <c r="B34" s="5"/>
      <c r="C34" s="21"/>
      <c r="D34" s="9"/>
    </row>
    <row r="35">
      <c r="A35" s="5"/>
      <c r="B35" s="5"/>
      <c r="C35" s="21"/>
      <c r="D35" s="9"/>
    </row>
    <row r="36">
      <c r="A36" s="5"/>
      <c r="B36" s="5"/>
      <c r="C36" s="21"/>
      <c r="D36" s="9"/>
    </row>
    <row r="37">
      <c r="A37" s="5"/>
      <c r="B37" s="5"/>
      <c r="C37" s="21"/>
      <c r="D37" s="9"/>
    </row>
    <row r="38">
      <c r="A38" s="5"/>
      <c r="B38" s="5"/>
      <c r="C38" s="21"/>
      <c r="D38" s="9"/>
    </row>
    <row r="39">
      <c r="A39" s="5"/>
      <c r="B39" s="5"/>
      <c r="C39" s="21"/>
      <c r="D39" s="9"/>
    </row>
    <row r="40">
      <c r="A40" s="5"/>
      <c r="B40" s="5"/>
      <c r="C40" s="21"/>
      <c r="D40" s="9"/>
    </row>
    <row r="41">
      <c r="A41" s="5"/>
      <c r="B41" s="5"/>
      <c r="C41" s="21"/>
      <c r="D41" s="9"/>
    </row>
    <row r="42">
      <c r="A42" s="5"/>
      <c r="B42" s="5"/>
      <c r="C42" s="21"/>
      <c r="D42" s="9"/>
    </row>
    <row r="43">
      <c r="A43" s="5"/>
      <c r="B43" s="5"/>
      <c r="C43" s="21"/>
      <c r="D43" s="9"/>
    </row>
    <row r="44">
      <c r="A44" s="5"/>
      <c r="B44" s="5"/>
      <c r="C44" s="21"/>
      <c r="D44" s="9"/>
    </row>
    <row r="45">
      <c r="A45" s="5"/>
      <c r="B45" s="5"/>
      <c r="C45" s="21"/>
      <c r="D45" s="9"/>
    </row>
    <row r="46">
      <c r="A46" s="5"/>
      <c r="B46" s="5"/>
      <c r="C46" s="21"/>
      <c r="D46" s="9"/>
    </row>
    <row r="47">
      <c r="A47" s="5"/>
      <c r="B47" s="5"/>
      <c r="C47" s="21"/>
      <c r="D47" s="9"/>
    </row>
    <row r="48">
      <c r="A48" s="5"/>
      <c r="B48" s="5"/>
      <c r="C48" s="21"/>
      <c r="D48" s="9"/>
    </row>
    <row r="49">
      <c r="A49" s="5"/>
      <c r="B49" s="5"/>
      <c r="C49" s="21"/>
      <c r="D49" s="9"/>
    </row>
    <row r="50">
      <c r="A50" s="5"/>
      <c r="B50" s="5"/>
      <c r="C50" s="21"/>
      <c r="D50" s="9"/>
    </row>
    <row r="51">
      <c r="A51" s="5"/>
      <c r="B51" s="5"/>
      <c r="C51" s="21"/>
      <c r="D51" s="9"/>
    </row>
    <row r="52">
      <c r="A52" s="5"/>
      <c r="B52" s="5"/>
      <c r="C52" s="21"/>
      <c r="D52" s="9"/>
    </row>
    <row r="53">
      <c r="A53" s="5"/>
      <c r="B53" s="5"/>
      <c r="C53" s="21"/>
      <c r="D53" s="9"/>
    </row>
    <row r="54">
      <c r="A54" s="5"/>
      <c r="B54" s="5"/>
      <c r="C54" s="21"/>
      <c r="D54" s="9"/>
    </row>
    <row r="55">
      <c r="A55" s="5"/>
      <c r="B55" s="5"/>
      <c r="C55" s="21"/>
      <c r="D55" s="9"/>
    </row>
    <row r="56">
      <c r="A56" s="5"/>
      <c r="B56" s="5"/>
      <c r="C56" s="21"/>
      <c r="D56" s="9"/>
    </row>
    <row r="57">
      <c r="A57" s="5"/>
      <c r="B57" s="5"/>
      <c r="C57" s="21"/>
      <c r="D57" s="9"/>
    </row>
  </sheetData>
  <mergeCells count="4">
    <mergeCell ref="A1:D1"/>
    <mergeCell ref="A2:D2"/>
    <mergeCell ref="A3:D3"/>
    <mergeCell ref="A5:D5"/>
  </mergeCells>
  <pageMargins left="0.4" right="0.4" top="0.5" bottom="0.5" header="0.3" footer="0.3"/>
</worksheet>
</file>

<file path=xl/worksheets/sheet4.xml><?xml version="1.0" encoding="utf-8"?>
<worksheet xmlns="http://schemas.openxmlformats.org/spreadsheetml/2006/main">
  <sheetPr>
    <tabColor rgb="FF059669"/>
  </sheetPr>
  <sheetViews>
    <sheetView workbookViewId="0" showGridLines="0">
      <pane ySplit="7" topLeftCell="A8" activePane="bottomLeft" state="frozen"/>
      <selection pane="bottomLeft" activeCell="A8" sqref="A8"/>
    </sheetView>
  </sheetViews>
  <sheetFormatPr defaultRowHeight="15"/>
  <cols>
    <col min="1" max="1" width="12" customWidth="1"/>
    <col min="2" max="2" width="9" customWidth="1"/>
    <col min="3" max="3" width="16" customWidth="1"/>
    <col min="4" max="4" width="11" customWidth="1"/>
    <col min="5" max="5" width="34" customWidth="1"/>
    <col min="6" max="6" width="40" customWidth="1"/>
    <col min="7" max="7" width="10" customWidth="1"/>
    <col min="8" max="8" width="16" customWidth="1"/>
    <col min="9" max="9" width="16" customWidth="1"/>
    <col min="10" max="10" width="18" customWidth="1"/>
  </cols>
  <sheetData>
    <row r="1" ht="30" customHeight="1">
      <c r="A1" s="1" t="inlineStr">
        <is>
          <t xml:space="preserve">JOURNAL GÉNÉRAL</t>
        </is>
      </c>
    </row>
    <row r="2" ht="22" customHeight="1">
      <c r="A2" s="2" t="inlineStr">
        <is>
          <t xml:space="preserve">اليومية العامة</t>
        </is>
      </c>
    </row>
    <row r="3">
      <c r="A3" s="18">
        <f>Societe&amp;"   ·   Exercice "&amp;Exercice</f>
      </c>
    </row>
    <row r="5">
      <c r="A5" s="18" t="inlineStr">
        <is>
          <t xml:space="preserve">Une ligne par compte mouvementé. Un montant en débit OU en crédit, jamais les deux. La colonne Contrôle signale ce qui cloche.</t>
        </is>
      </c>
    </row>
    <row r="6">
      <c r="A6" s="15" t="inlineStr">
        <is>
          <t xml:space="preserve">TOTAUX</t>
        </is>
      </c>
      <c r="B6" s="15"/>
      <c r="C6" s="15"/>
      <c r="D6" s="15"/>
      <c r="E6" s="15"/>
      <c r="F6" s="15"/>
      <c r="G6" s="15"/>
      <c r="H6" s="16">
        <f>SUM(H8:H2007)</f>
      </c>
      <c r="I6" s="16">
        <f>SUM(I8:I2007)</f>
      </c>
      <c r="J6" s="25">
        <f>IF(ROUND($H$6-$I$6,2)=0,"Équilibré","Écart : "&amp;TEXT($H$6-$I$6,"#,##0.00"))</f>
      </c>
    </row>
    <row r="7">
      <c r="A7" s="8" t="inlineStr">
        <is>
          <t xml:space="preserve">Date</t>
        </is>
      </c>
      <c r="B7" s="8" t="inlineStr">
        <is>
          <t xml:space="preserve">Journal</t>
        </is>
      </c>
      <c r="C7" s="8" t="inlineStr">
        <is>
          <t xml:space="preserve">N° pièce</t>
        </is>
      </c>
      <c r="D7" s="8" t="inlineStr">
        <is>
          <t xml:space="preserve">Compte</t>
        </is>
      </c>
      <c r="E7" s="8" t="inlineStr">
        <is>
          <t xml:space="preserve">Intitulé du compte</t>
        </is>
      </c>
      <c r="F7" s="8" t="inlineStr">
        <is>
          <t xml:space="preserve">Libellé de l'opération</t>
        </is>
      </c>
      <c r="G7" s="8" t="inlineStr">
        <is>
          <t xml:space="preserve">Centre</t>
        </is>
      </c>
      <c r="H7" s="8" t="inlineStr">
        <is>
          <t xml:space="preserve">Débit</t>
        </is>
      </c>
      <c r="I7" s="8" t="inlineStr">
        <is>
          <t xml:space="preserve">Crédit</t>
        </is>
      </c>
      <c r="J7" s="8" t="inlineStr">
        <is>
          <t xml:space="preserve">Contrôle</t>
        </is>
      </c>
    </row>
    <row r="8">
      <c r="A8" s="13">
        <v>46023</v>
      </c>
      <c r="B8" s="10" t="inlineStr">
        <is>
          <t xml:space="preserve">AN</t>
        </is>
      </c>
      <c r="C8" s="9" t="inlineStr">
        <is>
          <t xml:space="preserve">AN-2026</t>
        </is>
      </c>
      <c r="D8" s="20" t="inlineStr">
        <is>
          <t xml:space="preserve">2183</t>
        </is>
      </c>
      <c r="E8" s="9">
        <f>IF($D8="","",IFERROR(VLOOKUP($D8,'Plan comptable'!$H:$I,2,FALSE),"compte hors plan"))</f>
      </c>
      <c r="F8" s="9" t="inlineStr">
        <is>
          <t xml:space="preserve">Matériel informatique   ·   EXEMPLE</t>
        </is>
      </c>
      <c r="G8" s="10"/>
      <c r="H8" s="11">
        <v>80000</v>
      </c>
      <c r="I8" s="11"/>
      <c r="J8" s="10">
        <f>IF($D8="","",IF(AND($H8&lt;&gt;"",$I8&lt;&gt;""),"débit ET crédit",IF(AND($H8="",$I8=""),"montant manquant",IF(ISNA(MATCH($D8,'Plan comptable'!$H:$H,0)),"compte hors plan",IF(AND($A8&lt;&gt;"",YEAR($A8)&lt;&gt;Exercice),"hors exercice","")))))</f>
      </c>
    </row>
    <row r="9">
      <c r="A9" s="13">
        <v>46023</v>
      </c>
      <c r="B9" s="10" t="inlineStr">
        <is>
          <t xml:space="preserve">AN</t>
        </is>
      </c>
      <c r="C9" s="9" t="inlineStr">
        <is>
          <t xml:space="preserve">AN-2026</t>
        </is>
      </c>
      <c r="D9" s="20" t="inlineStr">
        <is>
          <t xml:space="preserve">30</t>
        </is>
      </c>
      <c r="E9" s="9">
        <f>IF($D9="","",IFERROR(VLOOKUP($D9,'Plan comptable'!$H:$I,2,FALSE),"compte hors plan"))</f>
      </c>
      <c r="F9" s="9" t="inlineStr">
        <is>
          <t xml:space="preserve">Stock de marchandises au 01/01   ·   EXEMPLE</t>
        </is>
      </c>
      <c r="G9" s="10"/>
      <c r="H9" s="11">
        <v>300000</v>
      </c>
      <c r="I9" s="11"/>
      <c r="J9" s="10">
        <f>IF($D9="","",IF(AND($H9&lt;&gt;"",$I9&lt;&gt;""),"débit ET crédit",IF(AND($H9="",$I9=""),"montant manquant",IF(ISNA(MATCH($D9,'Plan comptable'!$H:$H,0)),"compte hors plan",IF(AND($A9&lt;&gt;"",YEAR($A9)&lt;&gt;Exercice),"hors exercice","")))))</f>
      </c>
    </row>
    <row r="10">
      <c r="A10" s="13">
        <v>46023</v>
      </c>
      <c r="B10" s="10" t="inlineStr">
        <is>
          <t xml:space="preserve">AN</t>
        </is>
      </c>
      <c r="C10" s="9" t="inlineStr">
        <is>
          <t xml:space="preserve">AN-2026</t>
        </is>
      </c>
      <c r="D10" s="20" t="inlineStr">
        <is>
          <t xml:space="preserve">512</t>
        </is>
      </c>
      <c r="E10" s="9">
        <f>IF($D10="","",IFERROR(VLOOKUP($D10,'Plan comptable'!$H:$I,2,FALSE),"compte hors plan"))</f>
      </c>
      <c r="F10" s="9" t="inlineStr">
        <is>
          <t xml:space="preserve">Solde bancaire au 01/01   ·   EXEMPLE</t>
        </is>
      </c>
      <c r="G10" s="10"/>
      <c r="H10" s="11">
        <v>120000</v>
      </c>
      <c r="I10" s="11"/>
      <c r="J10" s="10">
        <f>IF($D10="","",IF(AND($H10&lt;&gt;"",$I10&lt;&gt;""),"débit ET crédit",IF(AND($H10="",$I10=""),"montant manquant",IF(ISNA(MATCH($D10,'Plan comptable'!$H:$H,0)),"compte hors plan",IF(AND($A10&lt;&gt;"",YEAR($A10)&lt;&gt;Exercice),"hors exercice","")))))</f>
      </c>
    </row>
    <row r="11">
      <c r="A11" s="13">
        <v>46023</v>
      </c>
      <c r="B11" s="10" t="inlineStr">
        <is>
          <t xml:space="preserve">AN</t>
        </is>
      </c>
      <c r="C11" s="9" t="inlineStr">
        <is>
          <t xml:space="preserve">AN-2026</t>
        </is>
      </c>
      <c r="D11" s="20" t="inlineStr">
        <is>
          <t xml:space="preserve">101</t>
        </is>
      </c>
      <c r="E11" s="9">
        <f>IF($D11="","",IFERROR(VLOOKUP($D11,'Plan comptable'!$H:$I,2,FALSE),"compte hors plan"))</f>
      </c>
      <c r="F11" s="9" t="inlineStr">
        <is>
          <t xml:space="preserve">Capital   ·   EXEMPLE</t>
        </is>
      </c>
      <c r="G11" s="10"/>
      <c r="H11" s="11"/>
      <c r="I11" s="11">
        <v>500000</v>
      </c>
      <c r="J11" s="10">
        <f>IF($D11="","",IF(AND($H11&lt;&gt;"",$I11&lt;&gt;""),"débit ET crédit",IF(AND($H11="",$I11=""),"montant manquant",IF(ISNA(MATCH($D11,'Plan comptable'!$H:$H,0)),"compte hors plan",IF(AND($A11&lt;&gt;"",YEAR($A11)&lt;&gt;Exercice),"hors exercice","")))))</f>
      </c>
    </row>
    <row r="12">
      <c r="A12" s="13">
        <v>46027</v>
      </c>
      <c r="B12" s="10" t="inlineStr">
        <is>
          <t xml:space="preserve">VE</t>
        </is>
      </c>
      <c r="C12" s="9" t="inlineStr">
        <is>
          <t xml:space="preserve">FAC-2026-001</t>
        </is>
      </c>
      <c r="D12" s="20" t="inlineStr">
        <is>
          <t xml:space="preserve">411</t>
        </is>
      </c>
      <c r="E12" s="9">
        <f>IF($D12="","",IFERROR(VLOOKUP($D12,'Plan comptable'!$H:$I,2,FALSE),"compte hors plan"))</f>
      </c>
      <c r="F12" s="9" t="inlineStr">
        <is>
          <t xml:space="preserve">SARL Atlas — facture 001   ·   EXEMPLE</t>
        </is>
      </c>
      <c r="G12" s="10" t="inlineStr">
        <is>
          <t xml:space="preserve">MAG1</t>
        </is>
      </c>
      <c r="H12" s="11">
        <v>119000</v>
      </c>
      <c r="I12" s="11"/>
      <c r="J12" s="10">
        <f>IF($D12="","",IF(AND($H12&lt;&gt;"",$I12&lt;&gt;""),"débit ET crédit",IF(AND($H12="",$I12=""),"montant manquant",IF(ISNA(MATCH($D12,'Plan comptable'!$H:$H,0)),"compte hors plan",IF(AND($A12&lt;&gt;"",YEAR($A12)&lt;&gt;Exercice),"hors exercice","")))))</f>
      </c>
    </row>
    <row r="13">
      <c r="A13" s="13">
        <v>46027</v>
      </c>
      <c r="B13" s="10" t="inlineStr">
        <is>
          <t xml:space="preserve">VE</t>
        </is>
      </c>
      <c r="C13" s="9" t="inlineStr">
        <is>
          <t xml:space="preserve">FAC-2026-001</t>
        </is>
      </c>
      <c r="D13" s="20" t="inlineStr">
        <is>
          <t xml:space="preserve">700</t>
        </is>
      </c>
      <c r="E13" s="9">
        <f>IF($D13="","",IFERROR(VLOOKUP($D13,'Plan comptable'!$H:$I,2,FALSE),"compte hors plan"))</f>
      </c>
      <c r="F13" s="9" t="inlineStr">
        <is>
          <t xml:space="preserve">Vente de marchandises   ·   EXEMPLE</t>
        </is>
      </c>
      <c r="G13" s="10" t="inlineStr">
        <is>
          <t xml:space="preserve">MAG1</t>
        </is>
      </c>
      <c r="H13" s="11"/>
      <c r="I13" s="11">
        <v>100000</v>
      </c>
      <c r="J13" s="10">
        <f>IF($D13="","",IF(AND($H13&lt;&gt;"",$I13&lt;&gt;""),"débit ET crédit",IF(AND($H13="",$I13=""),"montant manquant",IF(ISNA(MATCH($D13,'Plan comptable'!$H:$H,0)),"compte hors plan",IF(AND($A13&lt;&gt;"",YEAR($A13)&lt;&gt;Exercice),"hors exercice","")))))</f>
      </c>
    </row>
    <row r="14">
      <c r="A14" s="13">
        <v>46027</v>
      </c>
      <c r="B14" s="10" t="inlineStr">
        <is>
          <t xml:space="preserve">VE</t>
        </is>
      </c>
      <c r="C14" s="9" t="inlineStr">
        <is>
          <t xml:space="preserve">FAC-2026-001</t>
        </is>
      </c>
      <c r="D14" s="20" t="inlineStr">
        <is>
          <t xml:space="preserve">4457</t>
        </is>
      </c>
      <c r="E14" s="9">
        <f>IF($D14="","",IFERROR(VLOOKUP($D14,'Plan comptable'!$H:$I,2,FALSE),"compte hors plan"))</f>
      </c>
      <c r="F14" s="9" t="inlineStr">
        <is>
          <t xml:space="preserve">TVA collectée 19 %   ·   EXEMPLE</t>
        </is>
      </c>
      <c r="G14" s="10" t="inlineStr">
        <is>
          <t xml:space="preserve">MAG1</t>
        </is>
      </c>
      <c r="H14" s="11"/>
      <c r="I14" s="11">
        <v>19000</v>
      </c>
      <c r="J14" s="10">
        <f>IF($D14="","",IF(AND($H14&lt;&gt;"",$I14&lt;&gt;""),"débit ET crédit",IF(AND($H14="",$I14=""),"montant manquant",IF(ISNA(MATCH($D14,'Plan comptable'!$H:$H,0)),"compte hors plan",IF(AND($A14&lt;&gt;"",YEAR($A14)&lt;&gt;Exercice),"hors exercice","")))))</f>
      </c>
    </row>
    <row r="15">
      <c r="A15" s="13">
        <v>46042</v>
      </c>
      <c r="B15" s="10" t="inlineStr">
        <is>
          <t xml:space="preserve">BQ</t>
        </is>
      </c>
      <c r="C15" s="9" t="inlineStr">
        <is>
          <t xml:space="preserve">REG-001</t>
        </is>
      </c>
      <c r="D15" s="20" t="inlineStr">
        <is>
          <t xml:space="preserve">512</t>
        </is>
      </c>
      <c r="E15" s="9">
        <f>IF($D15="","",IFERROR(VLOOKUP($D15,'Plan comptable'!$H:$I,2,FALSE),"compte hors plan"))</f>
      </c>
      <c r="F15" s="9" t="inlineStr">
        <is>
          <t xml:space="preserve">Virement reçu — facture 001   ·   EXEMPLE</t>
        </is>
      </c>
      <c r="G15" s="10"/>
      <c r="H15" s="11">
        <v>119000</v>
      </c>
      <c r="I15" s="11"/>
      <c r="J15" s="10">
        <f>IF($D15="","",IF(AND($H15&lt;&gt;"",$I15&lt;&gt;""),"débit ET crédit",IF(AND($H15="",$I15=""),"montant manquant",IF(ISNA(MATCH($D15,'Plan comptable'!$H:$H,0)),"compte hors plan",IF(AND($A15&lt;&gt;"",YEAR($A15)&lt;&gt;Exercice),"hors exercice","")))))</f>
      </c>
    </row>
    <row r="16">
      <c r="A16" s="13">
        <v>46042</v>
      </c>
      <c r="B16" s="10" t="inlineStr">
        <is>
          <t xml:space="preserve">BQ</t>
        </is>
      </c>
      <c r="C16" s="9" t="inlineStr">
        <is>
          <t xml:space="preserve">REG-001</t>
        </is>
      </c>
      <c r="D16" s="20" t="inlineStr">
        <is>
          <t xml:space="preserve">411</t>
        </is>
      </c>
      <c r="E16" s="9">
        <f>IF($D16="","",IFERROR(VLOOKUP($D16,'Plan comptable'!$H:$I,2,FALSE),"compte hors plan"))</f>
      </c>
      <c r="F16" s="9" t="inlineStr">
        <is>
          <t xml:space="preserve">SARL Atlas   ·   EXEMPLE</t>
        </is>
      </c>
      <c r="G16" s="10"/>
      <c r="H16" s="11"/>
      <c r="I16" s="11">
        <v>119000</v>
      </c>
      <c r="J16" s="10">
        <f>IF($D16="","",IF(AND($H16&lt;&gt;"",$I16&lt;&gt;""),"débit ET crédit",IF(AND($H16="",$I16=""),"montant manquant",IF(ISNA(MATCH($D16,'Plan comptable'!$H:$H,0)),"compte hors plan",IF(AND($A16&lt;&gt;"",YEAR($A16)&lt;&gt;Exercice),"hors exercice","")))))</f>
      </c>
    </row>
    <row r="17">
      <c r="A17" s="13">
        <v>46029</v>
      </c>
      <c r="B17" s="10" t="inlineStr">
        <is>
          <t xml:space="preserve">AC</t>
        </is>
      </c>
      <c r="C17" s="9" t="inlineStr">
        <is>
          <t xml:space="preserve">FA-FRS-014</t>
        </is>
      </c>
      <c r="D17" s="20" t="inlineStr">
        <is>
          <t xml:space="preserve">600</t>
        </is>
      </c>
      <c r="E17" s="9">
        <f>IF($D17="","",IFERROR(VLOOKUP($D17,'Plan comptable'!$H:$I,2,FALSE),"compte hors plan"))</f>
      </c>
      <c r="F17" s="9" t="inlineStr">
        <is>
          <t xml:space="preserve">Achat de marchandises   ·   EXEMPLE</t>
        </is>
      </c>
      <c r="G17" s="10" t="inlineStr">
        <is>
          <t xml:space="preserve">MAG1</t>
        </is>
      </c>
      <c r="H17" s="11">
        <v>60000</v>
      </c>
      <c r="I17" s="11"/>
      <c r="J17" s="10">
        <f>IF($D17="","",IF(AND($H17&lt;&gt;"",$I17&lt;&gt;""),"débit ET crédit",IF(AND($H17="",$I17=""),"montant manquant",IF(ISNA(MATCH($D17,'Plan comptable'!$H:$H,0)),"compte hors plan",IF(AND($A17&lt;&gt;"",YEAR($A17)&lt;&gt;Exercice),"hors exercice","")))))</f>
      </c>
    </row>
    <row r="18">
      <c r="A18" s="13">
        <v>46029</v>
      </c>
      <c r="B18" s="10" t="inlineStr">
        <is>
          <t xml:space="preserve">AC</t>
        </is>
      </c>
      <c r="C18" s="9" t="inlineStr">
        <is>
          <t xml:space="preserve">FA-FRS-014</t>
        </is>
      </c>
      <c r="D18" s="20" t="inlineStr">
        <is>
          <t xml:space="preserve">44566</t>
        </is>
      </c>
      <c r="E18" s="9">
        <f>IF($D18="","",IFERROR(VLOOKUP($D18,'Plan comptable'!$H:$I,2,FALSE),"compte hors plan"))</f>
      </c>
      <c r="F18" s="9" t="inlineStr">
        <is>
          <t xml:space="preserve">TVA déductible 19 %   ·   EXEMPLE</t>
        </is>
      </c>
      <c r="G18" s="10" t="inlineStr">
        <is>
          <t xml:space="preserve">MAG1</t>
        </is>
      </c>
      <c r="H18" s="11">
        <v>11400</v>
      </c>
      <c r="I18" s="11"/>
      <c r="J18" s="10">
        <f>IF($D18="","",IF(AND($H18&lt;&gt;"",$I18&lt;&gt;""),"débit ET crédit",IF(AND($H18="",$I18=""),"montant manquant",IF(ISNA(MATCH($D18,'Plan comptable'!$H:$H,0)),"compte hors plan",IF(AND($A18&lt;&gt;"",YEAR($A18)&lt;&gt;Exercice),"hors exercice","")))))</f>
      </c>
    </row>
    <row r="19">
      <c r="A19" s="13">
        <v>46029</v>
      </c>
      <c r="B19" s="10" t="inlineStr">
        <is>
          <t xml:space="preserve">AC</t>
        </is>
      </c>
      <c r="C19" s="9" t="inlineStr">
        <is>
          <t xml:space="preserve">FA-FRS-014</t>
        </is>
      </c>
      <c r="D19" s="20" t="inlineStr">
        <is>
          <t xml:space="preserve">401</t>
        </is>
      </c>
      <c r="E19" s="9">
        <f>IF($D19="","",IFERROR(VLOOKUP($D19,'Plan comptable'!$H:$I,2,FALSE),"compte hors plan"))</f>
      </c>
      <c r="F19" s="9" t="inlineStr">
        <is>
          <t xml:space="preserve">Fournisseur Sahara   ·   EXEMPLE</t>
        </is>
      </c>
      <c r="G19" s="10" t="inlineStr">
        <is>
          <t xml:space="preserve">MAG1</t>
        </is>
      </c>
      <c r="H19" s="11"/>
      <c r="I19" s="11">
        <v>71400</v>
      </c>
      <c r="J19" s="10">
        <f>IF($D19="","",IF(AND($H19&lt;&gt;"",$I19&lt;&gt;""),"débit ET crédit",IF(AND($H19="",$I19=""),"montant manquant",IF(ISNA(MATCH($D19,'Plan comptable'!$H:$H,0)),"compte hors plan",IF(AND($A19&lt;&gt;"",YEAR($A19)&lt;&gt;Exercice),"hors exercice","")))))</f>
      </c>
    </row>
    <row r="20">
      <c r="A20" s="13">
        <v>46047</v>
      </c>
      <c r="B20" s="10" t="inlineStr">
        <is>
          <t xml:space="preserve">BQ</t>
        </is>
      </c>
      <c r="C20" s="9" t="inlineStr">
        <is>
          <t xml:space="preserve">REG-002</t>
        </is>
      </c>
      <c r="D20" s="20" t="inlineStr">
        <is>
          <t xml:space="preserve">401</t>
        </is>
      </c>
      <c r="E20" s="9">
        <f>IF($D20="","",IFERROR(VLOOKUP($D20,'Plan comptable'!$H:$I,2,FALSE),"compte hors plan"))</f>
      </c>
      <c r="F20" s="9" t="inlineStr">
        <is>
          <t xml:space="preserve">Règlement fournisseur Sahara   ·   EXEMPLE</t>
        </is>
      </c>
      <c r="G20" s="10"/>
      <c r="H20" s="11">
        <v>71400</v>
      </c>
      <c r="I20" s="11"/>
      <c r="J20" s="10">
        <f>IF($D20="","",IF(AND($H20&lt;&gt;"",$I20&lt;&gt;""),"débit ET crédit",IF(AND($H20="",$I20=""),"montant manquant",IF(ISNA(MATCH($D20,'Plan comptable'!$H:$H,0)),"compte hors plan",IF(AND($A20&lt;&gt;"",YEAR($A20)&lt;&gt;Exercice),"hors exercice","")))))</f>
      </c>
    </row>
    <row r="21">
      <c r="A21" s="13">
        <v>46047</v>
      </c>
      <c r="B21" s="10" t="inlineStr">
        <is>
          <t xml:space="preserve">BQ</t>
        </is>
      </c>
      <c r="C21" s="9" t="inlineStr">
        <is>
          <t xml:space="preserve">REG-002</t>
        </is>
      </c>
      <c r="D21" s="20" t="inlineStr">
        <is>
          <t xml:space="preserve">512</t>
        </is>
      </c>
      <c r="E21" s="9">
        <f>IF($D21="","",IFERROR(VLOOKUP($D21,'Plan comptable'!$H:$I,2,FALSE),"compte hors plan"))</f>
      </c>
      <c r="F21" s="9" t="inlineStr">
        <is>
          <t xml:space="preserve">Virement émis   ·   EXEMPLE</t>
        </is>
      </c>
      <c r="G21" s="10"/>
      <c r="H21" s="11"/>
      <c r="I21" s="11">
        <v>71400</v>
      </c>
      <c r="J21" s="10">
        <f>IF($D21="","",IF(AND($H21&lt;&gt;"",$I21&lt;&gt;""),"débit ET crédit",IF(AND($H21="",$I21=""),"montant manquant",IF(ISNA(MATCH($D21,'Plan comptable'!$H:$H,0)),"compte hors plan",IF(AND($A21&lt;&gt;"",YEAR($A21)&lt;&gt;Exercice),"hors exercice","")))))</f>
      </c>
    </row>
    <row r="22">
      <c r="A22" s="13">
        <v>46053</v>
      </c>
      <c r="B22" s="10" t="inlineStr">
        <is>
          <t xml:space="preserve">AC</t>
        </is>
      </c>
      <c r="C22" s="9" t="inlineStr">
        <is>
          <t xml:space="preserve">LOY-01</t>
        </is>
      </c>
      <c r="D22" s="20" t="inlineStr">
        <is>
          <t xml:space="preserve">613</t>
        </is>
      </c>
      <c r="E22" s="9">
        <f>IF($D22="","",IFERROR(VLOOKUP($D22,'Plan comptable'!$H:$I,2,FALSE),"compte hors plan"))</f>
      </c>
      <c r="F22" s="9" t="inlineStr">
        <is>
          <t xml:space="preserve">Loyer du local — janvier   ·   EXEMPLE</t>
        </is>
      </c>
      <c r="G22" s="10" t="inlineStr">
        <is>
          <t xml:space="preserve">MAG1</t>
        </is>
      </c>
      <c r="H22" s="11">
        <v>25000</v>
      </c>
      <c r="I22" s="11"/>
      <c r="J22" s="10">
        <f>IF($D22="","",IF(AND($H22&lt;&gt;"",$I22&lt;&gt;""),"débit ET crédit",IF(AND($H22="",$I22=""),"montant manquant",IF(ISNA(MATCH($D22,'Plan comptable'!$H:$H,0)),"compte hors plan",IF(AND($A22&lt;&gt;"",YEAR($A22)&lt;&gt;Exercice),"hors exercice","")))))</f>
      </c>
    </row>
    <row r="23">
      <c r="A23" s="13">
        <v>46053</v>
      </c>
      <c r="B23" s="10" t="inlineStr">
        <is>
          <t xml:space="preserve">AC</t>
        </is>
      </c>
      <c r="C23" s="9" t="inlineStr">
        <is>
          <t xml:space="preserve">LOY-01</t>
        </is>
      </c>
      <c r="D23" s="20" t="inlineStr">
        <is>
          <t xml:space="preserve">512</t>
        </is>
      </c>
      <c r="E23" s="9">
        <f>IF($D23="","",IFERROR(VLOOKUP($D23,'Plan comptable'!$H:$I,2,FALSE),"compte hors plan"))</f>
      </c>
      <c r="F23" s="9" t="inlineStr">
        <is>
          <t xml:space="preserve">Loyer du local — janvier   ·   EXEMPLE</t>
        </is>
      </c>
      <c r="G23" s="10" t="inlineStr">
        <is>
          <t xml:space="preserve">MAG1</t>
        </is>
      </c>
      <c r="H23" s="11"/>
      <c r="I23" s="11">
        <v>25000</v>
      </c>
      <c r="J23" s="10">
        <f>IF($D23="","",IF(AND($H23&lt;&gt;"",$I23&lt;&gt;""),"débit ET crédit",IF(AND($H23="",$I23=""),"montant manquant",IF(ISNA(MATCH($D23,'Plan comptable'!$H:$H,0)),"compte hors plan",IF(AND($A23&lt;&gt;"",YEAR($A23)&lt;&gt;Exercice),"hors exercice","")))))</f>
      </c>
    </row>
    <row r="24">
      <c r="A24" s="13">
        <v>46053</v>
      </c>
      <c r="B24" s="10" t="inlineStr">
        <is>
          <t xml:space="preserve">OD</t>
        </is>
      </c>
      <c r="C24" s="9" t="inlineStr">
        <is>
          <t xml:space="preserve">PAIE-01</t>
        </is>
      </c>
      <c r="D24" s="20" t="inlineStr">
        <is>
          <t xml:space="preserve">631</t>
        </is>
      </c>
      <c r="E24" s="9">
        <f>IF($D24="","",IFERROR(VLOOKUP($D24,'Plan comptable'!$H:$I,2,FALSE),"compte hors plan"))</f>
      </c>
      <c r="F24" s="9" t="inlineStr">
        <is>
          <t xml:space="preserve">Salaires de janvier   ·   EXEMPLE</t>
        </is>
      </c>
      <c r="G24" s="10" t="inlineStr">
        <is>
          <t xml:space="preserve">MAG1</t>
        </is>
      </c>
      <c r="H24" s="11">
        <v>45000</v>
      </c>
      <c r="I24" s="11"/>
      <c r="J24" s="10">
        <f>IF($D24="","",IF(AND($H24&lt;&gt;"",$I24&lt;&gt;""),"débit ET crédit",IF(AND($H24="",$I24=""),"montant manquant",IF(ISNA(MATCH($D24,'Plan comptable'!$H:$H,0)),"compte hors plan",IF(AND($A24&lt;&gt;"",YEAR($A24)&lt;&gt;Exercice),"hors exercice","")))))</f>
      </c>
    </row>
    <row r="25">
      <c r="A25" s="13">
        <v>46053</v>
      </c>
      <c r="B25" s="10" t="inlineStr">
        <is>
          <t xml:space="preserve">OD</t>
        </is>
      </c>
      <c r="C25" s="9" t="inlineStr">
        <is>
          <t xml:space="preserve">PAIE-01</t>
        </is>
      </c>
      <c r="D25" s="20" t="inlineStr">
        <is>
          <t xml:space="preserve">431</t>
        </is>
      </c>
      <c r="E25" s="9">
        <f>IF($D25="","",IFERROR(VLOOKUP($D25,'Plan comptable'!$H:$I,2,FALSE),"compte hors plan"))</f>
      </c>
      <c r="F25" s="9" t="inlineStr">
        <is>
          <t xml:space="preserve">CNAS part salariale   ·   EXEMPLE</t>
        </is>
      </c>
      <c r="G25" s="10" t="inlineStr">
        <is>
          <t xml:space="preserve">MAG1</t>
        </is>
      </c>
      <c r="H25" s="11"/>
      <c r="I25" s="11">
        <v>9000</v>
      </c>
      <c r="J25" s="10">
        <f>IF($D25="","",IF(AND($H25&lt;&gt;"",$I25&lt;&gt;""),"débit ET crédit",IF(AND($H25="",$I25=""),"montant manquant",IF(ISNA(MATCH($D25,'Plan comptable'!$H:$H,0)),"compte hors plan",IF(AND($A25&lt;&gt;"",YEAR($A25)&lt;&gt;Exercice),"hors exercice","")))))</f>
      </c>
    </row>
    <row r="26">
      <c r="A26" s="13">
        <v>46053</v>
      </c>
      <c r="B26" s="10" t="inlineStr">
        <is>
          <t xml:space="preserve">OD</t>
        </is>
      </c>
      <c r="C26" s="9" t="inlineStr">
        <is>
          <t xml:space="preserve">PAIE-01</t>
        </is>
      </c>
      <c r="D26" s="20" t="inlineStr">
        <is>
          <t xml:space="preserve">421</t>
        </is>
      </c>
      <c r="E26" s="9">
        <f>IF($D26="","",IFERROR(VLOOKUP($D26,'Plan comptable'!$H:$I,2,FALSE),"compte hors plan"))</f>
      </c>
      <c r="F26" s="9" t="inlineStr">
        <is>
          <t xml:space="preserve">Net à payer au personnel   ·   EXEMPLE</t>
        </is>
      </c>
      <c r="G26" s="10" t="inlineStr">
        <is>
          <t xml:space="preserve">MAG1</t>
        </is>
      </c>
      <c r="H26" s="11"/>
      <c r="I26" s="11">
        <v>36000</v>
      </c>
      <c r="J26" s="10">
        <f>IF($D26="","",IF(AND($H26&lt;&gt;"",$I26&lt;&gt;""),"débit ET crédit",IF(AND($H26="",$I26=""),"montant manquant",IF(ISNA(MATCH($D26,'Plan comptable'!$H:$H,0)),"compte hors plan",IF(AND($A26&lt;&gt;"",YEAR($A26)&lt;&gt;Exercice),"hors exercice","")))))</f>
      </c>
    </row>
    <row r="27">
      <c r="A27" s="13">
        <v>46056</v>
      </c>
      <c r="B27" s="10" t="inlineStr">
        <is>
          <t xml:space="preserve">CA</t>
        </is>
      </c>
      <c r="C27" s="9" t="inlineStr">
        <is>
          <t xml:space="preserve">TICKET-02</t>
        </is>
      </c>
      <c r="D27" s="20" t="inlineStr">
        <is>
          <t xml:space="preserve">530</t>
        </is>
      </c>
      <c r="E27" s="9">
        <f>IF($D27="","",IFERROR(VLOOKUP($D27,'Plan comptable'!$H:$I,2,FALSE),"compte hors plan"))</f>
      </c>
      <c r="F27" s="9" t="inlineStr">
        <is>
          <t xml:space="preserve">Vente au comptant   ·   EXEMPLE</t>
        </is>
      </c>
      <c r="G27" s="10" t="inlineStr">
        <is>
          <t xml:space="preserve">MAG1</t>
        </is>
      </c>
      <c r="H27" s="11">
        <v>23800</v>
      </c>
      <c r="I27" s="11"/>
      <c r="J27" s="10">
        <f>IF($D27="","",IF(AND($H27&lt;&gt;"",$I27&lt;&gt;""),"débit ET crédit",IF(AND($H27="",$I27=""),"montant manquant",IF(ISNA(MATCH($D27,'Plan comptable'!$H:$H,0)),"compte hors plan",IF(AND($A27&lt;&gt;"",YEAR($A27)&lt;&gt;Exercice),"hors exercice","")))))</f>
      </c>
    </row>
    <row r="28">
      <c r="A28" s="13">
        <v>46056</v>
      </c>
      <c r="B28" s="10" t="inlineStr">
        <is>
          <t xml:space="preserve">CA</t>
        </is>
      </c>
      <c r="C28" s="9" t="inlineStr">
        <is>
          <t xml:space="preserve">TICKET-02</t>
        </is>
      </c>
      <c r="D28" s="20" t="inlineStr">
        <is>
          <t xml:space="preserve">700</t>
        </is>
      </c>
      <c r="E28" s="9">
        <f>IF($D28="","",IFERROR(VLOOKUP($D28,'Plan comptable'!$H:$I,2,FALSE),"compte hors plan"))</f>
      </c>
      <c r="F28" s="9" t="inlineStr">
        <is>
          <t xml:space="preserve">Vente de marchandises   ·   EXEMPLE</t>
        </is>
      </c>
      <c r="G28" s="10" t="inlineStr">
        <is>
          <t xml:space="preserve">MAG1</t>
        </is>
      </c>
      <c r="H28" s="11"/>
      <c r="I28" s="11">
        <v>20000</v>
      </c>
      <c r="J28" s="10">
        <f>IF($D28="","",IF(AND($H28&lt;&gt;"",$I28&lt;&gt;""),"débit ET crédit",IF(AND($H28="",$I28=""),"montant manquant",IF(ISNA(MATCH($D28,'Plan comptable'!$H:$H,0)),"compte hors plan",IF(AND($A28&lt;&gt;"",YEAR($A28)&lt;&gt;Exercice),"hors exercice","")))))</f>
      </c>
    </row>
    <row r="29">
      <c r="A29" s="13">
        <v>46056</v>
      </c>
      <c r="B29" s="10" t="inlineStr">
        <is>
          <t xml:space="preserve">CA</t>
        </is>
      </c>
      <c r="C29" s="9" t="inlineStr">
        <is>
          <t xml:space="preserve">TICKET-02</t>
        </is>
      </c>
      <c r="D29" s="20" t="inlineStr">
        <is>
          <t xml:space="preserve">4457</t>
        </is>
      </c>
      <c r="E29" s="9">
        <f>IF($D29="","",IFERROR(VLOOKUP($D29,'Plan comptable'!$H:$I,2,FALSE),"compte hors plan"))</f>
      </c>
      <c r="F29" s="9" t="inlineStr">
        <is>
          <t xml:space="preserve">TVA collectée 19 %   ·   EXEMPLE</t>
        </is>
      </c>
      <c r="G29" s="10" t="inlineStr">
        <is>
          <t xml:space="preserve">MAG1</t>
        </is>
      </c>
      <c r="H29" s="11"/>
      <c r="I29" s="11">
        <v>3800</v>
      </c>
      <c r="J29" s="10">
        <f>IF($D29="","",IF(AND($H29&lt;&gt;"",$I29&lt;&gt;""),"débit ET crédit",IF(AND($H29="",$I29=""),"montant manquant",IF(ISNA(MATCH($D29,'Plan comptable'!$H:$H,0)),"compte hors plan",IF(AND($A29&lt;&gt;"",YEAR($A29)&lt;&gt;Exercice),"hors exercice","")))))</f>
      </c>
    </row>
    <row r="30">
      <c r="A30" s="13">
        <v>46081</v>
      </c>
      <c r="B30" s="10" t="inlineStr">
        <is>
          <t xml:space="preserve">OD</t>
        </is>
      </c>
      <c r="C30" s="9" t="inlineStr">
        <is>
          <t xml:space="preserve">AMORT-02</t>
        </is>
      </c>
      <c r="D30" s="20" t="inlineStr">
        <is>
          <t xml:space="preserve">681</t>
        </is>
      </c>
      <c r="E30" s="9">
        <f>IF($D30="","",IFERROR(VLOOKUP($D30,'Plan comptable'!$H:$I,2,FALSE),"compte hors plan"))</f>
      </c>
      <c r="F30" s="9" t="inlineStr">
        <is>
          <t xml:space="preserve">Dotation aux amortissements   ·   EXEMPLE</t>
        </is>
      </c>
      <c r="G30" s="10"/>
      <c r="H30" s="11">
        <v>1600</v>
      </c>
      <c r="I30" s="11"/>
      <c r="J30" s="10">
        <f>IF($D30="","",IF(AND($H30&lt;&gt;"",$I30&lt;&gt;""),"débit ET crédit",IF(AND($H30="",$I30=""),"montant manquant",IF(ISNA(MATCH($D30,'Plan comptable'!$H:$H,0)),"compte hors plan",IF(AND($A30&lt;&gt;"",YEAR($A30)&lt;&gt;Exercice),"hors exercice","")))))</f>
      </c>
    </row>
    <row r="31">
      <c r="A31" s="13">
        <v>46081</v>
      </c>
      <c r="B31" s="10" t="inlineStr">
        <is>
          <t xml:space="preserve">OD</t>
        </is>
      </c>
      <c r="C31" s="9" t="inlineStr">
        <is>
          <t xml:space="preserve">AMORT-02</t>
        </is>
      </c>
      <c r="D31" s="20" t="inlineStr">
        <is>
          <t xml:space="preserve">281</t>
        </is>
      </c>
      <c r="E31" s="9">
        <f>IF($D31="","",IFERROR(VLOOKUP($D31,'Plan comptable'!$H:$I,2,FALSE),"compte hors plan"))</f>
      </c>
      <c r="F31" s="9" t="inlineStr">
        <is>
          <t xml:space="preserve">Amortissement du matériel   ·   EXEMPLE</t>
        </is>
      </c>
      <c r="G31" s="10"/>
      <c r="H31" s="11"/>
      <c r="I31" s="11">
        <v>1600</v>
      </c>
      <c r="J31" s="10">
        <f>IF($D31="","",IF(AND($H31&lt;&gt;"",$I31&lt;&gt;""),"débit ET crédit",IF(AND($H31="",$I31=""),"montant manquant",IF(ISNA(MATCH($D31,'Plan comptable'!$H:$H,0)),"compte hors plan",IF(AND($A31&lt;&gt;"",YEAR($A31)&lt;&gt;Exercice),"hors exercice","")))))</f>
      </c>
    </row>
    <row r="32">
      <c r="A32" s="13">
        <v>46112</v>
      </c>
      <c r="B32" s="10" t="inlineStr">
        <is>
          <t xml:space="preserve">OD</t>
        </is>
      </c>
      <c r="C32" s="9" t="inlineStr">
        <is>
          <t xml:space="preserve">TVA-03</t>
        </is>
      </c>
      <c r="D32" s="20" t="inlineStr">
        <is>
          <t xml:space="preserve">4457</t>
        </is>
      </c>
      <c r="E32" s="9">
        <f>IF($D32="","",IFERROR(VLOOKUP($D32,'Plan comptable'!$H:$I,2,FALSE),"compte hors plan"))</f>
      </c>
      <c r="F32" s="9" t="inlineStr">
        <is>
          <t xml:space="preserve">TVA collectée du trimestre   ·   EXEMPLE</t>
        </is>
      </c>
      <c r="G32" s="10"/>
      <c r="H32" s="11">
        <v>22800</v>
      </c>
      <c r="I32" s="11"/>
      <c r="J32" s="10">
        <f>IF($D32="","",IF(AND($H32&lt;&gt;"",$I32&lt;&gt;""),"débit ET crédit",IF(AND($H32="",$I32=""),"montant manquant",IF(ISNA(MATCH($D32,'Plan comptable'!$H:$H,0)),"compte hors plan",IF(AND($A32&lt;&gt;"",YEAR($A32)&lt;&gt;Exercice),"hors exercice","")))))</f>
      </c>
    </row>
    <row r="33">
      <c r="A33" s="13">
        <v>46112</v>
      </c>
      <c r="B33" s="10" t="inlineStr">
        <is>
          <t xml:space="preserve">OD</t>
        </is>
      </c>
      <c r="C33" s="9" t="inlineStr">
        <is>
          <t xml:space="preserve">TVA-03</t>
        </is>
      </c>
      <c r="D33" s="20" t="inlineStr">
        <is>
          <t xml:space="preserve">44566</t>
        </is>
      </c>
      <c r="E33" s="9">
        <f>IF($D33="","",IFERROR(VLOOKUP($D33,'Plan comptable'!$H:$I,2,FALSE),"compte hors plan"))</f>
      </c>
      <c r="F33" s="9" t="inlineStr">
        <is>
          <t xml:space="preserve">TVA déductible du trimestre   ·   EXEMPLE</t>
        </is>
      </c>
      <c r="G33" s="10"/>
      <c r="H33" s="11"/>
      <c r="I33" s="11">
        <v>11400</v>
      </c>
      <c r="J33" s="10">
        <f>IF($D33="","",IF(AND($H33&lt;&gt;"",$I33&lt;&gt;""),"débit ET crédit",IF(AND($H33="",$I33=""),"montant manquant",IF(ISNA(MATCH($D33,'Plan comptable'!$H:$H,0)),"compte hors plan",IF(AND($A33&lt;&gt;"",YEAR($A33)&lt;&gt;Exercice),"hors exercice","")))))</f>
      </c>
    </row>
    <row r="34">
      <c r="A34" s="13">
        <v>46112</v>
      </c>
      <c r="B34" s="10" t="inlineStr">
        <is>
          <t xml:space="preserve">OD</t>
        </is>
      </c>
      <c r="C34" s="9" t="inlineStr">
        <is>
          <t xml:space="preserve">TVA-03</t>
        </is>
      </c>
      <c r="D34" s="20" t="inlineStr">
        <is>
          <t xml:space="preserve">4459</t>
        </is>
      </c>
      <c r="E34" s="9">
        <f>IF($D34="","",IFERROR(VLOOKUP($D34,'Plan comptable'!$H:$I,2,FALSE),"compte hors plan"))</f>
      </c>
      <c r="F34" s="9" t="inlineStr">
        <is>
          <t xml:space="preserve">TVA à décaisser   ·   EXEMPLE</t>
        </is>
      </c>
      <c r="G34" s="10"/>
      <c r="H34" s="11"/>
      <c r="I34" s="11">
        <v>11400</v>
      </c>
      <c r="J34" s="10">
        <f>IF($D34="","",IF(AND($H34&lt;&gt;"",$I34&lt;&gt;""),"débit ET crédit",IF(AND($H34="",$I34=""),"montant manquant",IF(ISNA(MATCH($D34,'Plan comptable'!$H:$H,0)),"compte hors plan",IF(AND($A34&lt;&gt;"",YEAR($A34)&lt;&gt;Exercice),"hors exercice","")))))</f>
      </c>
    </row>
    <row r="35">
      <c r="A35" s="13"/>
      <c r="B35" s="10"/>
      <c r="C35" s="9"/>
      <c r="D35" s="20"/>
      <c r="E35" s="9">
        <f>IF($D35="","",IFERROR(VLOOKUP($D35,'Plan comptable'!$H:$I,2,FALSE),"compte hors plan"))</f>
      </c>
      <c r="F35" s="9"/>
      <c r="G35" s="10"/>
      <c r="H35" s="11"/>
      <c r="I35" s="11"/>
      <c r="J35" s="10">
        <f>IF($D35="","",IF(AND($H35&lt;&gt;"",$I35&lt;&gt;""),"débit ET crédit",IF(AND($H35="",$I35=""),"montant manquant",IF(ISNA(MATCH($D35,'Plan comptable'!$H:$H,0)),"compte hors plan",IF(AND($A35&lt;&gt;"",YEAR($A35)&lt;&gt;Exercice),"hors exercice","")))))</f>
      </c>
    </row>
    <row r="36">
      <c r="A36" s="13"/>
      <c r="B36" s="10"/>
      <c r="C36" s="9"/>
      <c r="D36" s="20"/>
      <c r="E36" s="9">
        <f>IF($D36="","",IFERROR(VLOOKUP($D36,'Plan comptable'!$H:$I,2,FALSE),"compte hors plan"))</f>
      </c>
      <c r="F36" s="9"/>
      <c r="G36" s="10"/>
      <c r="H36" s="11"/>
      <c r="I36" s="11"/>
      <c r="J36" s="10">
        <f>IF($D36="","",IF(AND($H36&lt;&gt;"",$I36&lt;&gt;""),"débit ET crédit",IF(AND($H36="",$I36=""),"montant manquant",IF(ISNA(MATCH($D36,'Plan comptable'!$H:$H,0)),"compte hors plan",IF(AND($A36&lt;&gt;"",YEAR($A36)&lt;&gt;Exercice),"hors exercice","")))))</f>
      </c>
    </row>
    <row r="37">
      <c r="A37" s="13"/>
      <c r="B37" s="10"/>
      <c r="C37" s="9"/>
      <c r="D37" s="20"/>
      <c r="E37" s="9">
        <f>IF($D37="","",IFERROR(VLOOKUP($D37,'Plan comptable'!$H:$I,2,FALSE),"compte hors plan"))</f>
      </c>
      <c r="F37" s="9"/>
      <c r="G37" s="10"/>
      <c r="H37" s="11"/>
      <c r="I37" s="11"/>
      <c r="J37" s="10">
        <f>IF($D37="","",IF(AND($H37&lt;&gt;"",$I37&lt;&gt;""),"débit ET crédit",IF(AND($H37="",$I37=""),"montant manquant",IF(ISNA(MATCH($D37,'Plan comptable'!$H:$H,0)),"compte hors plan",IF(AND($A37&lt;&gt;"",YEAR($A37)&lt;&gt;Exercice),"hors exercice","")))))</f>
      </c>
    </row>
    <row r="38">
      <c r="A38" s="13"/>
      <c r="B38" s="10"/>
      <c r="C38" s="9"/>
      <c r="D38" s="20"/>
      <c r="E38" s="9">
        <f>IF($D38="","",IFERROR(VLOOKUP($D38,'Plan comptable'!$H:$I,2,FALSE),"compte hors plan"))</f>
      </c>
      <c r="F38" s="9"/>
      <c r="G38" s="10"/>
      <c r="H38" s="11"/>
      <c r="I38" s="11"/>
      <c r="J38" s="10">
        <f>IF($D38="","",IF(AND($H38&lt;&gt;"",$I38&lt;&gt;""),"débit ET crédit",IF(AND($H38="",$I38=""),"montant manquant",IF(ISNA(MATCH($D38,'Plan comptable'!$H:$H,0)),"compte hors plan",IF(AND($A38&lt;&gt;"",YEAR($A38)&lt;&gt;Exercice),"hors exercice","")))))</f>
      </c>
    </row>
    <row r="39">
      <c r="A39" s="13"/>
      <c r="B39" s="10"/>
      <c r="C39" s="9"/>
      <c r="D39" s="20"/>
      <c r="E39" s="9">
        <f>IF($D39="","",IFERROR(VLOOKUP($D39,'Plan comptable'!$H:$I,2,FALSE),"compte hors plan"))</f>
      </c>
      <c r="F39" s="9"/>
      <c r="G39" s="10"/>
      <c r="H39" s="11"/>
      <c r="I39" s="11"/>
      <c r="J39" s="10">
        <f>IF($D39="","",IF(AND($H39&lt;&gt;"",$I39&lt;&gt;""),"débit ET crédit",IF(AND($H39="",$I39=""),"montant manquant",IF(ISNA(MATCH($D39,'Plan comptable'!$H:$H,0)),"compte hors plan",IF(AND($A39&lt;&gt;"",YEAR($A39)&lt;&gt;Exercice),"hors exercice","")))))</f>
      </c>
    </row>
    <row r="40">
      <c r="A40" s="13"/>
      <c r="B40" s="10"/>
      <c r="C40" s="9"/>
      <c r="D40" s="20"/>
      <c r="E40" s="9">
        <f>IF($D40="","",IFERROR(VLOOKUP($D40,'Plan comptable'!$H:$I,2,FALSE),"compte hors plan"))</f>
      </c>
      <c r="F40" s="9"/>
      <c r="G40" s="10"/>
      <c r="H40" s="11"/>
      <c r="I40" s="11"/>
      <c r="J40" s="10">
        <f>IF($D40="","",IF(AND($H40&lt;&gt;"",$I40&lt;&gt;""),"débit ET crédit",IF(AND($H40="",$I40=""),"montant manquant",IF(ISNA(MATCH($D40,'Plan comptable'!$H:$H,0)),"compte hors plan",IF(AND($A40&lt;&gt;"",YEAR($A40)&lt;&gt;Exercice),"hors exercice","")))))</f>
      </c>
    </row>
    <row r="41">
      <c r="A41" s="13"/>
      <c r="B41" s="10"/>
      <c r="C41" s="9"/>
      <c r="D41" s="20"/>
      <c r="E41" s="9">
        <f>IF($D41="","",IFERROR(VLOOKUP($D41,'Plan comptable'!$H:$I,2,FALSE),"compte hors plan"))</f>
      </c>
      <c r="F41" s="9"/>
      <c r="G41" s="10"/>
      <c r="H41" s="11"/>
      <c r="I41" s="11"/>
      <c r="J41" s="10">
        <f>IF($D41="","",IF(AND($H41&lt;&gt;"",$I41&lt;&gt;""),"débit ET crédit",IF(AND($H41="",$I41=""),"montant manquant",IF(ISNA(MATCH($D41,'Plan comptable'!$H:$H,0)),"compte hors plan",IF(AND($A41&lt;&gt;"",YEAR($A41)&lt;&gt;Exercice),"hors exercice","")))))</f>
      </c>
    </row>
    <row r="42">
      <c r="A42" s="13"/>
      <c r="B42" s="10"/>
      <c r="C42" s="9"/>
      <c r="D42" s="20"/>
      <c r="E42" s="9">
        <f>IF($D42="","",IFERROR(VLOOKUP($D42,'Plan comptable'!$H:$I,2,FALSE),"compte hors plan"))</f>
      </c>
      <c r="F42" s="9"/>
      <c r="G42" s="10"/>
      <c r="H42" s="11"/>
      <c r="I42" s="11"/>
      <c r="J42" s="10">
        <f>IF($D42="","",IF(AND($H42&lt;&gt;"",$I42&lt;&gt;""),"débit ET crédit",IF(AND($H42="",$I42=""),"montant manquant",IF(ISNA(MATCH($D42,'Plan comptable'!$H:$H,0)),"compte hors plan",IF(AND($A42&lt;&gt;"",YEAR($A42)&lt;&gt;Exercice),"hors exercice","")))))</f>
      </c>
    </row>
    <row r="43">
      <c r="A43" s="13"/>
      <c r="B43" s="10"/>
      <c r="C43" s="9"/>
      <c r="D43" s="20"/>
      <c r="E43" s="9">
        <f>IF($D43="","",IFERROR(VLOOKUP($D43,'Plan comptable'!$H:$I,2,FALSE),"compte hors plan"))</f>
      </c>
      <c r="F43" s="9"/>
      <c r="G43" s="10"/>
      <c r="H43" s="11"/>
      <c r="I43" s="11"/>
      <c r="J43" s="10">
        <f>IF($D43="","",IF(AND($H43&lt;&gt;"",$I43&lt;&gt;""),"débit ET crédit",IF(AND($H43="",$I43=""),"montant manquant",IF(ISNA(MATCH($D43,'Plan comptable'!$H:$H,0)),"compte hors plan",IF(AND($A43&lt;&gt;"",YEAR($A43)&lt;&gt;Exercice),"hors exercice","")))))</f>
      </c>
    </row>
    <row r="44">
      <c r="A44" s="13"/>
      <c r="B44" s="10"/>
      <c r="C44" s="9"/>
      <c r="D44" s="20"/>
      <c r="E44" s="9">
        <f>IF($D44="","",IFERROR(VLOOKUP($D44,'Plan comptable'!$H:$I,2,FALSE),"compte hors plan"))</f>
      </c>
      <c r="F44" s="9"/>
      <c r="G44" s="10"/>
      <c r="H44" s="11"/>
      <c r="I44" s="11"/>
      <c r="J44" s="10">
        <f>IF($D44="","",IF(AND($H44&lt;&gt;"",$I44&lt;&gt;""),"débit ET crédit",IF(AND($H44="",$I44=""),"montant manquant",IF(ISNA(MATCH($D44,'Plan comptable'!$H:$H,0)),"compte hors plan",IF(AND($A44&lt;&gt;"",YEAR($A44)&lt;&gt;Exercice),"hors exercice","")))))</f>
      </c>
    </row>
    <row r="45">
      <c r="A45" s="13"/>
      <c r="B45" s="10"/>
      <c r="C45" s="9"/>
      <c r="D45" s="20"/>
      <c r="E45" s="9">
        <f>IF($D45="","",IFERROR(VLOOKUP($D45,'Plan comptable'!$H:$I,2,FALSE),"compte hors plan"))</f>
      </c>
      <c r="F45" s="9"/>
      <c r="G45" s="10"/>
      <c r="H45" s="11"/>
      <c r="I45" s="11"/>
      <c r="J45" s="10">
        <f>IF($D45="","",IF(AND($H45&lt;&gt;"",$I45&lt;&gt;""),"débit ET crédit",IF(AND($H45="",$I45=""),"montant manquant",IF(ISNA(MATCH($D45,'Plan comptable'!$H:$H,0)),"compte hors plan",IF(AND($A45&lt;&gt;"",YEAR($A45)&lt;&gt;Exercice),"hors exercice","")))))</f>
      </c>
    </row>
    <row r="46">
      <c r="A46" s="13"/>
      <c r="B46" s="10"/>
      <c r="C46" s="9"/>
      <c r="D46" s="20"/>
      <c r="E46" s="9">
        <f>IF($D46="","",IFERROR(VLOOKUP($D46,'Plan comptable'!$H:$I,2,FALSE),"compte hors plan"))</f>
      </c>
      <c r="F46" s="9"/>
      <c r="G46" s="10"/>
      <c r="H46" s="11"/>
      <c r="I46" s="11"/>
      <c r="J46" s="10">
        <f>IF($D46="","",IF(AND($H46&lt;&gt;"",$I46&lt;&gt;""),"débit ET crédit",IF(AND($H46="",$I46=""),"montant manquant",IF(ISNA(MATCH($D46,'Plan comptable'!$H:$H,0)),"compte hors plan",IF(AND($A46&lt;&gt;"",YEAR($A46)&lt;&gt;Exercice),"hors exercice","")))))</f>
      </c>
    </row>
    <row r="47">
      <c r="A47" s="13"/>
      <c r="B47" s="10"/>
      <c r="C47" s="9"/>
      <c r="D47" s="20"/>
      <c r="E47" s="9">
        <f>IF($D47="","",IFERROR(VLOOKUP($D47,'Plan comptable'!$H:$I,2,FALSE),"compte hors plan"))</f>
      </c>
      <c r="F47" s="9"/>
      <c r="G47" s="10"/>
      <c r="H47" s="11"/>
      <c r="I47" s="11"/>
      <c r="J47" s="10">
        <f>IF($D47="","",IF(AND($H47&lt;&gt;"",$I47&lt;&gt;""),"débit ET crédit",IF(AND($H47="",$I47=""),"montant manquant",IF(ISNA(MATCH($D47,'Plan comptable'!$H:$H,0)),"compte hors plan",IF(AND($A47&lt;&gt;"",YEAR($A47)&lt;&gt;Exercice),"hors exercice","")))))</f>
      </c>
    </row>
    <row r="48">
      <c r="A48" s="13"/>
      <c r="B48" s="10"/>
      <c r="C48" s="9"/>
      <c r="D48" s="20"/>
      <c r="E48" s="9">
        <f>IF($D48="","",IFERROR(VLOOKUP($D48,'Plan comptable'!$H:$I,2,FALSE),"compte hors plan"))</f>
      </c>
      <c r="F48" s="9"/>
      <c r="G48" s="10"/>
      <c r="H48" s="11"/>
      <c r="I48" s="11"/>
      <c r="J48" s="10">
        <f>IF($D48="","",IF(AND($H48&lt;&gt;"",$I48&lt;&gt;""),"débit ET crédit",IF(AND($H48="",$I48=""),"montant manquant",IF(ISNA(MATCH($D48,'Plan comptable'!$H:$H,0)),"compte hors plan",IF(AND($A48&lt;&gt;"",YEAR($A48)&lt;&gt;Exercice),"hors exercice","")))))</f>
      </c>
    </row>
    <row r="49">
      <c r="A49" s="13"/>
      <c r="B49" s="10"/>
      <c r="C49" s="9"/>
      <c r="D49" s="20"/>
      <c r="E49" s="9">
        <f>IF($D49="","",IFERROR(VLOOKUP($D49,'Plan comptable'!$H:$I,2,FALSE),"compte hors plan"))</f>
      </c>
      <c r="F49" s="9"/>
      <c r="G49" s="10"/>
      <c r="H49" s="11"/>
      <c r="I49" s="11"/>
      <c r="J49" s="10">
        <f>IF($D49="","",IF(AND($H49&lt;&gt;"",$I49&lt;&gt;""),"débit ET crédit",IF(AND($H49="",$I49=""),"montant manquant",IF(ISNA(MATCH($D49,'Plan comptable'!$H:$H,0)),"compte hors plan",IF(AND($A49&lt;&gt;"",YEAR($A49)&lt;&gt;Exercice),"hors exercice","")))))</f>
      </c>
    </row>
    <row r="50">
      <c r="A50" s="13"/>
      <c r="B50" s="10"/>
      <c r="C50" s="9"/>
      <c r="D50" s="20"/>
      <c r="E50" s="9">
        <f>IF($D50="","",IFERROR(VLOOKUP($D50,'Plan comptable'!$H:$I,2,FALSE),"compte hors plan"))</f>
      </c>
      <c r="F50" s="9"/>
      <c r="G50" s="10"/>
      <c r="H50" s="11"/>
      <c r="I50" s="11"/>
      <c r="J50" s="10">
        <f>IF($D50="","",IF(AND($H50&lt;&gt;"",$I50&lt;&gt;""),"débit ET crédit",IF(AND($H50="",$I50=""),"montant manquant",IF(ISNA(MATCH($D50,'Plan comptable'!$H:$H,0)),"compte hors plan",IF(AND($A50&lt;&gt;"",YEAR($A50)&lt;&gt;Exercice),"hors exercice","")))))</f>
      </c>
    </row>
    <row r="51">
      <c r="A51" s="13"/>
      <c r="B51" s="10"/>
      <c r="C51" s="9"/>
      <c r="D51" s="20"/>
      <c r="E51" s="9">
        <f>IF($D51="","",IFERROR(VLOOKUP($D51,'Plan comptable'!$H:$I,2,FALSE),"compte hors plan"))</f>
      </c>
      <c r="F51" s="9"/>
      <c r="G51" s="10"/>
      <c r="H51" s="11"/>
      <c r="I51" s="11"/>
      <c r="J51" s="10">
        <f>IF($D51="","",IF(AND($H51&lt;&gt;"",$I51&lt;&gt;""),"débit ET crédit",IF(AND($H51="",$I51=""),"montant manquant",IF(ISNA(MATCH($D51,'Plan comptable'!$H:$H,0)),"compte hors plan",IF(AND($A51&lt;&gt;"",YEAR($A51)&lt;&gt;Exercice),"hors exercice","")))))</f>
      </c>
    </row>
    <row r="52">
      <c r="A52" s="13"/>
      <c r="B52" s="10"/>
      <c r="C52" s="9"/>
      <c r="D52" s="20"/>
      <c r="E52" s="9">
        <f>IF($D52="","",IFERROR(VLOOKUP($D52,'Plan comptable'!$H:$I,2,FALSE),"compte hors plan"))</f>
      </c>
      <c r="F52" s="9"/>
      <c r="G52" s="10"/>
      <c r="H52" s="11"/>
      <c r="I52" s="11"/>
      <c r="J52" s="10">
        <f>IF($D52="","",IF(AND($H52&lt;&gt;"",$I52&lt;&gt;""),"débit ET crédit",IF(AND($H52="",$I52=""),"montant manquant",IF(ISNA(MATCH($D52,'Plan comptable'!$H:$H,0)),"compte hors plan",IF(AND($A52&lt;&gt;"",YEAR($A52)&lt;&gt;Exercice),"hors exercice","")))))</f>
      </c>
    </row>
    <row r="53">
      <c r="A53" s="13"/>
      <c r="B53" s="10"/>
      <c r="C53" s="9"/>
      <c r="D53" s="20"/>
      <c r="E53" s="9">
        <f>IF($D53="","",IFERROR(VLOOKUP($D53,'Plan comptable'!$H:$I,2,FALSE),"compte hors plan"))</f>
      </c>
      <c r="F53" s="9"/>
      <c r="G53" s="10"/>
      <c r="H53" s="11"/>
      <c r="I53" s="11"/>
      <c r="J53" s="10">
        <f>IF($D53="","",IF(AND($H53&lt;&gt;"",$I53&lt;&gt;""),"débit ET crédit",IF(AND($H53="",$I53=""),"montant manquant",IF(ISNA(MATCH($D53,'Plan comptable'!$H:$H,0)),"compte hors plan",IF(AND($A53&lt;&gt;"",YEAR($A53)&lt;&gt;Exercice),"hors exercice","")))))</f>
      </c>
    </row>
    <row r="54">
      <c r="A54" s="13"/>
      <c r="B54" s="10"/>
      <c r="C54" s="9"/>
      <c r="D54" s="20"/>
      <c r="E54" s="9">
        <f>IF($D54="","",IFERROR(VLOOKUP($D54,'Plan comptable'!$H:$I,2,FALSE),"compte hors plan"))</f>
      </c>
      <c r="F54" s="9"/>
      <c r="G54" s="10"/>
      <c r="H54" s="11"/>
      <c r="I54" s="11"/>
      <c r="J54" s="10">
        <f>IF($D54="","",IF(AND($H54&lt;&gt;"",$I54&lt;&gt;""),"débit ET crédit",IF(AND($H54="",$I54=""),"montant manquant",IF(ISNA(MATCH($D54,'Plan comptable'!$H:$H,0)),"compte hors plan",IF(AND($A54&lt;&gt;"",YEAR($A54)&lt;&gt;Exercice),"hors exercice","")))))</f>
      </c>
    </row>
    <row r="55">
      <c r="A55" s="13"/>
      <c r="B55" s="10"/>
      <c r="C55" s="9"/>
      <c r="D55" s="20"/>
      <c r="E55" s="9">
        <f>IF($D55="","",IFERROR(VLOOKUP($D55,'Plan comptable'!$H:$I,2,FALSE),"compte hors plan"))</f>
      </c>
      <c r="F55" s="9"/>
      <c r="G55" s="10"/>
      <c r="H55" s="11"/>
      <c r="I55" s="11"/>
      <c r="J55" s="10">
        <f>IF($D55="","",IF(AND($H55&lt;&gt;"",$I55&lt;&gt;""),"débit ET crédit",IF(AND($H55="",$I55=""),"montant manquant",IF(ISNA(MATCH($D55,'Plan comptable'!$H:$H,0)),"compte hors plan",IF(AND($A55&lt;&gt;"",YEAR($A55)&lt;&gt;Exercice),"hors exercice","")))))</f>
      </c>
    </row>
    <row r="56">
      <c r="A56" s="13"/>
      <c r="B56" s="10"/>
      <c r="C56" s="9"/>
      <c r="D56" s="20"/>
      <c r="E56" s="9">
        <f>IF($D56="","",IFERROR(VLOOKUP($D56,'Plan comptable'!$H:$I,2,FALSE),"compte hors plan"))</f>
      </c>
      <c r="F56" s="9"/>
      <c r="G56" s="10"/>
      <c r="H56" s="11"/>
      <c r="I56" s="11"/>
      <c r="J56" s="10">
        <f>IF($D56="","",IF(AND($H56&lt;&gt;"",$I56&lt;&gt;""),"débit ET crédit",IF(AND($H56="",$I56=""),"montant manquant",IF(ISNA(MATCH($D56,'Plan comptable'!$H:$H,0)),"compte hors plan",IF(AND($A56&lt;&gt;"",YEAR($A56)&lt;&gt;Exercice),"hors exercice","")))))</f>
      </c>
    </row>
    <row r="57">
      <c r="A57" s="13"/>
      <c r="B57" s="10"/>
      <c r="C57" s="9"/>
      <c r="D57" s="20"/>
      <c r="E57" s="9">
        <f>IF($D57="","",IFERROR(VLOOKUP($D57,'Plan comptable'!$H:$I,2,FALSE),"compte hors plan"))</f>
      </c>
      <c r="F57" s="9"/>
      <c r="G57" s="10"/>
      <c r="H57" s="11"/>
      <c r="I57" s="11"/>
      <c r="J57" s="10">
        <f>IF($D57="","",IF(AND($H57&lt;&gt;"",$I57&lt;&gt;""),"débit ET crédit",IF(AND($H57="",$I57=""),"montant manquant",IF(ISNA(MATCH($D57,'Plan comptable'!$H:$H,0)),"compte hors plan",IF(AND($A57&lt;&gt;"",YEAR($A57)&lt;&gt;Exercice),"hors exercice","")))))</f>
      </c>
    </row>
    <row r="58">
      <c r="A58" s="13"/>
      <c r="B58" s="10"/>
      <c r="C58" s="9"/>
      <c r="D58" s="20"/>
      <c r="E58" s="9">
        <f>IF($D58="","",IFERROR(VLOOKUP($D58,'Plan comptable'!$H:$I,2,FALSE),"compte hors plan"))</f>
      </c>
      <c r="F58" s="9"/>
      <c r="G58" s="10"/>
      <c r="H58" s="11"/>
      <c r="I58" s="11"/>
      <c r="J58" s="10">
        <f>IF($D58="","",IF(AND($H58&lt;&gt;"",$I58&lt;&gt;""),"débit ET crédit",IF(AND($H58="",$I58=""),"montant manquant",IF(ISNA(MATCH($D58,'Plan comptable'!$H:$H,0)),"compte hors plan",IF(AND($A58&lt;&gt;"",YEAR($A58)&lt;&gt;Exercice),"hors exercice","")))))</f>
      </c>
    </row>
    <row r="59">
      <c r="A59" s="13"/>
      <c r="B59" s="10"/>
      <c r="C59" s="9"/>
      <c r="D59" s="20"/>
      <c r="E59" s="9">
        <f>IF($D59="","",IFERROR(VLOOKUP($D59,'Plan comptable'!$H:$I,2,FALSE),"compte hors plan"))</f>
      </c>
      <c r="F59" s="9"/>
      <c r="G59" s="10"/>
      <c r="H59" s="11"/>
      <c r="I59" s="11"/>
      <c r="J59" s="10">
        <f>IF($D59="","",IF(AND($H59&lt;&gt;"",$I59&lt;&gt;""),"débit ET crédit",IF(AND($H59="",$I59=""),"montant manquant",IF(ISNA(MATCH($D59,'Plan comptable'!$H:$H,0)),"compte hors plan",IF(AND($A59&lt;&gt;"",YEAR($A59)&lt;&gt;Exercice),"hors exercice","")))))</f>
      </c>
    </row>
    <row r="60">
      <c r="A60" s="13"/>
      <c r="B60" s="10"/>
      <c r="C60" s="9"/>
      <c r="D60" s="20"/>
      <c r="E60" s="9">
        <f>IF($D60="","",IFERROR(VLOOKUP($D60,'Plan comptable'!$H:$I,2,FALSE),"compte hors plan"))</f>
      </c>
      <c r="F60" s="9"/>
      <c r="G60" s="10"/>
      <c r="H60" s="11"/>
      <c r="I60" s="11"/>
      <c r="J60" s="10">
        <f>IF($D60="","",IF(AND($H60&lt;&gt;"",$I60&lt;&gt;""),"débit ET crédit",IF(AND($H60="",$I60=""),"montant manquant",IF(ISNA(MATCH($D60,'Plan comptable'!$H:$H,0)),"compte hors plan",IF(AND($A60&lt;&gt;"",YEAR($A60)&lt;&gt;Exercice),"hors exercice","")))))</f>
      </c>
    </row>
    <row r="61">
      <c r="A61" s="13"/>
      <c r="B61" s="10"/>
      <c r="C61" s="9"/>
      <c r="D61" s="20"/>
      <c r="E61" s="9">
        <f>IF($D61="","",IFERROR(VLOOKUP($D61,'Plan comptable'!$H:$I,2,FALSE),"compte hors plan"))</f>
      </c>
      <c r="F61" s="9"/>
      <c r="G61" s="10"/>
      <c r="H61" s="11"/>
      <c r="I61" s="11"/>
      <c r="J61" s="10">
        <f>IF($D61="","",IF(AND($H61&lt;&gt;"",$I61&lt;&gt;""),"débit ET crédit",IF(AND($H61="",$I61=""),"montant manquant",IF(ISNA(MATCH($D61,'Plan comptable'!$H:$H,0)),"compte hors plan",IF(AND($A61&lt;&gt;"",YEAR($A61)&lt;&gt;Exercice),"hors exercice","")))))</f>
      </c>
    </row>
    <row r="62">
      <c r="A62" s="13"/>
      <c r="B62" s="10"/>
      <c r="C62" s="9"/>
      <c r="D62" s="20"/>
      <c r="E62" s="9">
        <f>IF($D62="","",IFERROR(VLOOKUP($D62,'Plan comptable'!$H:$I,2,FALSE),"compte hors plan"))</f>
      </c>
      <c r="F62" s="9"/>
      <c r="G62" s="10"/>
      <c r="H62" s="11"/>
      <c r="I62" s="11"/>
      <c r="J62" s="10">
        <f>IF($D62="","",IF(AND($H62&lt;&gt;"",$I62&lt;&gt;""),"débit ET crédit",IF(AND($H62="",$I62=""),"montant manquant",IF(ISNA(MATCH($D62,'Plan comptable'!$H:$H,0)),"compte hors plan",IF(AND($A62&lt;&gt;"",YEAR($A62)&lt;&gt;Exercice),"hors exercice","")))))</f>
      </c>
    </row>
    <row r="63">
      <c r="A63" s="13"/>
      <c r="B63" s="10"/>
      <c r="C63" s="9"/>
      <c r="D63" s="20"/>
      <c r="E63" s="9">
        <f>IF($D63="","",IFERROR(VLOOKUP($D63,'Plan comptable'!$H:$I,2,FALSE),"compte hors plan"))</f>
      </c>
      <c r="F63" s="9"/>
      <c r="G63" s="10"/>
      <c r="H63" s="11"/>
      <c r="I63" s="11"/>
      <c r="J63" s="10">
        <f>IF($D63="","",IF(AND($H63&lt;&gt;"",$I63&lt;&gt;""),"débit ET crédit",IF(AND($H63="",$I63=""),"montant manquant",IF(ISNA(MATCH($D63,'Plan comptable'!$H:$H,0)),"compte hors plan",IF(AND($A63&lt;&gt;"",YEAR($A63)&lt;&gt;Exercice),"hors exercice","")))))</f>
      </c>
    </row>
    <row r="64">
      <c r="A64" s="13"/>
      <c r="B64" s="10"/>
      <c r="C64" s="9"/>
      <c r="D64" s="20"/>
      <c r="E64" s="9">
        <f>IF($D64="","",IFERROR(VLOOKUP($D64,'Plan comptable'!$H:$I,2,FALSE),"compte hors plan"))</f>
      </c>
      <c r="F64" s="9"/>
      <c r="G64" s="10"/>
      <c r="H64" s="11"/>
      <c r="I64" s="11"/>
      <c r="J64" s="10">
        <f>IF($D64="","",IF(AND($H64&lt;&gt;"",$I64&lt;&gt;""),"débit ET crédit",IF(AND($H64="",$I64=""),"montant manquant",IF(ISNA(MATCH($D64,'Plan comptable'!$H:$H,0)),"compte hors plan",IF(AND($A64&lt;&gt;"",YEAR($A64)&lt;&gt;Exercice),"hors exercice","")))))</f>
      </c>
    </row>
    <row r="65">
      <c r="A65" s="13"/>
      <c r="B65" s="10"/>
      <c r="C65" s="9"/>
      <c r="D65" s="20"/>
      <c r="E65" s="9">
        <f>IF($D65="","",IFERROR(VLOOKUP($D65,'Plan comptable'!$H:$I,2,FALSE),"compte hors plan"))</f>
      </c>
      <c r="F65" s="9"/>
      <c r="G65" s="10"/>
      <c r="H65" s="11"/>
      <c r="I65" s="11"/>
      <c r="J65" s="10">
        <f>IF($D65="","",IF(AND($H65&lt;&gt;"",$I65&lt;&gt;""),"débit ET crédit",IF(AND($H65="",$I65=""),"montant manquant",IF(ISNA(MATCH($D65,'Plan comptable'!$H:$H,0)),"compte hors plan",IF(AND($A65&lt;&gt;"",YEAR($A65)&lt;&gt;Exercice),"hors exercice","")))))</f>
      </c>
    </row>
    <row r="66">
      <c r="A66" s="13"/>
      <c r="B66" s="10"/>
      <c r="C66" s="9"/>
      <c r="D66" s="20"/>
      <c r="E66" s="9">
        <f>IF($D66="","",IFERROR(VLOOKUP($D66,'Plan comptable'!$H:$I,2,FALSE),"compte hors plan"))</f>
      </c>
      <c r="F66" s="9"/>
      <c r="G66" s="10"/>
      <c r="H66" s="11"/>
      <c r="I66" s="11"/>
      <c r="J66" s="10">
        <f>IF($D66="","",IF(AND($H66&lt;&gt;"",$I66&lt;&gt;""),"débit ET crédit",IF(AND($H66="",$I66=""),"montant manquant",IF(ISNA(MATCH($D66,'Plan comptable'!$H:$H,0)),"compte hors plan",IF(AND($A66&lt;&gt;"",YEAR($A66)&lt;&gt;Exercice),"hors exercice","")))))</f>
      </c>
    </row>
    <row r="67">
      <c r="A67" s="13"/>
      <c r="B67" s="10"/>
      <c r="C67" s="9"/>
      <c r="D67" s="20"/>
      <c r="E67" s="9">
        <f>IF($D67="","",IFERROR(VLOOKUP($D67,'Plan comptable'!$H:$I,2,FALSE),"compte hors plan"))</f>
      </c>
      <c r="F67" s="9"/>
      <c r="G67" s="10"/>
      <c r="H67" s="11"/>
      <c r="I67" s="11"/>
      <c r="J67" s="10">
        <f>IF($D67="","",IF(AND($H67&lt;&gt;"",$I67&lt;&gt;""),"débit ET crédit",IF(AND($H67="",$I67=""),"montant manquant",IF(ISNA(MATCH($D67,'Plan comptable'!$H:$H,0)),"compte hors plan",IF(AND($A67&lt;&gt;"",YEAR($A67)&lt;&gt;Exercice),"hors exercice","")))))</f>
      </c>
    </row>
    <row r="68">
      <c r="A68" s="13"/>
      <c r="B68" s="10"/>
      <c r="C68" s="9"/>
      <c r="D68" s="20"/>
      <c r="E68" s="9">
        <f>IF($D68="","",IFERROR(VLOOKUP($D68,'Plan comptable'!$H:$I,2,FALSE),"compte hors plan"))</f>
      </c>
      <c r="F68" s="9"/>
      <c r="G68" s="10"/>
      <c r="H68" s="11"/>
      <c r="I68" s="11"/>
      <c r="J68" s="10">
        <f>IF($D68="","",IF(AND($H68&lt;&gt;"",$I68&lt;&gt;""),"débit ET crédit",IF(AND($H68="",$I68=""),"montant manquant",IF(ISNA(MATCH($D68,'Plan comptable'!$H:$H,0)),"compte hors plan",IF(AND($A68&lt;&gt;"",YEAR($A68)&lt;&gt;Exercice),"hors exercice","")))))</f>
      </c>
    </row>
    <row r="69">
      <c r="A69" s="13"/>
      <c r="B69" s="10"/>
      <c r="C69" s="9"/>
      <c r="D69" s="20"/>
      <c r="E69" s="9">
        <f>IF($D69="","",IFERROR(VLOOKUP($D69,'Plan comptable'!$H:$I,2,FALSE),"compte hors plan"))</f>
      </c>
      <c r="F69" s="9"/>
      <c r="G69" s="10"/>
      <c r="H69" s="11"/>
      <c r="I69" s="11"/>
      <c r="J69" s="10">
        <f>IF($D69="","",IF(AND($H69&lt;&gt;"",$I69&lt;&gt;""),"débit ET crédit",IF(AND($H69="",$I69=""),"montant manquant",IF(ISNA(MATCH($D69,'Plan comptable'!$H:$H,0)),"compte hors plan",IF(AND($A69&lt;&gt;"",YEAR($A69)&lt;&gt;Exercice),"hors exercice","")))))</f>
      </c>
    </row>
    <row r="70">
      <c r="A70" s="13"/>
      <c r="B70" s="10"/>
      <c r="C70" s="9"/>
      <c r="D70" s="20"/>
      <c r="E70" s="9">
        <f>IF($D70="","",IFERROR(VLOOKUP($D70,'Plan comptable'!$H:$I,2,FALSE),"compte hors plan"))</f>
      </c>
      <c r="F70" s="9"/>
      <c r="G70" s="10"/>
      <c r="H70" s="11"/>
      <c r="I70" s="11"/>
      <c r="J70" s="10">
        <f>IF($D70="","",IF(AND($H70&lt;&gt;"",$I70&lt;&gt;""),"débit ET crédit",IF(AND($H70="",$I70=""),"montant manquant",IF(ISNA(MATCH($D70,'Plan comptable'!$H:$H,0)),"compte hors plan",IF(AND($A70&lt;&gt;"",YEAR($A70)&lt;&gt;Exercice),"hors exercice","")))))</f>
      </c>
    </row>
    <row r="71">
      <c r="A71" s="13"/>
      <c r="B71" s="10"/>
      <c r="C71" s="9"/>
      <c r="D71" s="20"/>
      <c r="E71" s="9">
        <f>IF($D71="","",IFERROR(VLOOKUP($D71,'Plan comptable'!$H:$I,2,FALSE),"compte hors plan"))</f>
      </c>
      <c r="F71" s="9"/>
      <c r="G71" s="10"/>
      <c r="H71" s="11"/>
      <c r="I71" s="11"/>
      <c r="J71" s="10">
        <f>IF($D71="","",IF(AND($H71&lt;&gt;"",$I71&lt;&gt;""),"débit ET crédit",IF(AND($H71="",$I71=""),"montant manquant",IF(ISNA(MATCH($D71,'Plan comptable'!$H:$H,0)),"compte hors plan",IF(AND($A71&lt;&gt;"",YEAR($A71)&lt;&gt;Exercice),"hors exercice","")))))</f>
      </c>
    </row>
    <row r="72">
      <c r="A72" s="13"/>
      <c r="B72" s="10"/>
      <c r="C72" s="9"/>
      <c r="D72" s="20"/>
      <c r="E72" s="9">
        <f>IF($D72="","",IFERROR(VLOOKUP($D72,'Plan comptable'!$H:$I,2,FALSE),"compte hors plan"))</f>
      </c>
      <c r="F72" s="9"/>
      <c r="G72" s="10"/>
      <c r="H72" s="11"/>
      <c r="I72" s="11"/>
      <c r="J72" s="10">
        <f>IF($D72="","",IF(AND($H72&lt;&gt;"",$I72&lt;&gt;""),"débit ET crédit",IF(AND($H72="",$I72=""),"montant manquant",IF(ISNA(MATCH($D72,'Plan comptable'!$H:$H,0)),"compte hors plan",IF(AND($A72&lt;&gt;"",YEAR($A72)&lt;&gt;Exercice),"hors exercice","")))))</f>
      </c>
    </row>
    <row r="73">
      <c r="A73" s="13"/>
      <c r="B73" s="10"/>
      <c r="C73" s="9"/>
      <c r="D73" s="20"/>
      <c r="E73" s="9">
        <f>IF($D73="","",IFERROR(VLOOKUP($D73,'Plan comptable'!$H:$I,2,FALSE),"compte hors plan"))</f>
      </c>
      <c r="F73" s="9"/>
      <c r="G73" s="10"/>
      <c r="H73" s="11"/>
      <c r="I73" s="11"/>
      <c r="J73" s="10">
        <f>IF($D73="","",IF(AND($H73&lt;&gt;"",$I73&lt;&gt;""),"débit ET crédit",IF(AND($H73="",$I73=""),"montant manquant",IF(ISNA(MATCH($D73,'Plan comptable'!$H:$H,0)),"compte hors plan",IF(AND($A73&lt;&gt;"",YEAR($A73)&lt;&gt;Exercice),"hors exercice","")))))</f>
      </c>
    </row>
    <row r="74">
      <c r="A74" s="13"/>
      <c r="B74" s="10"/>
      <c r="C74" s="9"/>
      <c r="D74" s="20"/>
      <c r="E74" s="9">
        <f>IF($D74="","",IFERROR(VLOOKUP($D74,'Plan comptable'!$H:$I,2,FALSE),"compte hors plan"))</f>
      </c>
      <c r="F74" s="9"/>
      <c r="G74" s="10"/>
      <c r="H74" s="11"/>
      <c r="I74" s="11"/>
      <c r="J74" s="10">
        <f>IF($D74="","",IF(AND($H74&lt;&gt;"",$I74&lt;&gt;""),"débit ET crédit",IF(AND($H74="",$I74=""),"montant manquant",IF(ISNA(MATCH($D74,'Plan comptable'!$H:$H,0)),"compte hors plan",IF(AND($A74&lt;&gt;"",YEAR($A74)&lt;&gt;Exercice),"hors exercice","")))))</f>
      </c>
    </row>
    <row r="75">
      <c r="A75" s="13"/>
      <c r="B75" s="10"/>
      <c r="C75" s="9"/>
      <c r="D75" s="20"/>
      <c r="E75" s="9">
        <f>IF($D75="","",IFERROR(VLOOKUP($D75,'Plan comptable'!$H:$I,2,FALSE),"compte hors plan"))</f>
      </c>
      <c r="F75" s="9"/>
      <c r="G75" s="10"/>
      <c r="H75" s="11"/>
      <c r="I75" s="11"/>
      <c r="J75" s="10">
        <f>IF($D75="","",IF(AND($H75&lt;&gt;"",$I75&lt;&gt;""),"débit ET crédit",IF(AND($H75="",$I75=""),"montant manquant",IF(ISNA(MATCH($D75,'Plan comptable'!$H:$H,0)),"compte hors plan",IF(AND($A75&lt;&gt;"",YEAR($A75)&lt;&gt;Exercice),"hors exercice","")))))</f>
      </c>
    </row>
    <row r="76">
      <c r="A76" s="13"/>
      <c r="B76" s="10"/>
      <c r="C76" s="9"/>
      <c r="D76" s="20"/>
      <c r="E76" s="9">
        <f>IF($D76="","",IFERROR(VLOOKUP($D76,'Plan comptable'!$H:$I,2,FALSE),"compte hors plan"))</f>
      </c>
      <c r="F76" s="9"/>
      <c r="G76" s="10"/>
      <c r="H76" s="11"/>
      <c r="I76" s="11"/>
      <c r="J76" s="10">
        <f>IF($D76="","",IF(AND($H76&lt;&gt;"",$I76&lt;&gt;""),"débit ET crédit",IF(AND($H76="",$I76=""),"montant manquant",IF(ISNA(MATCH($D76,'Plan comptable'!$H:$H,0)),"compte hors plan",IF(AND($A76&lt;&gt;"",YEAR($A76)&lt;&gt;Exercice),"hors exercice","")))))</f>
      </c>
    </row>
    <row r="77">
      <c r="A77" s="13"/>
      <c r="B77" s="10"/>
      <c r="C77" s="9"/>
      <c r="D77" s="20"/>
      <c r="E77" s="9">
        <f>IF($D77="","",IFERROR(VLOOKUP($D77,'Plan comptable'!$H:$I,2,FALSE),"compte hors plan"))</f>
      </c>
      <c r="F77" s="9"/>
      <c r="G77" s="10"/>
      <c r="H77" s="11"/>
      <c r="I77" s="11"/>
      <c r="J77" s="10">
        <f>IF($D77="","",IF(AND($H77&lt;&gt;"",$I77&lt;&gt;""),"débit ET crédit",IF(AND($H77="",$I77=""),"montant manquant",IF(ISNA(MATCH($D77,'Plan comptable'!$H:$H,0)),"compte hors plan",IF(AND($A77&lt;&gt;"",YEAR($A77)&lt;&gt;Exercice),"hors exercice","")))))</f>
      </c>
    </row>
    <row r="78">
      <c r="A78" s="13"/>
      <c r="B78" s="10"/>
      <c r="C78" s="9"/>
      <c r="D78" s="20"/>
      <c r="E78" s="9">
        <f>IF($D78="","",IFERROR(VLOOKUP($D78,'Plan comptable'!$H:$I,2,FALSE),"compte hors plan"))</f>
      </c>
      <c r="F78" s="9"/>
      <c r="G78" s="10"/>
      <c r="H78" s="11"/>
      <c r="I78" s="11"/>
      <c r="J78" s="10">
        <f>IF($D78="","",IF(AND($H78&lt;&gt;"",$I78&lt;&gt;""),"débit ET crédit",IF(AND($H78="",$I78=""),"montant manquant",IF(ISNA(MATCH($D78,'Plan comptable'!$H:$H,0)),"compte hors plan",IF(AND($A78&lt;&gt;"",YEAR($A78)&lt;&gt;Exercice),"hors exercice","")))))</f>
      </c>
    </row>
    <row r="79">
      <c r="A79" s="13"/>
      <c r="B79" s="10"/>
      <c r="C79" s="9"/>
      <c r="D79" s="20"/>
      <c r="E79" s="9">
        <f>IF($D79="","",IFERROR(VLOOKUP($D79,'Plan comptable'!$H:$I,2,FALSE),"compte hors plan"))</f>
      </c>
      <c r="F79" s="9"/>
      <c r="G79" s="10"/>
      <c r="H79" s="11"/>
      <c r="I79" s="11"/>
      <c r="J79" s="10">
        <f>IF($D79="","",IF(AND($H79&lt;&gt;"",$I79&lt;&gt;""),"débit ET crédit",IF(AND($H79="",$I79=""),"montant manquant",IF(ISNA(MATCH($D79,'Plan comptable'!$H:$H,0)),"compte hors plan",IF(AND($A79&lt;&gt;"",YEAR($A79)&lt;&gt;Exercice),"hors exercice","")))))</f>
      </c>
    </row>
    <row r="80">
      <c r="A80" s="13"/>
      <c r="B80" s="10"/>
      <c r="C80" s="9"/>
      <c r="D80" s="20"/>
      <c r="E80" s="9">
        <f>IF($D80="","",IFERROR(VLOOKUP($D80,'Plan comptable'!$H:$I,2,FALSE),"compte hors plan"))</f>
      </c>
      <c r="F80" s="9"/>
      <c r="G80" s="10"/>
      <c r="H80" s="11"/>
      <c r="I80" s="11"/>
      <c r="J80" s="10">
        <f>IF($D80="","",IF(AND($H80&lt;&gt;"",$I80&lt;&gt;""),"débit ET crédit",IF(AND($H80="",$I80=""),"montant manquant",IF(ISNA(MATCH($D80,'Plan comptable'!$H:$H,0)),"compte hors plan",IF(AND($A80&lt;&gt;"",YEAR($A80)&lt;&gt;Exercice),"hors exercice","")))))</f>
      </c>
    </row>
    <row r="81">
      <c r="A81" s="13"/>
      <c r="B81" s="10"/>
      <c r="C81" s="9"/>
      <c r="D81" s="20"/>
      <c r="E81" s="9">
        <f>IF($D81="","",IFERROR(VLOOKUP($D81,'Plan comptable'!$H:$I,2,FALSE),"compte hors plan"))</f>
      </c>
      <c r="F81" s="9"/>
      <c r="G81" s="10"/>
      <c r="H81" s="11"/>
      <c r="I81" s="11"/>
      <c r="J81" s="10">
        <f>IF($D81="","",IF(AND($H81&lt;&gt;"",$I81&lt;&gt;""),"débit ET crédit",IF(AND($H81="",$I81=""),"montant manquant",IF(ISNA(MATCH($D81,'Plan comptable'!$H:$H,0)),"compte hors plan",IF(AND($A81&lt;&gt;"",YEAR($A81)&lt;&gt;Exercice),"hors exercice","")))))</f>
      </c>
    </row>
    <row r="82">
      <c r="A82" s="13"/>
      <c r="B82" s="10"/>
      <c r="C82" s="9"/>
      <c r="D82" s="20"/>
      <c r="E82" s="9">
        <f>IF($D82="","",IFERROR(VLOOKUP($D82,'Plan comptable'!$H:$I,2,FALSE),"compte hors plan"))</f>
      </c>
      <c r="F82" s="9"/>
      <c r="G82" s="10"/>
      <c r="H82" s="11"/>
      <c r="I82" s="11"/>
      <c r="J82" s="10">
        <f>IF($D82="","",IF(AND($H82&lt;&gt;"",$I82&lt;&gt;""),"débit ET crédit",IF(AND($H82="",$I82=""),"montant manquant",IF(ISNA(MATCH($D82,'Plan comptable'!$H:$H,0)),"compte hors plan",IF(AND($A82&lt;&gt;"",YEAR($A82)&lt;&gt;Exercice),"hors exercice","")))))</f>
      </c>
    </row>
    <row r="83">
      <c r="A83" s="13"/>
      <c r="B83" s="10"/>
      <c r="C83" s="9"/>
      <c r="D83" s="20"/>
      <c r="E83" s="9">
        <f>IF($D83="","",IFERROR(VLOOKUP($D83,'Plan comptable'!$H:$I,2,FALSE),"compte hors plan"))</f>
      </c>
      <c r="F83" s="9"/>
      <c r="G83" s="10"/>
      <c r="H83" s="11"/>
      <c r="I83" s="11"/>
      <c r="J83" s="10">
        <f>IF($D83="","",IF(AND($H83&lt;&gt;"",$I83&lt;&gt;""),"débit ET crédit",IF(AND($H83="",$I83=""),"montant manquant",IF(ISNA(MATCH($D83,'Plan comptable'!$H:$H,0)),"compte hors plan",IF(AND($A83&lt;&gt;"",YEAR($A83)&lt;&gt;Exercice),"hors exercice","")))))</f>
      </c>
    </row>
    <row r="84">
      <c r="A84" s="13"/>
      <c r="B84" s="10"/>
      <c r="C84" s="9"/>
      <c r="D84" s="20"/>
      <c r="E84" s="9">
        <f>IF($D84="","",IFERROR(VLOOKUP($D84,'Plan comptable'!$H:$I,2,FALSE),"compte hors plan"))</f>
      </c>
      <c r="F84" s="9"/>
      <c r="G84" s="10"/>
      <c r="H84" s="11"/>
      <c r="I84" s="11"/>
      <c r="J84" s="10">
        <f>IF($D84="","",IF(AND($H84&lt;&gt;"",$I84&lt;&gt;""),"débit ET crédit",IF(AND($H84="",$I84=""),"montant manquant",IF(ISNA(MATCH($D84,'Plan comptable'!$H:$H,0)),"compte hors plan",IF(AND($A84&lt;&gt;"",YEAR($A84)&lt;&gt;Exercice),"hors exercice","")))))</f>
      </c>
    </row>
    <row r="85">
      <c r="A85" s="13"/>
      <c r="B85" s="10"/>
      <c r="C85" s="9"/>
      <c r="D85" s="20"/>
      <c r="E85" s="9">
        <f>IF($D85="","",IFERROR(VLOOKUP($D85,'Plan comptable'!$H:$I,2,FALSE),"compte hors plan"))</f>
      </c>
      <c r="F85" s="9"/>
      <c r="G85" s="10"/>
      <c r="H85" s="11"/>
      <c r="I85" s="11"/>
      <c r="J85" s="10">
        <f>IF($D85="","",IF(AND($H85&lt;&gt;"",$I85&lt;&gt;""),"débit ET crédit",IF(AND($H85="",$I85=""),"montant manquant",IF(ISNA(MATCH($D85,'Plan comptable'!$H:$H,0)),"compte hors plan",IF(AND($A85&lt;&gt;"",YEAR($A85)&lt;&gt;Exercice),"hors exercice","")))))</f>
      </c>
    </row>
    <row r="86">
      <c r="A86" s="13"/>
      <c r="B86" s="10"/>
      <c r="C86" s="9"/>
      <c r="D86" s="20"/>
      <c r="E86" s="9">
        <f>IF($D86="","",IFERROR(VLOOKUP($D86,'Plan comptable'!$H:$I,2,FALSE),"compte hors plan"))</f>
      </c>
      <c r="F86" s="9"/>
      <c r="G86" s="10"/>
      <c r="H86" s="11"/>
      <c r="I86" s="11"/>
      <c r="J86" s="10">
        <f>IF($D86="","",IF(AND($H86&lt;&gt;"",$I86&lt;&gt;""),"débit ET crédit",IF(AND($H86="",$I86=""),"montant manquant",IF(ISNA(MATCH($D86,'Plan comptable'!$H:$H,0)),"compte hors plan",IF(AND($A86&lt;&gt;"",YEAR($A86)&lt;&gt;Exercice),"hors exercice","")))))</f>
      </c>
    </row>
    <row r="87">
      <c r="A87" s="13"/>
      <c r="B87" s="10"/>
      <c r="C87" s="9"/>
      <c r="D87" s="20"/>
      <c r="E87" s="9">
        <f>IF($D87="","",IFERROR(VLOOKUP($D87,'Plan comptable'!$H:$I,2,FALSE),"compte hors plan"))</f>
      </c>
      <c r="F87" s="9"/>
      <c r="G87" s="10"/>
      <c r="H87" s="11"/>
      <c r="I87" s="11"/>
      <c r="J87" s="10">
        <f>IF($D87="","",IF(AND($H87&lt;&gt;"",$I87&lt;&gt;""),"débit ET crédit",IF(AND($H87="",$I87=""),"montant manquant",IF(ISNA(MATCH($D87,'Plan comptable'!$H:$H,0)),"compte hors plan",IF(AND($A87&lt;&gt;"",YEAR($A87)&lt;&gt;Exercice),"hors exercice","")))))</f>
      </c>
    </row>
    <row r="88">
      <c r="A88" s="13"/>
      <c r="B88" s="10"/>
      <c r="C88" s="9"/>
      <c r="D88" s="20"/>
      <c r="E88" s="9">
        <f>IF($D88="","",IFERROR(VLOOKUP($D88,'Plan comptable'!$H:$I,2,FALSE),"compte hors plan"))</f>
      </c>
      <c r="F88" s="9"/>
      <c r="G88" s="10"/>
      <c r="H88" s="11"/>
      <c r="I88" s="11"/>
      <c r="J88" s="10">
        <f>IF($D88="","",IF(AND($H88&lt;&gt;"",$I88&lt;&gt;""),"débit ET crédit",IF(AND($H88="",$I88=""),"montant manquant",IF(ISNA(MATCH($D88,'Plan comptable'!$H:$H,0)),"compte hors plan",IF(AND($A88&lt;&gt;"",YEAR($A88)&lt;&gt;Exercice),"hors exercice","")))))</f>
      </c>
    </row>
    <row r="89">
      <c r="A89" s="13"/>
      <c r="B89" s="10"/>
      <c r="C89" s="9"/>
      <c r="D89" s="20"/>
      <c r="E89" s="9">
        <f>IF($D89="","",IFERROR(VLOOKUP($D89,'Plan comptable'!$H:$I,2,FALSE),"compte hors plan"))</f>
      </c>
      <c r="F89" s="9"/>
      <c r="G89" s="10"/>
      <c r="H89" s="11"/>
      <c r="I89" s="11"/>
      <c r="J89" s="10">
        <f>IF($D89="","",IF(AND($H89&lt;&gt;"",$I89&lt;&gt;""),"débit ET crédit",IF(AND($H89="",$I89=""),"montant manquant",IF(ISNA(MATCH($D89,'Plan comptable'!$H:$H,0)),"compte hors plan",IF(AND($A89&lt;&gt;"",YEAR($A89)&lt;&gt;Exercice),"hors exercice","")))))</f>
      </c>
    </row>
    <row r="90">
      <c r="A90" s="13"/>
      <c r="B90" s="10"/>
      <c r="C90" s="9"/>
      <c r="D90" s="20"/>
      <c r="E90" s="9">
        <f>IF($D90="","",IFERROR(VLOOKUP($D90,'Plan comptable'!$H:$I,2,FALSE),"compte hors plan"))</f>
      </c>
      <c r="F90" s="9"/>
      <c r="G90" s="10"/>
      <c r="H90" s="11"/>
      <c r="I90" s="11"/>
      <c r="J90" s="10">
        <f>IF($D90="","",IF(AND($H90&lt;&gt;"",$I90&lt;&gt;""),"débit ET crédit",IF(AND($H90="",$I90=""),"montant manquant",IF(ISNA(MATCH($D90,'Plan comptable'!$H:$H,0)),"compte hors plan",IF(AND($A90&lt;&gt;"",YEAR($A90)&lt;&gt;Exercice),"hors exercice","")))))</f>
      </c>
    </row>
    <row r="91">
      <c r="A91" s="13"/>
      <c r="B91" s="10"/>
      <c r="C91" s="9"/>
      <c r="D91" s="20"/>
      <c r="E91" s="9">
        <f>IF($D91="","",IFERROR(VLOOKUP($D91,'Plan comptable'!$H:$I,2,FALSE),"compte hors plan"))</f>
      </c>
      <c r="F91" s="9"/>
      <c r="G91" s="10"/>
      <c r="H91" s="11"/>
      <c r="I91" s="11"/>
      <c r="J91" s="10">
        <f>IF($D91="","",IF(AND($H91&lt;&gt;"",$I91&lt;&gt;""),"débit ET crédit",IF(AND($H91="",$I91=""),"montant manquant",IF(ISNA(MATCH($D91,'Plan comptable'!$H:$H,0)),"compte hors plan",IF(AND($A91&lt;&gt;"",YEAR($A91)&lt;&gt;Exercice),"hors exercice","")))))</f>
      </c>
    </row>
    <row r="92">
      <c r="A92" s="13"/>
      <c r="B92" s="10"/>
      <c r="C92" s="9"/>
      <c r="D92" s="20"/>
      <c r="E92" s="9">
        <f>IF($D92="","",IFERROR(VLOOKUP($D92,'Plan comptable'!$H:$I,2,FALSE),"compte hors plan"))</f>
      </c>
      <c r="F92" s="9"/>
      <c r="G92" s="10"/>
      <c r="H92" s="11"/>
      <c r="I92" s="11"/>
      <c r="J92" s="10">
        <f>IF($D92="","",IF(AND($H92&lt;&gt;"",$I92&lt;&gt;""),"débit ET crédit",IF(AND($H92="",$I92=""),"montant manquant",IF(ISNA(MATCH($D92,'Plan comptable'!$H:$H,0)),"compte hors plan",IF(AND($A92&lt;&gt;"",YEAR($A92)&lt;&gt;Exercice),"hors exercice","")))))</f>
      </c>
    </row>
    <row r="93">
      <c r="A93" s="13"/>
      <c r="B93" s="10"/>
      <c r="C93" s="9"/>
      <c r="D93" s="20"/>
      <c r="E93" s="9">
        <f>IF($D93="","",IFERROR(VLOOKUP($D93,'Plan comptable'!$H:$I,2,FALSE),"compte hors plan"))</f>
      </c>
      <c r="F93" s="9"/>
      <c r="G93" s="10"/>
      <c r="H93" s="11"/>
      <c r="I93" s="11"/>
      <c r="J93" s="10">
        <f>IF($D93="","",IF(AND($H93&lt;&gt;"",$I93&lt;&gt;""),"débit ET crédit",IF(AND($H93="",$I93=""),"montant manquant",IF(ISNA(MATCH($D93,'Plan comptable'!$H:$H,0)),"compte hors plan",IF(AND($A93&lt;&gt;"",YEAR($A93)&lt;&gt;Exercice),"hors exercice","")))))</f>
      </c>
    </row>
    <row r="94">
      <c r="A94" s="13"/>
      <c r="B94" s="10"/>
      <c r="C94" s="9"/>
      <c r="D94" s="20"/>
      <c r="E94" s="9">
        <f>IF($D94="","",IFERROR(VLOOKUP($D94,'Plan comptable'!$H:$I,2,FALSE),"compte hors plan"))</f>
      </c>
      <c r="F94" s="9"/>
      <c r="G94" s="10"/>
      <c r="H94" s="11"/>
      <c r="I94" s="11"/>
      <c r="J94" s="10">
        <f>IF($D94="","",IF(AND($H94&lt;&gt;"",$I94&lt;&gt;""),"débit ET crédit",IF(AND($H94="",$I94=""),"montant manquant",IF(ISNA(MATCH($D94,'Plan comptable'!$H:$H,0)),"compte hors plan",IF(AND($A94&lt;&gt;"",YEAR($A94)&lt;&gt;Exercice),"hors exercice","")))))</f>
      </c>
    </row>
    <row r="95">
      <c r="A95" s="13"/>
      <c r="B95" s="10"/>
      <c r="C95" s="9"/>
      <c r="D95" s="20"/>
      <c r="E95" s="9">
        <f>IF($D95="","",IFERROR(VLOOKUP($D95,'Plan comptable'!$H:$I,2,FALSE),"compte hors plan"))</f>
      </c>
      <c r="F95" s="9"/>
      <c r="G95" s="10"/>
      <c r="H95" s="11"/>
      <c r="I95" s="11"/>
      <c r="J95" s="10">
        <f>IF($D95="","",IF(AND($H95&lt;&gt;"",$I95&lt;&gt;""),"débit ET crédit",IF(AND($H95="",$I95=""),"montant manquant",IF(ISNA(MATCH($D95,'Plan comptable'!$H:$H,0)),"compte hors plan",IF(AND($A95&lt;&gt;"",YEAR($A95)&lt;&gt;Exercice),"hors exercice","")))))</f>
      </c>
    </row>
    <row r="96">
      <c r="A96" s="13"/>
      <c r="B96" s="10"/>
      <c r="C96" s="9"/>
      <c r="D96" s="20"/>
      <c r="E96" s="9">
        <f>IF($D96="","",IFERROR(VLOOKUP($D96,'Plan comptable'!$H:$I,2,FALSE),"compte hors plan"))</f>
      </c>
      <c r="F96" s="9"/>
      <c r="G96" s="10"/>
      <c r="H96" s="11"/>
      <c r="I96" s="11"/>
      <c r="J96" s="10">
        <f>IF($D96="","",IF(AND($H96&lt;&gt;"",$I96&lt;&gt;""),"débit ET crédit",IF(AND($H96="",$I96=""),"montant manquant",IF(ISNA(MATCH($D96,'Plan comptable'!$H:$H,0)),"compte hors plan",IF(AND($A96&lt;&gt;"",YEAR($A96)&lt;&gt;Exercice),"hors exercice","")))))</f>
      </c>
    </row>
    <row r="97">
      <c r="A97" s="13"/>
      <c r="B97" s="10"/>
      <c r="C97" s="9"/>
      <c r="D97" s="20"/>
      <c r="E97" s="9">
        <f>IF($D97="","",IFERROR(VLOOKUP($D97,'Plan comptable'!$H:$I,2,FALSE),"compte hors plan"))</f>
      </c>
      <c r="F97" s="9"/>
      <c r="G97" s="10"/>
      <c r="H97" s="11"/>
      <c r="I97" s="11"/>
      <c r="J97" s="10">
        <f>IF($D97="","",IF(AND($H97&lt;&gt;"",$I97&lt;&gt;""),"débit ET crédit",IF(AND($H97="",$I97=""),"montant manquant",IF(ISNA(MATCH($D97,'Plan comptable'!$H:$H,0)),"compte hors plan",IF(AND($A97&lt;&gt;"",YEAR($A97)&lt;&gt;Exercice),"hors exercice","")))))</f>
      </c>
    </row>
    <row r="98">
      <c r="A98" s="13"/>
      <c r="B98" s="10"/>
      <c r="C98" s="9"/>
      <c r="D98" s="20"/>
      <c r="E98" s="9">
        <f>IF($D98="","",IFERROR(VLOOKUP($D98,'Plan comptable'!$H:$I,2,FALSE),"compte hors plan"))</f>
      </c>
      <c r="F98" s="9"/>
      <c r="G98" s="10"/>
      <c r="H98" s="11"/>
      <c r="I98" s="11"/>
      <c r="J98" s="10">
        <f>IF($D98="","",IF(AND($H98&lt;&gt;"",$I98&lt;&gt;""),"débit ET crédit",IF(AND($H98="",$I98=""),"montant manquant",IF(ISNA(MATCH($D98,'Plan comptable'!$H:$H,0)),"compte hors plan",IF(AND($A98&lt;&gt;"",YEAR($A98)&lt;&gt;Exercice),"hors exercice","")))))</f>
      </c>
    </row>
    <row r="99">
      <c r="A99" s="13"/>
      <c r="B99" s="10"/>
      <c r="C99" s="9"/>
      <c r="D99" s="20"/>
      <c r="E99" s="9">
        <f>IF($D99="","",IFERROR(VLOOKUP($D99,'Plan comptable'!$H:$I,2,FALSE),"compte hors plan"))</f>
      </c>
      <c r="F99" s="9"/>
      <c r="G99" s="10"/>
      <c r="H99" s="11"/>
      <c r="I99" s="11"/>
      <c r="J99" s="10">
        <f>IF($D99="","",IF(AND($H99&lt;&gt;"",$I99&lt;&gt;""),"débit ET crédit",IF(AND($H99="",$I99=""),"montant manquant",IF(ISNA(MATCH($D99,'Plan comptable'!$H:$H,0)),"compte hors plan",IF(AND($A99&lt;&gt;"",YEAR($A99)&lt;&gt;Exercice),"hors exercice","")))))</f>
      </c>
    </row>
    <row r="100">
      <c r="A100" s="13"/>
      <c r="B100" s="10"/>
      <c r="C100" s="9"/>
      <c r="D100" s="20"/>
      <c r="E100" s="9">
        <f>IF($D100="","",IFERROR(VLOOKUP($D100,'Plan comptable'!$H:$I,2,FALSE),"compte hors plan"))</f>
      </c>
      <c r="F100" s="9"/>
      <c r="G100" s="10"/>
      <c r="H100" s="11"/>
      <c r="I100" s="11"/>
      <c r="J100" s="10">
        <f>IF($D100="","",IF(AND($H100&lt;&gt;"",$I100&lt;&gt;""),"débit ET crédit",IF(AND($H100="",$I100=""),"montant manquant",IF(ISNA(MATCH($D100,'Plan comptable'!$H:$H,0)),"compte hors plan",IF(AND($A100&lt;&gt;"",YEAR($A100)&lt;&gt;Exercice),"hors exercice","")))))</f>
      </c>
    </row>
    <row r="101">
      <c r="A101" s="13"/>
      <c r="B101" s="10"/>
      <c r="C101" s="9"/>
      <c r="D101" s="20"/>
      <c r="E101" s="9">
        <f>IF($D101="","",IFERROR(VLOOKUP($D101,'Plan comptable'!$H:$I,2,FALSE),"compte hors plan"))</f>
      </c>
      <c r="F101" s="9"/>
      <c r="G101" s="10"/>
      <c r="H101" s="11"/>
      <c r="I101" s="11"/>
      <c r="J101" s="10">
        <f>IF($D101="","",IF(AND($H101&lt;&gt;"",$I101&lt;&gt;""),"débit ET crédit",IF(AND($H101="",$I101=""),"montant manquant",IF(ISNA(MATCH($D101,'Plan comptable'!$H:$H,0)),"compte hors plan",IF(AND($A101&lt;&gt;"",YEAR($A101)&lt;&gt;Exercice),"hors exercice","")))))</f>
      </c>
    </row>
    <row r="102">
      <c r="A102" s="13"/>
      <c r="B102" s="10"/>
      <c r="C102" s="9"/>
      <c r="D102" s="20"/>
      <c r="E102" s="9">
        <f>IF($D102="","",IFERROR(VLOOKUP($D102,'Plan comptable'!$H:$I,2,FALSE),"compte hors plan"))</f>
      </c>
      <c r="F102" s="9"/>
      <c r="G102" s="10"/>
      <c r="H102" s="11"/>
      <c r="I102" s="11"/>
      <c r="J102" s="10">
        <f>IF($D102="","",IF(AND($H102&lt;&gt;"",$I102&lt;&gt;""),"débit ET crédit",IF(AND($H102="",$I102=""),"montant manquant",IF(ISNA(MATCH($D102,'Plan comptable'!$H:$H,0)),"compte hors plan",IF(AND($A102&lt;&gt;"",YEAR($A102)&lt;&gt;Exercice),"hors exercice","")))))</f>
      </c>
    </row>
    <row r="103">
      <c r="A103" s="13"/>
      <c r="B103" s="10"/>
      <c r="C103" s="9"/>
      <c r="D103" s="20"/>
      <c r="E103" s="9">
        <f>IF($D103="","",IFERROR(VLOOKUP($D103,'Plan comptable'!$H:$I,2,FALSE),"compte hors plan"))</f>
      </c>
      <c r="F103" s="9"/>
      <c r="G103" s="10"/>
      <c r="H103" s="11"/>
      <c r="I103" s="11"/>
      <c r="J103" s="10">
        <f>IF($D103="","",IF(AND($H103&lt;&gt;"",$I103&lt;&gt;""),"débit ET crédit",IF(AND($H103="",$I103=""),"montant manquant",IF(ISNA(MATCH($D103,'Plan comptable'!$H:$H,0)),"compte hors plan",IF(AND($A103&lt;&gt;"",YEAR($A103)&lt;&gt;Exercice),"hors exercice","")))))</f>
      </c>
    </row>
    <row r="104">
      <c r="A104" s="13"/>
      <c r="B104" s="10"/>
      <c r="C104" s="9"/>
      <c r="D104" s="20"/>
      <c r="E104" s="9">
        <f>IF($D104="","",IFERROR(VLOOKUP($D104,'Plan comptable'!$H:$I,2,FALSE),"compte hors plan"))</f>
      </c>
      <c r="F104" s="9"/>
      <c r="G104" s="10"/>
      <c r="H104" s="11"/>
      <c r="I104" s="11"/>
      <c r="J104" s="10">
        <f>IF($D104="","",IF(AND($H104&lt;&gt;"",$I104&lt;&gt;""),"débit ET crédit",IF(AND($H104="",$I104=""),"montant manquant",IF(ISNA(MATCH($D104,'Plan comptable'!$H:$H,0)),"compte hors plan",IF(AND($A104&lt;&gt;"",YEAR($A104)&lt;&gt;Exercice),"hors exercice","")))))</f>
      </c>
    </row>
    <row r="105">
      <c r="A105" s="13"/>
      <c r="B105" s="10"/>
      <c r="C105" s="9"/>
      <c r="D105" s="20"/>
      <c r="E105" s="9">
        <f>IF($D105="","",IFERROR(VLOOKUP($D105,'Plan comptable'!$H:$I,2,FALSE),"compte hors plan"))</f>
      </c>
      <c r="F105" s="9"/>
      <c r="G105" s="10"/>
      <c r="H105" s="11"/>
      <c r="I105" s="11"/>
      <c r="J105" s="10">
        <f>IF($D105="","",IF(AND($H105&lt;&gt;"",$I105&lt;&gt;""),"débit ET crédit",IF(AND($H105="",$I105=""),"montant manquant",IF(ISNA(MATCH($D105,'Plan comptable'!$H:$H,0)),"compte hors plan",IF(AND($A105&lt;&gt;"",YEAR($A105)&lt;&gt;Exercice),"hors exercice","")))))</f>
      </c>
    </row>
    <row r="106">
      <c r="A106" s="13"/>
      <c r="B106" s="10"/>
      <c r="C106" s="9"/>
      <c r="D106" s="20"/>
      <c r="E106" s="9">
        <f>IF($D106="","",IFERROR(VLOOKUP($D106,'Plan comptable'!$H:$I,2,FALSE),"compte hors plan"))</f>
      </c>
      <c r="F106" s="9"/>
      <c r="G106" s="10"/>
      <c r="H106" s="11"/>
      <c r="I106" s="11"/>
      <c r="J106" s="10">
        <f>IF($D106="","",IF(AND($H106&lt;&gt;"",$I106&lt;&gt;""),"débit ET crédit",IF(AND($H106="",$I106=""),"montant manquant",IF(ISNA(MATCH($D106,'Plan comptable'!$H:$H,0)),"compte hors plan",IF(AND($A106&lt;&gt;"",YEAR($A106)&lt;&gt;Exercice),"hors exercice","")))))</f>
      </c>
    </row>
    <row r="107">
      <c r="A107" s="13"/>
      <c r="B107" s="10"/>
      <c r="C107" s="9"/>
      <c r="D107" s="20"/>
      <c r="E107" s="9">
        <f>IF($D107="","",IFERROR(VLOOKUP($D107,'Plan comptable'!$H:$I,2,FALSE),"compte hors plan"))</f>
      </c>
      <c r="F107" s="9"/>
      <c r="G107" s="10"/>
      <c r="H107" s="11"/>
      <c r="I107" s="11"/>
      <c r="J107" s="10">
        <f>IF($D107="","",IF(AND($H107&lt;&gt;"",$I107&lt;&gt;""),"débit ET crédit",IF(AND($H107="",$I107=""),"montant manquant",IF(ISNA(MATCH($D107,'Plan comptable'!$H:$H,0)),"compte hors plan",IF(AND($A107&lt;&gt;"",YEAR($A107)&lt;&gt;Exercice),"hors exercice","")))))</f>
      </c>
    </row>
    <row r="108">
      <c r="A108" s="13"/>
      <c r="B108" s="10"/>
      <c r="C108" s="9"/>
      <c r="D108" s="20"/>
      <c r="E108" s="9">
        <f>IF($D108="","",IFERROR(VLOOKUP($D108,'Plan comptable'!$H:$I,2,FALSE),"compte hors plan"))</f>
      </c>
      <c r="F108" s="9"/>
      <c r="G108" s="10"/>
      <c r="H108" s="11"/>
      <c r="I108" s="11"/>
      <c r="J108" s="10">
        <f>IF($D108="","",IF(AND($H108&lt;&gt;"",$I108&lt;&gt;""),"débit ET crédit",IF(AND($H108="",$I108=""),"montant manquant",IF(ISNA(MATCH($D108,'Plan comptable'!$H:$H,0)),"compte hors plan",IF(AND($A108&lt;&gt;"",YEAR($A108)&lt;&gt;Exercice),"hors exercice","")))))</f>
      </c>
    </row>
    <row r="109">
      <c r="A109" s="13"/>
      <c r="B109" s="10"/>
      <c r="C109" s="9"/>
      <c r="D109" s="20"/>
      <c r="E109" s="9">
        <f>IF($D109="","",IFERROR(VLOOKUP($D109,'Plan comptable'!$H:$I,2,FALSE),"compte hors plan"))</f>
      </c>
      <c r="F109" s="9"/>
      <c r="G109" s="10"/>
      <c r="H109" s="11"/>
      <c r="I109" s="11"/>
      <c r="J109" s="10">
        <f>IF($D109="","",IF(AND($H109&lt;&gt;"",$I109&lt;&gt;""),"débit ET crédit",IF(AND($H109="",$I109=""),"montant manquant",IF(ISNA(MATCH($D109,'Plan comptable'!$H:$H,0)),"compte hors plan",IF(AND($A109&lt;&gt;"",YEAR($A109)&lt;&gt;Exercice),"hors exercice","")))))</f>
      </c>
    </row>
    <row r="110">
      <c r="A110" s="13"/>
      <c r="B110" s="10"/>
      <c r="C110" s="9"/>
      <c r="D110" s="20"/>
      <c r="E110" s="9">
        <f>IF($D110="","",IFERROR(VLOOKUP($D110,'Plan comptable'!$H:$I,2,FALSE),"compte hors plan"))</f>
      </c>
      <c r="F110" s="9"/>
      <c r="G110" s="10"/>
      <c r="H110" s="11"/>
      <c r="I110" s="11"/>
      <c r="J110" s="10">
        <f>IF($D110="","",IF(AND($H110&lt;&gt;"",$I110&lt;&gt;""),"débit ET crédit",IF(AND($H110="",$I110=""),"montant manquant",IF(ISNA(MATCH($D110,'Plan comptable'!$H:$H,0)),"compte hors plan",IF(AND($A110&lt;&gt;"",YEAR($A110)&lt;&gt;Exercice),"hors exercice","")))))</f>
      </c>
    </row>
    <row r="111">
      <c r="A111" s="13"/>
      <c r="B111" s="10"/>
      <c r="C111" s="9"/>
      <c r="D111" s="20"/>
      <c r="E111" s="9">
        <f>IF($D111="","",IFERROR(VLOOKUP($D111,'Plan comptable'!$H:$I,2,FALSE),"compte hors plan"))</f>
      </c>
      <c r="F111" s="9"/>
      <c r="G111" s="10"/>
      <c r="H111" s="11"/>
      <c r="I111" s="11"/>
      <c r="J111" s="10">
        <f>IF($D111="","",IF(AND($H111&lt;&gt;"",$I111&lt;&gt;""),"débit ET crédit",IF(AND($H111="",$I111=""),"montant manquant",IF(ISNA(MATCH($D111,'Plan comptable'!$H:$H,0)),"compte hors plan",IF(AND($A111&lt;&gt;"",YEAR($A111)&lt;&gt;Exercice),"hors exercice","")))))</f>
      </c>
    </row>
    <row r="112">
      <c r="A112" s="13"/>
      <c r="B112" s="10"/>
      <c r="C112" s="9"/>
      <c r="D112" s="20"/>
      <c r="E112" s="9">
        <f>IF($D112="","",IFERROR(VLOOKUP($D112,'Plan comptable'!$H:$I,2,FALSE),"compte hors plan"))</f>
      </c>
      <c r="F112" s="9"/>
      <c r="G112" s="10"/>
      <c r="H112" s="11"/>
      <c r="I112" s="11"/>
      <c r="J112" s="10">
        <f>IF($D112="","",IF(AND($H112&lt;&gt;"",$I112&lt;&gt;""),"débit ET crédit",IF(AND($H112="",$I112=""),"montant manquant",IF(ISNA(MATCH($D112,'Plan comptable'!$H:$H,0)),"compte hors plan",IF(AND($A112&lt;&gt;"",YEAR($A112)&lt;&gt;Exercice),"hors exercice","")))))</f>
      </c>
    </row>
    <row r="113">
      <c r="A113" s="13"/>
      <c r="B113" s="10"/>
      <c r="C113" s="9"/>
      <c r="D113" s="20"/>
      <c r="E113" s="9">
        <f>IF($D113="","",IFERROR(VLOOKUP($D113,'Plan comptable'!$H:$I,2,FALSE),"compte hors plan"))</f>
      </c>
      <c r="F113" s="9"/>
      <c r="G113" s="10"/>
      <c r="H113" s="11"/>
      <c r="I113" s="11"/>
      <c r="J113" s="10">
        <f>IF($D113="","",IF(AND($H113&lt;&gt;"",$I113&lt;&gt;""),"débit ET crédit",IF(AND($H113="",$I113=""),"montant manquant",IF(ISNA(MATCH($D113,'Plan comptable'!$H:$H,0)),"compte hors plan",IF(AND($A113&lt;&gt;"",YEAR($A113)&lt;&gt;Exercice),"hors exercice","")))))</f>
      </c>
    </row>
    <row r="114">
      <c r="A114" s="13"/>
      <c r="B114" s="10"/>
      <c r="C114" s="9"/>
      <c r="D114" s="20"/>
      <c r="E114" s="9">
        <f>IF($D114="","",IFERROR(VLOOKUP($D114,'Plan comptable'!$H:$I,2,FALSE),"compte hors plan"))</f>
      </c>
      <c r="F114" s="9"/>
      <c r="G114" s="10"/>
      <c r="H114" s="11"/>
      <c r="I114" s="11"/>
      <c r="J114" s="10">
        <f>IF($D114="","",IF(AND($H114&lt;&gt;"",$I114&lt;&gt;""),"débit ET crédit",IF(AND($H114="",$I114=""),"montant manquant",IF(ISNA(MATCH($D114,'Plan comptable'!$H:$H,0)),"compte hors plan",IF(AND($A114&lt;&gt;"",YEAR($A114)&lt;&gt;Exercice),"hors exercice","")))))</f>
      </c>
    </row>
    <row r="115">
      <c r="A115" s="13"/>
      <c r="B115" s="10"/>
      <c r="C115" s="9"/>
      <c r="D115" s="20"/>
      <c r="E115" s="9">
        <f>IF($D115="","",IFERROR(VLOOKUP($D115,'Plan comptable'!$H:$I,2,FALSE),"compte hors plan"))</f>
      </c>
      <c r="F115" s="9"/>
      <c r="G115" s="10"/>
      <c r="H115" s="11"/>
      <c r="I115" s="11"/>
      <c r="J115" s="10">
        <f>IF($D115="","",IF(AND($H115&lt;&gt;"",$I115&lt;&gt;""),"débit ET crédit",IF(AND($H115="",$I115=""),"montant manquant",IF(ISNA(MATCH($D115,'Plan comptable'!$H:$H,0)),"compte hors plan",IF(AND($A115&lt;&gt;"",YEAR($A115)&lt;&gt;Exercice),"hors exercice","")))))</f>
      </c>
    </row>
    <row r="116">
      <c r="A116" s="13"/>
      <c r="B116" s="10"/>
      <c r="C116" s="9"/>
      <c r="D116" s="20"/>
      <c r="E116" s="9">
        <f>IF($D116="","",IFERROR(VLOOKUP($D116,'Plan comptable'!$H:$I,2,FALSE),"compte hors plan"))</f>
      </c>
      <c r="F116" s="9"/>
      <c r="G116" s="10"/>
      <c r="H116" s="11"/>
      <c r="I116" s="11"/>
      <c r="J116" s="10">
        <f>IF($D116="","",IF(AND($H116&lt;&gt;"",$I116&lt;&gt;""),"débit ET crédit",IF(AND($H116="",$I116=""),"montant manquant",IF(ISNA(MATCH($D116,'Plan comptable'!$H:$H,0)),"compte hors plan",IF(AND($A116&lt;&gt;"",YEAR($A116)&lt;&gt;Exercice),"hors exercice","")))))</f>
      </c>
    </row>
    <row r="117">
      <c r="A117" s="13"/>
      <c r="B117" s="10"/>
      <c r="C117" s="9"/>
      <c r="D117" s="20"/>
      <c r="E117" s="9">
        <f>IF($D117="","",IFERROR(VLOOKUP($D117,'Plan comptable'!$H:$I,2,FALSE),"compte hors plan"))</f>
      </c>
      <c r="F117" s="9"/>
      <c r="G117" s="10"/>
      <c r="H117" s="11"/>
      <c r="I117" s="11"/>
      <c r="J117" s="10">
        <f>IF($D117="","",IF(AND($H117&lt;&gt;"",$I117&lt;&gt;""),"débit ET crédit",IF(AND($H117="",$I117=""),"montant manquant",IF(ISNA(MATCH($D117,'Plan comptable'!$H:$H,0)),"compte hors plan",IF(AND($A117&lt;&gt;"",YEAR($A117)&lt;&gt;Exercice),"hors exercice","")))))</f>
      </c>
    </row>
    <row r="118">
      <c r="A118" s="13"/>
      <c r="B118" s="10"/>
      <c r="C118" s="9"/>
      <c r="D118" s="20"/>
      <c r="E118" s="9">
        <f>IF($D118="","",IFERROR(VLOOKUP($D118,'Plan comptable'!$H:$I,2,FALSE),"compte hors plan"))</f>
      </c>
      <c r="F118" s="9"/>
      <c r="G118" s="10"/>
      <c r="H118" s="11"/>
      <c r="I118" s="11"/>
      <c r="J118" s="10">
        <f>IF($D118="","",IF(AND($H118&lt;&gt;"",$I118&lt;&gt;""),"débit ET crédit",IF(AND($H118="",$I118=""),"montant manquant",IF(ISNA(MATCH($D118,'Plan comptable'!$H:$H,0)),"compte hors plan",IF(AND($A118&lt;&gt;"",YEAR($A118)&lt;&gt;Exercice),"hors exercice","")))))</f>
      </c>
    </row>
    <row r="119">
      <c r="A119" s="13"/>
      <c r="B119" s="10"/>
      <c r="C119" s="9"/>
      <c r="D119" s="20"/>
      <c r="E119" s="9">
        <f>IF($D119="","",IFERROR(VLOOKUP($D119,'Plan comptable'!$H:$I,2,FALSE),"compte hors plan"))</f>
      </c>
      <c r="F119" s="9"/>
      <c r="G119" s="10"/>
      <c r="H119" s="11"/>
      <c r="I119" s="11"/>
      <c r="J119" s="10">
        <f>IF($D119="","",IF(AND($H119&lt;&gt;"",$I119&lt;&gt;""),"débit ET crédit",IF(AND($H119="",$I119=""),"montant manquant",IF(ISNA(MATCH($D119,'Plan comptable'!$H:$H,0)),"compte hors plan",IF(AND($A119&lt;&gt;"",YEAR($A119)&lt;&gt;Exercice),"hors exercice","")))))</f>
      </c>
    </row>
    <row r="120">
      <c r="A120" s="13"/>
      <c r="B120" s="10"/>
      <c r="C120" s="9"/>
      <c r="D120" s="20"/>
      <c r="E120" s="9">
        <f>IF($D120="","",IFERROR(VLOOKUP($D120,'Plan comptable'!$H:$I,2,FALSE),"compte hors plan"))</f>
      </c>
      <c r="F120" s="9"/>
      <c r="G120" s="10"/>
      <c r="H120" s="11"/>
      <c r="I120" s="11"/>
      <c r="J120" s="10">
        <f>IF($D120="","",IF(AND($H120&lt;&gt;"",$I120&lt;&gt;""),"débit ET crédit",IF(AND($H120="",$I120=""),"montant manquant",IF(ISNA(MATCH($D120,'Plan comptable'!$H:$H,0)),"compte hors plan",IF(AND($A120&lt;&gt;"",YEAR($A120)&lt;&gt;Exercice),"hors exercice","")))))</f>
      </c>
    </row>
    <row r="121">
      <c r="A121" s="13"/>
      <c r="B121" s="10"/>
      <c r="C121" s="9"/>
      <c r="D121" s="20"/>
      <c r="E121" s="9">
        <f>IF($D121="","",IFERROR(VLOOKUP($D121,'Plan comptable'!$H:$I,2,FALSE),"compte hors plan"))</f>
      </c>
      <c r="F121" s="9"/>
      <c r="G121" s="10"/>
      <c r="H121" s="11"/>
      <c r="I121" s="11"/>
      <c r="J121" s="10">
        <f>IF($D121="","",IF(AND($H121&lt;&gt;"",$I121&lt;&gt;""),"débit ET crédit",IF(AND($H121="",$I121=""),"montant manquant",IF(ISNA(MATCH($D121,'Plan comptable'!$H:$H,0)),"compte hors plan",IF(AND($A121&lt;&gt;"",YEAR($A121)&lt;&gt;Exercice),"hors exercice","")))))</f>
      </c>
    </row>
    <row r="122">
      <c r="A122" s="13"/>
      <c r="B122" s="10"/>
      <c r="C122" s="9"/>
      <c r="D122" s="20"/>
      <c r="E122" s="9">
        <f>IF($D122="","",IFERROR(VLOOKUP($D122,'Plan comptable'!$H:$I,2,FALSE),"compte hors plan"))</f>
      </c>
      <c r="F122" s="9"/>
      <c r="G122" s="10"/>
      <c r="H122" s="11"/>
      <c r="I122" s="11"/>
      <c r="J122" s="10">
        <f>IF($D122="","",IF(AND($H122&lt;&gt;"",$I122&lt;&gt;""),"débit ET crédit",IF(AND($H122="",$I122=""),"montant manquant",IF(ISNA(MATCH($D122,'Plan comptable'!$H:$H,0)),"compte hors plan",IF(AND($A122&lt;&gt;"",YEAR($A122)&lt;&gt;Exercice),"hors exercice","")))))</f>
      </c>
    </row>
    <row r="123">
      <c r="A123" s="13"/>
      <c r="B123" s="10"/>
      <c r="C123" s="9"/>
      <c r="D123" s="20"/>
      <c r="E123" s="9">
        <f>IF($D123="","",IFERROR(VLOOKUP($D123,'Plan comptable'!$H:$I,2,FALSE),"compte hors plan"))</f>
      </c>
      <c r="F123" s="9"/>
      <c r="G123" s="10"/>
      <c r="H123" s="11"/>
      <c r="I123" s="11"/>
      <c r="J123" s="10">
        <f>IF($D123="","",IF(AND($H123&lt;&gt;"",$I123&lt;&gt;""),"débit ET crédit",IF(AND($H123="",$I123=""),"montant manquant",IF(ISNA(MATCH($D123,'Plan comptable'!$H:$H,0)),"compte hors plan",IF(AND($A123&lt;&gt;"",YEAR($A123)&lt;&gt;Exercice),"hors exercice","")))))</f>
      </c>
    </row>
    <row r="124">
      <c r="A124" s="13"/>
      <c r="B124" s="10"/>
      <c r="C124" s="9"/>
      <c r="D124" s="20"/>
      <c r="E124" s="9">
        <f>IF($D124="","",IFERROR(VLOOKUP($D124,'Plan comptable'!$H:$I,2,FALSE),"compte hors plan"))</f>
      </c>
      <c r="F124" s="9"/>
      <c r="G124" s="10"/>
      <c r="H124" s="11"/>
      <c r="I124" s="11"/>
      <c r="J124" s="10">
        <f>IF($D124="","",IF(AND($H124&lt;&gt;"",$I124&lt;&gt;""),"débit ET crédit",IF(AND($H124="",$I124=""),"montant manquant",IF(ISNA(MATCH($D124,'Plan comptable'!$H:$H,0)),"compte hors plan",IF(AND($A124&lt;&gt;"",YEAR($A124)&lt;&gt;Exercice),"hors exercice","")))))</f>
      </c>
    </row>
    <row r="125">
      <c r="A125" s="13"/>
      <c r="B125" s="10"/>
      <c r="C125" s="9"/>
      <c r="D125" s="20"/>
      <c r="E125" s="9">
        <f>IF($D125="","",IFERROR(VLOOKUP($D125,'Plan comptable'!$H:$I,2,FALSE),"compte hors plan"))</f>
      </c>
      <c r="F125" s="9"/>
      <c r="G125" s="10"/>
      <c r="H125" s="11"/>
      <c r="I125" s="11"/>
      <c r="J125" s="10">
        <f>IF($D125="","",IF(AND($H125&lt;&gt;"",$I125&lt;&gt;""),"débit ET crédit",IF(AND($H125="",$I125=""),"montant manquant",IF(ISNA(MATCH($D125,'Plan comptable'!$H:$H,0)),"compte hors plan",IF(AND($A125&lt;&gt;"",YEAR($A125)&lt;&gt;Exercice),"hors exercice","")))))</f>
      </c>
    </row>
    <row r="126">
      <c r="A126" s="13"/>
      <c r="B126" s="10"/>
      <c r="C126" s="9"/>
      <c r="D126" s="20"/>
      <c r="E126" s="9">
        <f>IF($D126="","",IFERROR(VLOOKUP($D126,'Plan comptable'!$H:$I,2,FALSE),"compte hors plan"))</f>
      </c>
      <c r="F126" s="9"/>
      <c r="G126" s="10"/>
      <c r="H126" s="11"/>
      <c r="I126" s="11"/>
      <c r="J126" s="10">
        <f>IF($D126="","",IF(AND($H126&lt;&gt;"",$I126&lt;&gt;""),"débit ET crédit",IF(AND($H126="",$I126=""),"montant manquant",IF(ISNA(MATCH($D126,'Plan comptable'!$H:$H,0)),"compte hors plan",IF(AND($A126&lt;&gt;"",YEAR($A126)&lt;&gt;Exercice),"hors exercice","")))))</f>
      </c>
    </row>
    <row r="127">
      <c r="A127" s="13"/>
      <c r="B127" s="10"/>
      <c r="C127" s="9"/>
      <c r="D127" s="20"/>
      <c r="E127" s="9">
        <f>IF($D127="","",IFERROR(VLOOKUP($D127,'Plan comptable'!$H:$I,2,FALSE),"compte hors plan"))</f>
      </c>
      <c r="F127" s="9"/>
      <c r="G127" s="10"/>
      <c r="H127" s="11"/>
      <c r="I127" s="11"/>
      <c r="J127" s="10">
        <f>IF($D127="","",IF(AND($H127&lt;&gt;"",$I127&lt;&gt;""),"débit ET crédit",IF(AND($H127="",$I127=""),"montant manquant",IF(ISNA(MATCH($D127,'Plan comptable'!$H:$H,0)),"compte hors plan",IF(AND($A127&lt;&gt;"",YEAR($A127)&lt;&gt;Exercice),"hors exercice","")))))</f>
      </c>
    </row>
    <row r="128">
      <c r="A128" s="13"/>
      <c r="B128" s="10"/>
      <c r="C128" s="9"/>
      <c r="D128" s="20"/>
      <c r="E128" s="9">
        <f>IF($D128="","",IFERROR(VLOOKUP($D128,'Plan comptable'!$H:$I,2,FALSE),"compte hors plan"))</f>
      </c>
      <c r="F128" s="9"/>
      <c r="G128" s="10"/>
      <c r="H128" s="11"/>
      <c r="I128" s="11"/>
      <c r="J128" s="10">
        <f>IF($D128="","",IF(AND($H128&lt;&gt;"",$I128&lt;&gt;""),"débit ET crédit",IF(AND($H128="",$I128=""),"montant manquant",IF(ISNA(MATCH($D128,'Plan comptable'!$H:$H,0)),"compte hors plan",IF(AND($A128&lt;&gt;"",YEAR($A128)&lt;&gt;Exercice),"hors exercice","")))))</f>
      </c>
    </row>
    <row r="129">
      <c r="A129" s="13"/>
      <c r="B129" s="10"/>
      <c r="C129" s="9"/>
      <c r="D129" s="20"/>
      <c r="E129" s="9">
        <f>IF($D129="","",IFERROR(VLOOKUP($D129,'Plan comptable'!$H:$I,2,FALSE),"compte hors plan"))</f>
      </c>
      <c r="F129" s="9"/>
      <c r="G129" s="10"/>
      <c r="H129" s="11"/>
      <c r="I129" s="11"/>
      <c r="J129" s="10">
        <f>IF($D129="","",IF(AND($H129&lt;&gt;"",$I129&lt;&gt;""),"débit ET crédit",IF(AND($H129="",$I129=""),"montant manquant",IF(ISNA(MATCH($D129,'Plan comptable'!$H:$H,0)),"compte hors plan",IF(AND($A129&lt;&gt;"",YEAR($A129)&lt;&gt;Exercice),"hors exercice","")))))</f>
      </c>
    </row>
    <row r="130">
      <c r="A130" s="13"/>
      <c r="B130" s="10"/>
      <c r="C130" s="9"/>
      <c r="D130" s="20"/>
      <c r="E130" s="9">
        <f>IF($D130="","",IFERROR(VLOOKUP($D130,'Plan comptable'!$H:$I,2,FALSE),"compte hors plan"))</f>
      </c>
      <c r="F130" s="9"/>
      <c r="G130" s="10"/>
      <c r="H130" s="11"/>
      <c r="I130" s="11"/>
      <c r="J130" s="10">
        <f>IF($D130="","",IF(AND($H130&lt;&gt;"",$I130&lt;&gt;""),"débit ET crédit",IF(AND($H130="",$I130=""),"montant manquant",IF(ISNA(MATCH($D130,'Plan comptable'!$H:$H,0)),"compte hors plan",IF(AND($A130&lt;&gt;"",YEAR($A130)&lt;&gt;Exercice),"hors exercice","")))))</f>
      </c>
    </row>
    <row r="131">
      <c r="A131" s="13"/>
      <c r="B131" s="10"/>
      <c r="C131" s="9"/>
      <c r="D131" s="20"/>
      <c r="E131" s="9">
        <f>IF($D131="","",IFERROR(VLOOKUP($D131,'Plan comptable'!$H:$I,2,FALSE),"compte hors plan"))</f>
      </c>
      <c r="F131" s="9"/>
      <c r="G131" s="10"/>
      <c r="H131" s="11"/>
      <c r="I131" s="11"/>
      <c r="J131" s="10">
        <f>IF($D131="","",IF(AND($H131&lt;&gt;"",$I131&lt;&gt;""),"débit ET crédit",IF(AND($H131="",$I131=""),"montant manquant",IF(ISNA(MATCH($D131,'Plan comptable'!$H:$H,0)),"compte hors plan",IF(AND($A131&lt;&gt;"",YEAR($A131)&lt;&gt;Exercice),"hors exercice","")))))</f>
      </c>
    </row>
    <row r="132">
      <c r="A132" s="13"/>
      <c r="B132" s="10"/>
      <c r="C132" s="9"/>
      <c r="D132" s="20"/>
      <c r="E132" s="9">
        <f>IF($D132="","",IFERROR(VLOOKUP($D132,'Plan comptable'!$H:$I,2,FALSE),"compte hors plan"))</f>
      </c>
      <c r="F132" s="9"/>
      <c r="G132" s="10"/>
      <c r="H132" s="11"/>
      <c r="I132" s="11"/>
      <c r="J132" s="10">
        <f>IF($D132="","",IF(AND($H132&lt;&gt;"",$I132&lt;&gt;""),"débit ET crédit",IF(AND($H132="",$I132=""),"montant manquant",IF(ISNA(MATCH($D132,'Plan comptable'!$H:$H,0)),"compte hors plan",IF(AND($A132&lt;&gt;"",YEAR($A132)&lt;&gt;Exercice),"hors exercice","")))))</f>
      </c>
    </row>
    <row r="133">
      <c r="A133" s="13"/>
      <c r="B133" s="10"/>
      <c r="C133" s="9"/>
      <c r="D133" s="20"/>
      <c r="E133" s="9">
        <f>IF($D133="","",IFERROR(VLOOKUP($D133,'Plan comptable'!$H:$I,2,FALSE),"compte hors plan"))</f>
      </c>
      <c r="F133" s="9"/>
      <c r="G133" s="10"/>
      <c r="H133" s="11"/>
      <c r="I133" s="11"/>
      <c r="J133" s="10">
        <f>IF($D133="","",IF(AND($H133&lt;&gt;"",$I133&lt;&gt;""),"débit ET crédit",IF(AND($H133="",$I133=""),"montant manquant",IF(ISNA(MATCH($D133,'Plan comptable'!$H:$H,0)),"compte hors plan",IF(AND($A133&lt;&gt;"",YEAR($A133)&lt;&gt;Exercice),"hors exercice","")))))</f>
      </c>
    </row>
    <row r="134">
      <c r="A134" s="13"/>
      <c r="B134" s="10"/>
      <c r="C134" s="9"/>
      <c r="D134" s="20"/>
      <c r="E134" s="9">
        <f>IF($D134="","",IFERROR(VLOOKUP($D134,'Plan comptable'!$H:$I,2,FALSE),"compte hors plan"))</f>
      </c>
      <c r="F134" s="9"/>
      <c r="G134" s="10"/>
      <c r="H134" s="11"/>
      <c r="I134" s="11"/>
      <c r="J134" s="10">
        <f>IF($D134="","",IF(AND($H134&lt;&gt;"",$I134&lt;&gt;""),"débit ET crédit",IF(AND($H134="",$I134=""),"montant manquant",IF(ISNA(MATCH($D134,'Plan comptable'!$H:$H,0)),"compte hors plan",IF(AND($A134&lt;&gt;"",YEAR($A134)&lt;&gt;Exercice),"hors exercice","")))))</f>
      </c>
    </row>
    <row r="135">
      <c r="A135" s="13"/>
      <c r="B135" s="10"/>
      <c r="C135" s="9"/>
      <c r="D135" s="20"/>
      <c r="E135" s="9">
        <f>IF($D135="","",IFERROR(VLOOKUP($D135,'Plan comptable'!$H:$I,2,FALSE),"compte hors plan"))</f>
      </c>
      <c r="F135" s="9"/>
      <c r="G135" s="10"/>
      <c r="H135" s="11"/>
      <c r="I135" s="11"/>
      <c r="J135" s="10">
        <f>IF($D135="","",IF(AND($H135&lt;&gt;"",$I135&lt;&gt;""),"débit ET crédit",IF(AND($H135="",$I135=""),"montant manquant",IF(ISNA(MATCH($D135,'Plan comptable'!$H:$H,0)),"compte hors plan",IF(AND($A135&lt;&gt;"",YEAR($A135)&lt;&gt;Exercice),"hors exercice","")))))</f>
      </c>
    </row>
    <row r="136">
      <c r="A136" s="13"/>
      <c r="B136" s="10"/>
      <c r="C136" s="9"/>
      <c r="D136" s="20"/>
      <c r="E136" s="9">
        <f>IF($D136="","",IFERROR(VLOOKUP($D136,'Plan comptable'!$H:$I,2,FALSE),"compte hors plan"))</f>
      </c>
      <c r="F136" s="9"/>
      <c r="G136" s="10"/>
      <c r="H136" s="11"/>
      <c r="I136" s="11"/>
      <c r="J136" s="10">
        <f>IF($D136="","",IF(AND($H136&lt;&gt;"",$I136&lt;&gt;""),"débit ET crédit",IF(AND($H136="",$I136=""),"montant manquant",IF(ISNA(MATCH($D136,'Plan comptable'!$H:$H,0)),"compte hors plan",IF(AND($A136&lt;&gt;"",YEAR($A136)&lt;&gt;Exercice),"hors exercice","")))))</f>
      </c>
    </row>
    <row r="137">
      <c r="A137" s="13"/>
      <c r="B137" s="10"/>
      <c r="C137" s="9"/>
      <c r="D137" s="20"/>
      <c r="E137" s="9">
        <f>IF($D137="","",IFERROR(VLOOKUP($D137,'Plan comptable'!$H:$I,2,FALSE),"compte hors plan"))</f>
      </c>
      <c r="F137" s="9"/>
      <c r="G137" s="10"/>
      <c r="H137" s="11"/>
      <c r="I137" s="11"/>
      <c r="J137" s="10">
        <f>IF($D137="","",IF(AND($H137&lt;&gt;"",$I137&lt;&gt;""),"débit ET crédit",IF(AND($H137="",$I137=""),"montant manquant",IF(ISNA(MATCH($D137,'Plan comptable'!$H:$H,0)),"compte hors plan",IF(AND($A137&lt;&gt;"",YEAR($A137)&lt;&gt;Exercice),"hors exercice","")))))</f>
      </c>
    </row>
    <row r="138">
      <c r="A138" s="13"/>
      <c r="B138" s="10"/>
      <c r="C138" s="9"/>
      <c r="D138" s="20"/>
      <c r="E138" s="9">
        <f>IF($D138="","",IFERROR(VLOOKUP($D138,'Plan comptable'!$H:$I,2,FALSE),"compte hors plan"))</f>
      </c>
      <c r="F138" s="9"/>
      <c r="G138" s="10"/>
      <c r="H138" s="11"/>
      <c r="I138" s="11"/>
      <c r="J138" s="10">
        <f>IF($D138="","",IF(AND($H138&lt;&gt;"",$I138&lt;&gt;""),"débit ET crédit",IF(AND($H138="",$I138=""),"montant manquant",IF(ISNA(MATCH($D138,'Plan comptable'!$H:$H,0)),"compte hors plan",IF(AND($A138&lt;&gt;"",YEAR($A138)&lt;&gt;Exercice),"hors exercice","")))))</f>
      </c>
    </row>
    <row r="139">
      <c r="A139" s="13"/>
      <c r="B139" s="10"/>
      <c r="C139" s="9"/>
      <c r="D139" s="20"/>
      <c r="E139" s="9">
        <f>IF($D139="","",IFERROR(VLOOKUP($D139,'Plan comptable'!$H:$I,2,FALSE),"compte hors plan"))</f>
      </c>
      <c r="F139" s="9"/>
      <c r="G139" s="10"/>
      <c r="H139" s="11"/>
      <c r="I139" s="11"/>
      <c r="J139" s="10">
        <f>IF($D139="","",IF(AND($H139&lt;&gt;"",$I139&lt;&gt;""),"débit ET crédit",IF(AND($H139="",$I139=""),"montant manquant",IF(ISNA(MATCH($D139,'Plan comptable'!$H:$H,0)),"compte hors plan",IF(AND($A139&lt;&gt;"",YEAR($A139)&lt;&gt;Exercice),"hors exercice","")))))</f>
      </c>
    </row>
    <row r="140">
      <c r="A140" s="13"/>
      <c r="B140" s="10"/>
      <c r="C140" s="9"/>
      <c r="D140" s="20"/>
      <c r="E140" s="9">
        <f>IF($D140="","",IFERROR(VLOOKUP($D140,'Plan comptable'!$H:$I,2,FALSE),"compte hors plan"))</f>
      </c>
      <c r="F140" s="9"/>
      <c r="G140" s="10"/>
      <c r="H140" s="11"/>
      <c r="I140" s="11"/>
      <c r="J140" s="10">
        <f>IF($D140="","",IF(AND($H140&lt;&gt;"",$I140&lt;&gt;""),"débit ET crédit",IF(AND($H140="",$I140=""),"montant manquant",IF(ISNA(MATCH($D140,'Plan comptable'!$H:$H,0)),"compte hors plan",IF(AND($A140&lt;&gt;"",YEAR($A140)&lt;&gt;Exercice),"hors exercice","")))))</f>
      </c>
    </row>
    <row r="141">
      <c r="A141" s="13"/>
      <c r="B141" s="10"/>
      <c r="C141" s="9"/>
      <c r="D141" s="20"/>
      <c r="E141" s="9">
        <f>IF($D141="","",IFERROR(VLOOKUP($D141,'Plan comptable'!$H:$I,2,FALSE),"compte hors plan"))</f>
      </c>
      <c r="F141" s="9"/>
      <c r="G141" s="10"/>
      <c r="H141" s="11"/>
      <c r="I141" s="11"/>
      <c r="J141" s="10">
        <f>IF($D141="","",IF(AND($H141&lt;&gt;"",$I141&lt;&gt;""),"débit ET crédit",IF(AND($H141="",$I141=""),"montant manquant",IF(ISNA(MATCH($D141,'Plan comptable'!$H:$H,0)),"compte hors plan",IF(AND($A141&lt;&gt;"",YEAR($A141)&lt;&gt;Exercice),"hors exercice","")))))</f>
      </c>
    </row>
    <row r="142">
      <c r="A142" s="13"/>
      <c r="B142" s="10"/>
      <c r="C142" s="9"/>
      <c r="D142" s="20"/>
      <c r="E142" s="9">
        <f>IF($D142="","",IFERROR(VLOOKUP($D142,'Plan comptable'!$H:$I,2,FALSE),"compte hors plan"))</f>
      </c>
      <c r="F142" s="9"/>
      <c r="G142" s="10"/>
      <c r="H142" s="11"/>
      <c r="I142" s="11"/>
      <c r="J142" s="10">
        <f>IF($D142="","",IF(AND($H142&lt;&gt;"",$I142&lt;&gt;""),"débit ET crédit",IF(AND($H142="",$I142=""),"montant manquant",IF(ISNA(MATCH($D142,'Plan comptable'!$H:$H,0)),"compte hors plan",IF(AND($A142&lt;&gt;"",YEAR($A142)&lt;&gt;Exercice),"hors exercice","")))))</f>
      </c>
    </row>
    <row r="143">
      <c r="A143" s="13"/>
      <c r="B143" s="10"/>
      <c r="C143" s="9"/>
      <c r="D143" s="20"/>
      <c r="E143" s="9">
        <f>IF($D143="","",IFERROR(VLOOKUP($D143,'Plan comptable'!$H:$I,2,FALSE),"compte hors plan"))</f>
      </c>
      <c r="F143" s="9"/>
      <c r="G143" s="10"/>
      <c r="H143" s="11"/>
      <c r="I143" s="11"/>
      <c r="J143" s="10">
        <f>IF($D143="","",IF(AND($H143&lt;&gt;"",$I143&lt;&gt;""),"débit ET crédit",IF(AND($H143="",$I143=""),"montant manquant",IF(ISNA(MATCH($D143,'Plan comptable'!$H:$H,0)),"compte hors plan",IF(AND($A143&lt;&gt;"",YEAR($A143)&lt;&gt;Exercice),"hors exercice","")))))</f>
      </c>
    </row>
    <row r="144">
      <c r="A144" s="13"/>
      <c r="B144" s="10"/>
      <c r="C144" s="9"/>
      <c r="D144" s="20"/>
      <c r="E144" s="9">
        <f>IF($D144="","",IFERROR(VLOOKUP($D144,'Plan comptable'!$H:$I,2,FALSE),"compte hors plan"))</f>
      </c>
      <c r="F144" s="9"/>
      <c r="G144" s="10"/>
      <c r="H144" s="11"/>
      <c r="I144" s="11"/>
      <c r="J144" s="10">
        <f>IF($D144="","",IF(AND($H144&lt;&gt;"",$I144&lt;&gt;""),"débit ET crédit",IF(AND($H144="",$I144=""),"montant manquant",IF(ISNA(MATCH($D144,'Plan comptable'!$H:$H,0)),"compte hors plan",IF(AND($A144&lt;&gt;"",YEAR($A144)&lt;&gt;Exercice),"hors exercice","")))))</f>
      </c>
    </row>
    <row r="145">
      <c r="A145" s="13"/>
      <c r="B145" s="10"/>
      <c r="C145" s="9"/>
      <c r="D145" s="20"/>
      <c r="E145" s="9">
        <f>IF($D145="","",IFERROR(VLOOKUP($D145,'Plan comptable'!$H:$I,2,FALSE),"compte hors plan"))</f>
      </c>
      <c r="F145" s="9"/>
      <c r="G145" s="10"/>
      <c r="H145" s="11"/>
      <c r="I145" s="11"/>
      <c r="J145" s="10">
        <f>IF($D145="","",IF(AND($H145&lt;&gt;"",$I145&lt;&gt;""),"débit ET crédit",IF(AND($H145="",$I145=""),"montant manquant",IF(ISNA(MATCH($D145,'Plan comptable'!$H:$H,0)),"compte hors plan",IF(AND($A145&lt;&gt;"",YEAR($A145)&lt;&gt;Exercice),"hors exercice","")))))</f>
      </c>
    </row>
    <row r="146">
      <c r="A146" s="13"/>
      <c r="B146" s="10"/>
      <c r="C146" s="9"/>
      <c r="D146" s="20"/>
      <c r="E146" s="9">
        <f>IF($D146="","",IFERROR(VLOOKUP($D146,'Plan comptable'!$H:$I,2,FALSE),"compte hors plan"))</f>
      </c>
      <c r="F146" s="9"/>
      <c r="G146" s="10"/>
      <c r="H146" s="11"/>
      <c r="I146" s="11"/>
      <c r="J146" s="10">
        <f>IF($D146="","",IF(AND($H146&lt;&gt;"",$I146&lt;&gt;""),"débit ET crédit",IF(AND($H146="",$I146=""),"montant manquant",IF(ISNA(MATCH($D146,'Plan comptable'!$H:$H,0)),"compte hors plan",IF(AND($A146&lt;&gt;"",YEAR($A146)&lt;&gt;Exercice),"hors exercice","")))))</f>
      </c>
    </row>
    <row r="147">
      <c r="A147" s="13"/>
      <c r="B147" s="10"/>
      <c r="C147" s="9"/>
      <c r="D147" s="20"/>
      <c r="E147" s="9">
        <f>IF($D147="","",IFERROR(VLOOKUP($D147,'Plan comptable'!$H:$I,2,FALSE),"compte hors plan"))</f>
      </c>
      <c r="F147" s="9"/>
      <c r="G147" s="10"/>
      <c r="H147" s="11"/>
      <c r="I147" s="11"/>
      <c r="J147" s="10">
        <f>IF($D147="","",IF(AND($H147&lt;&gt;"",$I147&lt;&gt;""),"débit ET crédit",IF(AND($H147="",$I147=""),"montant manquant",IF(ISNA(MATCH($D147,'Plan comptable'!$H:$H,0)),"compte hors plan",IF(AND($A147&lt;&gt;"",YEAR($A147)&lt;&gt;Exercice),"hors exercice","")))))</f>
      </c>
    </row>
    <row r="148">
      <c r="A148" s="13"/>
      <c r="B148" s="10"/>
      <c r="C148" s="9"/>
      <c r="D148" s="20"/>
      <c r="E148" s="9">
        <f>IF($D148="","",IFERROR(VLOOKUP($D148,'Plan comptable'!$H:$I,2,FALSE),"compte hors plan"))</f>
      </c>
      <c r="F148" s="9"/>
      <c r="G148" s="10"/>
      <c r="H148" s="11"/>
      <c r="I148" s="11"/>
      <c r="J148" s="10">
        <f>IF($D148="","",IF(AND($H148&lt;&gt;"",$I148&lt;&gt;""),"débit ET crédit",IF(AND($H148="",$I148=""),"montant manquant",IF(ISNA(MATCH($D148,'Plan comptable'!$H:$H,0)),"compte hors plan",IF(AND($A148&lt;&gt;"",YEAR($A148)&lt;&gt;Exercice),"hors exercice","")))))</f>
      </c>
    </row>
    <row r="149">
      <c r="A149" s="13"/>
      <c r="B149" s="10"/>
      <c r="C149" s="9"/>
      <c r="D149" s="20"/>
      <c r="E149" s="9">
        <f>IF($D149="","",IFERROR(VLOOKUP($D149,'Plan comptable'!$H:$I,2,FALSE),"compte hors plan"))</f>
      </c>
      <c r="F149" s="9"/>
      <c r="G149" s="10"/>
      <c r="H149" s="11"/>
      <c r="I149" s="11"/>
      <c r="J149" s="10">
        <f>IF($D149="","",IF(AND($H149&lt;&gt;"",$I149&lt;&gt;""),"débit ET crédit",IF(AND($H149="",$I149=""),"montant manquant",IF(ISNA(MATCH($D149,'Plan comptable'!$H:$H,0)),"compte hors plan",IF(AND($A149&lt;&gt;"",YEAR($A149)&lt;&gt;Exercice),"hors exercice","")))))</f>
      </c>
    </row>
    <row r="150">
      <c r="A150" s="13"/>
      <c r="B150" s="10"/>
      <c r="C150" s="9"/>
      <c r="D150" s="20"/>
      <c r="E150" s="9">
        <f>IF($D150="","",IFERROR(VLOOKUP($D150,'Plan comptable'!$H:$I,2,FALSE),"compte hors plan"))</f>
      </c>
      <c r="F150" s="9"/>
      <c r="G150" s="10"/>
      <c r="H150" s="11"/>
      <c r="I150" s="11"/>
      <c r="J150" s="10">
        <f>IF($D150="","",IF(AND($H150&lt;&gt;"",$I150&lt;&gt;""),"débit ET crédit",IF(AND($H150="",$I150=""),"montant manquant",IF(ISNA(MATCH($D150,'Plan comptable'!$H:$H,0)),"compte hors plan",IF(AND($A150&lt;&gt;"",YEAR($A150)&lt;&gt;Exercice),"hors exercice","")))))</f>
      </c>
    </row>
    <row r="151">
      <c r="A151" s="13"/>
      <c r="B151" s="10"/>
      <c r="C151" s="9"/>
      <c r="D151" s="20"/>
      <c r="E151" s="9">
        <f>IF($D151="","",IFERROR(VLOOKUP($D151,'Plan comptable'!$H:$I,2,FALSE),"compte hors plan"))</f>
      </c>
      <c r="F151" s="9"/>
      <c r="G151" s="10"/>
      <c r="H151" s="11"/>
      <c r="I151" s="11"/>
      <c r="J151" s="10">
        <f>IF($D151="","",IF(AND($H151&lt;&gt;"",$I151&lt;&gt;""),"débit ET crédit",IF(AND($H151="",$I151=""),"montant manquant",IF(ISNA(MATCH($D151,'Plan comptable'!$H:$H,0)),"compte hors plan",IF(AND($A151&lt;&gt;"",YEAR($A151)&lt;&gt;Exercice),"hors exercice","")))))</f>
      </c>
    </row>
    <row r="152">
      <c r="A152" s="13"/>
      <c r="B152" s="10"/>
      <c r="C152" s="9"/>
      <c r="D152" s="20"/>
      <c r="E152" s="9">
        <f>IF($D152="","",IFERROR(VLOOKUP($D152,'Plan comptable'!$H:$I,2,FALSE),"compte hors plan"))</f>
      </c>
      <c r="F152" s="9"/>
      <c r="G152" s="10"/>
      <c r="H152" s="11"/>
      <c r="I152" s="11"/>
      <c r="J152" s="10">
        <f>IF($D152="","",IF(AND($H152&lt;&gt;"",$I152&lt;&gt;""),"débit ET crédit",IF(AND($H152="",$I152=""),"montant manquant",IF(ISNA(MATCH($D152,'Plan comptable'!$H:$H,0)),"compte hors plan",IF(AND($A152&lt;&gt;"",YEAR($A152)&lt;&gt;Exercice),"hors exercice","")))))</f>
      </c>
    </row>
    <row r="153">
      <c r="A153" s="13"/>
      <c r="B153" s="10"/>
      <c r="C153" s="9"/>
      <c r="D153" s="20"/>
      <c r="E153" s="9">
        <f>IF($D153="","",IFERROR(VLOOKUP($D153,'Plan comptable'!$H:$I,2,FALSE),"compte hors plan"))</f>
      </c>
      <c r="F153" s="9"/>
      <c r="G153" s="10"/>
      <c r="H153" s="11"/>
      <c r="I153" s="11"/>
      <c r="J153" s="10">
        <f>IF($D153="","",IF(AND($H153&lt;&gt;"",$I153&lt;&gt;""),"débit ET crédit",IF(AND($H153="",$I153=""),"montant manquant",IF(ISNA(MATCH($D153,'Plan comptable'!$H:$H,0)),"compte hors plan",IF(AND($A153&lt;&gt;"",YEAR($A153)&lt;&gt;Exercice),"hors exercice","")))))</f>
      </c>
    </row>
    <row r="154">
      <c r="A154" s="13"/>
      <c r="B154" s="10"/>
      <c r="C154" s="9"/>
      <c r="D154" s="20"/>
      <c r="E154" s="9">
        <f>IF($D154="","",IFERROR(VLOOKUP($D154,'Plan comptable'!$H:$I,2,FALSE),"compte hors plan"))</f>
      </c>
      <c r="F154" s="9"/>
      <c r="G154" s="10"/>
      <c r="H154" s="11"/>
      <c r="I154" s="11"/>
      <c r="J154" s="10">
        <f>IF($D154="","",IF(AND($H154&lt;&gt;"",$I154&lt;&gt;""),"débit ET crédit",IF(AND($H154="",$I154=""),"montant manquant",IF(ISNA(MATCH($D154,'Plan comptable'!$H:$H,0)),"compte hors plan",IF(AND($A154&lt;&gt;"",YEAR($A154)&lt;&gt;Exercice),"hors exercice","")))))</f>
      </c>
    </row>
    <row r="155">
      <c r="A155" s="13"/>
      <c r="B155" s="10"/>
      <c r="C155" s="9"/>
      <c r="D155" s="20"/>
      <c r="E155" s="9">
        <f>IF($D155="","",IFERROR(VLOOKUP($D155,'Plan comptable'!$H:$I,2,FALSE),"compte hors plan"))</f>
      </c>
      <c r="F155" s="9"/>
      <c r="G155" s="10"/>
      <c r="H155" s="11"/>
      <c r="I155" s="11"/>
      <c r="J155" s="10">
        <f>IF($D155="","",IF(AND($H155&lt;&gt;"",$I155&lt;&gt;""),"débit ET crédit",IF(AND($H155="",$I155=""),"montant manquant",IF(ISNA(MATCH($D155,'Plan comptable'!$H:$H,0)),"compte hors plan",IF(AND($A155&lt;&gt;"",YEAR($A155)&lt;&gt;Exercice),"hors exercice","")))))</f>
      </c>
    </row>
    <row r="156">
      <c r="A156" s="13"/>
      <c r="B156" s="10"/>
      <c r="C156" s="9"/>
      <c r="D156" s="20"/>
      <c r="E156" s="9">
        <f>IF($D156="","",IFERROR(VLOOKUP($D156,'Plan comptable'!$H:$I,2,FALSE),"compte hors plan"))</f>
      </c>
      <c r="F156" s="9"/>
      <c r="G156" s="10"/>
      <c r="H156" s="11"/>
      <c r="I156" s="11"/>
      <c r="J156" s="10">
        <f>IF($D156="","",IF(AND($H156&lt;&gt;"",$I156&lt;&gt;""),"débit ET crédit",IF(AND($H156="",$I156=""),"montant manquant",IF(ISNA(MATCH($D156,'Plan comptable'!$H:$H,0)),"compte hors plan",IF(AND($A156&lt;&gt;"",YEAR($A156)&lt;&gt;Exercice),"hors exercice","")))))</f>
      </c>
    </row>
    <row r="157">
      <c r="A157" s="13"/>
      <c r="B157" s="10"/>
      <c r="C157" s="9"/>
      <c r="D157" s="20"/>
      <c r="E157" s="9">
        <f>IF($D157="","",IFERROR(VLOOKUP($D157,'Plan comptable'!$H:$I,2,FALSE),"compte hors plan"))</f>
      </c>
      <c r="F157" s="9"/>
      <c r="G157" s="10"/>
      <c r="H157" s="11"/>
      <c r="I157" s="11"/>
      <c r="J157" s="10">
        <f>IF($D157="","",IF(AND($H157&lt;&gt;"",$I157&lt;&gt;""),"débit ET crédit",IF(AND($H157="",$I157=""),"montant manquant",IF(ISNA(MATCH($D157,'Plan comptable'!$H:$H,0)),"compte hors plan",IF(AND($A157&lt;&gt;"",YEAR($A157)&lt;&gt;Exercice),"hors exercice","")))))</f>
      </c>
    </row>
    <row r="158">
      <c r="A158" s="13"/>
      <c r="B158" s="10"/>
      <c r="C158" s="9"/>
      <c r="D158" s="20"/>
      <c r="E158" s="9">
        <f>IF($D158="","",IFERROR(VLOOKUP($D158,'Plan comptable'!$H:$I,2,FALSE),"compte hors plan"))</f>
      </c>
      <c r="F158" s="9"/>
      <c r="G158" s="10"/>
      <c r="H158" s="11"/>
      <c r="I158" s="11"/>
      <c r="J158" s="10">
        <f>IF($D158="","",IF(AND($H158&lt;&gt;"",$I158&lt;&gt;""),"débit ET crédit",IF(AND($H158="",$I158=""),"montant manquant",IF(ISNA(MATCH($D158,'Plan comptable'!$H:$H,0)),"compte hors plan",IF(AND($A158&lt;&gt;"",YEAR($A158)&lt;&gt;Exercice),"hors exercice","")))))</f>
      </c>
    </row>
    <row r="159">
      <c r="A159" s="13"/>
      <c r="B159" s="10"/>
      <c r="C159" s="9"/>
      <c r="D159" s="20"/>
      <c r="E159" s="9">
        <f>IF($D159="","",IFERROR(VLOOKUP($D159,'Plan comptable'!$H:$I,2,FALSE),"compte hors plan"))</f>
      </c>
      <c r="F159" s="9"/>
      <c r="G159" s="10"/>
      <c r="H159" s="11"/>
      <c r="I159" s="11"/>
      <c r="J159" s="10">
        <f>IF($D159="","",IF(AND($H159&lt;&gt;"",$I159&lt;&gt;""),"débit ET crédit",IF(AND($H159="",$I159=""),"montant manquant",IF(ISNA(MATCH($D159,'Plan comptable'!$H:$H,0)),"compte hors plan",IF(AND($A159&lt;&gt;"",YEAR($A159)&lt;&gt;Exercice),"hors exercice","")))))</f>
      </c>
    </row>
    <row r="160">
      <c r="A160" s="13"/>
      <c r="B160" s="10"/>
      <c r="C160" s="9"/>
      <c r="D160" s="20"/>
      <c r="E160" s="9">
        <f>IF($D160="","",IFERROR(VLOOKUP($D160,'Plan comptable'!$H:$I,2,FALSE),"compte hors plan"))</f>
      </c>
      <c r="F160" s="9"/>
      <c r="G160" s="10"/>
      <c r="H160" s="11"/>
      <c r="I160" s="11"/>
      <c r="J160" s="10">
        <f>IF($D160="","",IF(AND($H160&lt;&gt;"",$I160&lt;&gt;""),"débit ET crédit",IF(AND($H160="",$I160=""),"montant manquant",IF(ISNA(MATCH($D160,'Plan comptable'!$H:$H,0)),"compte hors plan",IF(AND($A160&lt;&gt;"",YEAR($A160)&lt;&gt;Exercice),"hors exercice","")))))</f>
      </c>
    </row>
    <row r="161">
      <c r="A161" s="13"/>
      <c r="B161" s="10"/>
      <c r="C161" s="9"/>
      <c r="D161" s="20"/>
      <c r="E161" s="9">
        <f>IF($D161="","",IFERROR(VLOOKUP($D161,'Plan comptable'!$H:$I,2,FALSE),"compte hors plan"))</f>
      </c>
      <c r="F161" s="9"/>
      <c r="G161" s="10"/>
      <c r="H161" s="11"/>
      <c r="I161" s="11"/>
      <c r="J161" s="10">
        <f>IF($D161="","",IF(AND($H161&lt;&gt;"",$I161&lt;&gt;""),"débit ET crédit",IF(AND($H161="",$I161=""),"montant manquant",IF(ISNA(MATCH($D161,'Plan comptable'!$H:$H,0)),"compte hors plan",IF(AND($A161&lt;&gt;"",YEAR($A161)&lt;&gt;Exercice),"hors exercice","")))))</f>
      </c>
    </row>
    <row r="162">
      <c r="A162" s="13"/>
      <c r="B162" s="10"/>
      <c r="C162" s="9"/>
      <c r="D162" s="20"/>
      <c r="E162" s="9">
        <f>IF($D162="","",IFERROR(VLOOKUP($D162,'Plan comptable'!$H:$I,2,FALSE),"compte hors plan"))</f>
      </c>
      <c r="F162" s="9"/>
      <c r="G162" s="10"/>
      <c r="H162" s="11"/>
      <c r="I162" s="11"/>
      <c r="J162" s="10">
        <f>IF($D162="","",IF(AND($H162&lt;&gt;"",$I162&lt;&gt;""),"débit ET crédit",IF(AND($H162="",$I162=""),"montant manquant",IF(ISNA(MATCH($D162,'Plan comptable'!$H:$H,0)),"compte hors plan",IF(AND($A162&lt;&gt;"",YEAR($A162)&lt;&gt;Exercice),"hors exercice","")))))</f>
      </c>
    </row>
    <row r="163">
      <c r="A163" s="13"/>
      <c r="B163" s="10"/>
      <c r="C163" s="9"/>
      <c r="D163" s="20"/>
      <c r="E163" s="9">
        <f>IF($D163="","",IFERROR(VLOOKUP($D163,'Plan comptable'!$H:$I,2,FALSE),"compte hors plan"))</f>
      </c>
      <c r="F163" s="9"/>
      <c r="G163" s="10"/>
      <c r="H163" s="11"/>
      <c r="I163" s="11"/>
      <c r="J163" s="10">
        <f>IF($D163="","",IF(AND($H163&lt;&gt;"",$I163&lt;&gt;""),"débit ET crédit",IF(AND($H163="",$I163=""),"montant manquant",IF(ISNA(MATCH($D163,'Plan comptable'!$H:$H,0)),"compte hors plan",IF(AND($A163&lt;&gt;"",YEAR($A163)&lt;&gt;Exercice),"hors exercice","")))))</f>
      </c>
    </row>
    <row r="164">
      <c r="A164" s="13"/>
      <c r="B164" s="10"/>
      <c r="C164" s="9"/>
      <c r="D164" s="20"/>
      <c r="E164" s="9">
        <f>IF($D164="","",IFERROR(VLOOKUP($D164,'Plan comptable'!$H:$I,2,FALSE),"compte hors plan"))</f>
      </c>
      <c r="F164" s="9"/>
      <c r="G164" s="10"/>
      <c r="H164" s="11"/>
      <c r="I164" s="11"/>
      <c r="J164" s="10">
        <f>IF($D164="","",IF(AND($H164&lt;&gt;"",$I164&lt;&gt;""),"débit ET crédit",IF(AND($H164="",$I164=""),"montant manquant",IF(ISNA(MATCH($D164,'Plan comptable'!$H:$H,0)),"compte hors plan",IF(AND($A164&lt;&gt;"",YEAR($A164)&lt;&gt;Exercice),"hors exercice","")))))</f>
      </c>
    </row>
    <row r="165">
      <c r="A165" s="13"/>
      <c r="B165" s="10"/>
      <c r="C165" s="9"/>
      <c r="D165" s="20"/>
      <c r="E165" s="9">
        <f>IF($D165="","",IFERROR(VLOOKUP($D165,'Plan comptable'!$H:$I,2,FALSE),"compte hors plan"))</f>
      </c>
      <c r="F165" s="9"/>
      <c r="G165" s="10"/>
      <c r="H165" s="11"/>
      <c r="I165" s="11"/>
      <c r="J165" s="10">
        <f>IF($D165="","",IF(AND($H165&lt;&gt;"",$I165&lt;&gt;""),"débit ET crédit",IF(AND($H165="",$I165=""),"montant manquant",IF(ISNA(MATCH($D165,'Plan comptable'!$H:$H,0)),"compte hors plan",IF(AND($A165&lt;&gt;"",YEAR($A165)&lt;&gt;Exercice),"hors exercice","")))))</f>
      </c>
    </row>
    <row r="166">
      <c r="A166" s="13"/>
      <c r="B166" s="10"/>
      <c r="C166" s="9"/>
      <c r="D166" s="20"/>
      <c r="E166" s="9">
        <f>IF($D166="","",IFERROR(VLOOKUP($D166,'Plan comptable'!$H:$I,2,FALSE),"compte hors plan"))</f>
      </c>
      <c r="F166" s="9"/>
      <c r="G166" s="10"/>
      <c r="H166" s="11"/>
      <c r="I166" s="11"/>
      <c r="J166" s="10">
        <f>IF($D166="","",IF(AND($H166&lt;&gt;"",$I166&lt;&gt;""),"débit ET crédit",IF(AND($H166="",$I166=""),"montant manquant",IF(ISNA(MATCH($D166,'Plan comptable'!$H:$H,0)),"compte hors plan",IF(AND($A166&lt;&gt;"",YEAR($A166)&lt;&gt;Exercice),"hors exercice","")))))</f>
      </c>
    </row>
    <row r="167">
      <c r="A167" s="13"/>
      <c r="B167" s="10"/>
      <c r="C167" s="9"/>
      <c r="D167" s="20"/>
      <c r="E167" s="9">
        <f>IF($D167="","",IFERROR(VLOOKUP($D167,'Plan comptable'!$H:$I,2,FALSE),"compte hors plan"))</f>
      </c>
      <c r="F167" s="9"/>
      <c r="G167" s="10"/>
      <c r="H167" s="11"/>
      <c r="I167" s="11"/>
      <c r="J167" s="10">
        <f>IF($D167="","",IF(AND($H167&lt;&gt;"",$I167&lt;&gt;""),"débit ET crédit",IF(AND($H167="",$I167=""),"montant manquant",IF(ISNA(MATCH($D167,'Plan comptable'!$H:$H,0)),"compte hors plan",IF(AND($A167&lt;&gt;"",YEAR($A167)&lt;&gt;Exercice),"hors exercice","")))))</f>
      </c>
    </row>
    <row r="168">
      <c r="A168" s="13"/>
      <c r="B168" s="10"/>
      <c r="C168" s="9"/>
      <c r="D168" s="20"/>
      <c r="E168" s="9">
        <f>IF($D168="","",IFERROR(VLOOKUP($D168,'Plan comptable'!$H:$I,2,FALSE),"compte hors plan"))</f>
      </c>
      <c r="F168" s="9"/>
      <c r="G168" s="10"/>
      <c r="H168" s="11"/>
      <c r="I168" s="11"/>
      <c r="J168" s="10">
        <f>IF($D168="","",IF(AND($H168&lt;&gt;"",$I168&lt;&gt;""),"débit ET crédit",IF(AND($H168="",$I168=""),"montant manquant",IF(ISNA(MATCH($D168,'Plan comptable'!$H:$H,0)),"compte hors plan",IF(AND($A168&lt;&gt;"",YEAR($A168)&lt;&gt;Exercice),"hors exercice","")))))</f>
      </c>
    </row>
    <row r="169">
      <c r="A169" s="13"/>
      <c r="B169" s="10"/>
      <c r="C169" s="9"/>
      <c r="D169" s="20"/>
      <c r="E169" s="9">
        <f>IF($D169="","",IFERROR(VLOOKUP($D169,'Plan comptable'!$H:$I,2,FALSE),"compte hors plan"))</f>
      </c>
      <c r="F169" s="9"/>
      <c r="G169" s="10"/>
      <c r="H169" s="11"/>
      <c r="I169" s="11"/>
      <c r="J169" s="10">
        <f>IF($D169="","",IF(AND($H169&lt;&gt;"",$I169&lt;&gt;""),"débit ET crédit",IF(AND($H169="",$I169=""),"montant manquant",IF(ISNA(MATCH($D169,'Plan comptable'!$H:$H,0)),"compte hors plan",IF(AND($A169&lt;&gt;"",YEAR($A169)&lt;&gt;Exercice),"hors exercice","")))))</f>
      </c>
    </row>
    <row r="170">
      <c r="A170" s="13"/>
      <c r="B170" s="10"/>
      <c r="C170" s="9"/>
      <c r="D170" s="20"/>
      <c r="E170" s="9">
        <f>IF($D170="","",IFERROR(VLOOKUP($D170,'Plan comptable'!$H:$I,2,FALSE),"compte hors plan"))</f>
      </c>
      <c r="F170" s="9"/>
      <c r="G170" s="10"/>
      <c r="H170" s="11"/>
      <c r="I170" s="11"/>
      <c r="J170" s="10">
        <f>IF($D170="","",IF(AND($H170&lt;&gt;"",$I170&lt;&gt;""),"débit ET crédit",IF(AND($H170="",$I170=""),"montant manquant",IF(ISNA(MATCH($D170,'Plan comptable'!$H:$H,0)),"compte hors plan",IF(AND($A170&lt;&gt;"",YEAR($A170)&lt;&gt;Exercice),"hors exercice","")))))</f>
      </c>
    </row>
    <row r="171">
      <c r="A171" s="13"/>
      <c r="B171" s="10"/>
      <c r="C171" s="9"/>
      <c r="D171" s="20"/>
      <c r="E171" s="9">
        <f>IF($D171="","",IFERROR(VLOOKUP($D171,'Plan comptable'!$H:$I,2,FALSE),"compte hors plan"))</f>
      </c>
      <c r="F171" s="9"/>
      <c r="G171" s="10"/>
      <c r="H171" s="11"/>
      <c r="I171" s="11"/>
      <c r="J171" s="10">
        <f>IF($D171="","",IF(AND($H171&lt;&gt;"",$I171&lt;&gt;""),"débit ET crédit",IF(AND($H171="",$I171=""),"montant manquant",IF(ISNA(MATCH($D171,'Plan comptable'!$H:$H,0)),"compte hors plan",IF(AND($A171&lt;&gt;"",YEAR($A171)&lt;&gt;Exercice),"hors exercice","")))))</f>
      </c>
    </row>
    <row r="172">
      <c r="A172" s="13"/>
      <c r="B172" s="10"/>
      <c r="C172" s="9"/>
      <c r="D172" s="20"/>
      <c r="E172" s="9">
        <f>IF($D172="","",IFERROR(VLOOKUP($D172,'Plan comptable'!$H:$I,2,FALSE),"compte hors plan"))</f>
      </c>
      <c r="F172" s="9"/>
      <c r="G172" s="10"/>
      <c r="H172" s="11"/>
      <c r="I172" s="11"/>
      <c r="J172" s="10">
        <f>IF($D172="","",IF(AND($H172&lt;&gt;"",$I172&lt;&gt;""),"débit ET crédit",IF(AND($H172="",$I172=""),"montant manquant",IF(ISNA(MATCH($D172,'Plan comptable'!$H:$H,0)),"compte hors plan",IF(AND($A172&lt;&gt;"",YEAR($A172)&lt;&gt;Exercice),"hors exercice","")))))</f>
      </c>
    </row>
    <row r="173">
      <c r="A173" s="13"/>
      <c r="B173" s="10"/>
      <c r="C173" s="9"/>
      <c r="D173" s="20"/>
      <c r="E173" s="9">
        <f>IF($D173="","",IFERROR(VLOOKUP($D173,'Plan comptable'!$H:$I,2,FALSE),"compte hors plan"))</f>
      </c>
      <c r="F173" s="9"/>
      <c r="G173" s="10"/>
      <c r="H173" s="11"/>
      <c r="I173" s="11"/>
      <c r="J173" s="10">
        <f>IF($D173="","",IF(AND($H173&lt;&gt;"",$I173&lt;&gt;""),"débit ET crédit",IF(AND($H173="",$I173=""),"montant manquant",IF(ISNA(MATCH($D173,'Plan comptable'!$H:$H,0)),"compte hors plan",IF(AND($A173&lt;&gt;"",YEAR($A173)&lt;&gt;Exercice),"hors exercice","")))))</f>
      </c>
    </row>
    <row r="174">
      <c r="A174" s="13"/>
      <c r="B174" s="10"/>
      <c r="C174" s="9"/>
      <c r="D174" s="20"/>
      <c r="E174" s="9">
        <f>IF($D174="","",IFERROR(VLOOKUP($D174,'Plan comptable'!$H:$I,2,FALSE),"compte hors plan"))</f>
      </c>
      <c r="F174" s="9"/>
      <c r="G174" s="10"/>
      <c r="H174" s="11"/>
      <c r="I174" s="11"/>
      <c r="J174" s="10">
        <f>IF($D174="","",IF(AND($H174&lt;&gt;"",$I174&lt;&gt;""),"débit ET crédit",IF(AND($H174="",$I174=""),"montant manquant",IF(ISNA(MATCH($D174,'Plan comptable'!$H:$H,0)),"compte hors plan",IF(AND($A174&lt;&gt;"",YEAR($A174)&lt;&gt;Exercice),"hors exercice","")))))</f>
      </c>
    </row>
    <row r="175">
      <c r="A175" s="13"/>
      <c r="B175" s="10"/>
      <c r="C175" s="9"/>
      <c r="D175" s="20"/>
      <c r="E175" s="9">
        <f>IF($D175="","",IFERROR(VLOOKUP($D175,'Plan comptable'!$H:$I,2,FALSE),"compte hors plan"))</f>
      </c>
      <c r="F175" s="9"/>
      <c r="G175" s="10"/>
      <c r="H175" s="11"/>
      <c r="I175" s="11"/>
      <c r="J175" s="10">
        <f>IF($D175="","",IF(AND($H175&lt;&gt;"",$I175&lt;&gt;""),"débit ET crédit",IF(AND($H175="",$I175=""),"montant manquant",IF(ISNA(MATCH($D175,'Plan comptable'!$H:$H,0)),"compte hors plan",IF(AND($A175&lt;&gt;"",YEAR($A175)&lt;&gt;Exercice),"hors exercice","")))))</f>
      </c>
    </row>
    <row r="176">
      <c r="A176" s="13"/>
      <c r="B176" s="10"/>
      <c r="C176" s="9"/>
      <c r="D176" s="20"/>
      <c r="E176" s="9">
        <f>IF($D176="","",IFERROR(VLOOKUP($D176,'Plan comptable'!$H:$I,2,FALSE),"compte hors plan"))</f>
      </c>
      <c r="F176" s="9"/>
      <c r="G176" s="10"/>
      <c r="H176" s="11"/>
      <c r="I176" s="11"/>
      <c r="J176" s="10">
        <f>IF($D176="","",IF(AND($H176&lt;&gt;"",$I176&lt;&gt;""),"débit ET crédit",IF(AND($H176="",$I176=""),"montant manquant",IF(ISNA(MATCH($D176,'Plan comptable'!$H:$H,0)),"compte hors plan",IF(AND($A176&lt;&gt;"",YEAR($A176)&lt;&gt;Exercice),"hors exercice","")))))</f>
      </c>
    </row>
    <row r="177">
      <c r="A177" s="13"/>
      <c r="B177" s="10"/>
      <c r="C177" s="9"/>
      <c r="D177" s="20"/>
      <c r="E177" s="9">
        <f>IF($D177="","",IFERROR(VLOOKUP($D177,'Plan comptable'!$H:$I,2,FALSE),"compte hors plan"))</f>
      </c>
      <c r="F177" s="9"/>
      <c r="G177" s="10"/>
      <c r="H177" s="11"/>
      <c r="I177" s="11"/>
      <c r="J177" s="10">
        <f>IF($D177="","",IF(AND($H177&lt;&gt;"",$I177&lt;&gt;""),"débit ET crédit",IF(AND($H177="",$I177=""),"montant manquant",IF(ISNA(MATCH($D177,'Plan comptable'!$H:$H,0)),"compte hors plan",IF(AND($A177&lt;&gt;"",YEAR($A177)&lt;&gt;Exercice),"hors exercice","")))))</f>
      </c>
    </row>
    <row r="178">
      <c r="A178" s="13"/>
      <c r="B178" s="10"/>
      <c r="C178" s="9"/>
      <c r="D178" s="20"/>
      <c r="E178" s="9">
        <f>IF($D178="","",IFERROR(VLOOKUP($D178,'Plan comptable'!$H:$I,2,FALSE),"compte hors plan"))</f>
      </c>
      <c r="F178" s="9"/>
      <c r="G178" s="10"/>
      <c r="H178" s="11"/>
      <c r="I178" s="11"/>
      <c r="J178" s="10">
        <f>IF($D178="","",IF(AND($H178&lt;&gt;"",$I178&lt;&gt;""),"débit ET crédit",IF(AND($H178="",$I178=""),"montant manquant",IF(ISNA(MATCH($D178,'Plan comptable'!$H:$H,0)),"compte hors plan",IF(AND($A178&lt;&gt;"",YEAR($A178)&lt;&gt;Exercice),"hors exercice","")))))</f>
      </c>
    </row>
    <row r="179">
      <c r="A179" s="13"/>
      <c r="B179" s="10"/>
      <c r="C179" s="9"/>
      <c r="D179" s="20"/>
      <c r="E179" s="9">
        <f>IF($D179="","",IFERROR(VLOOKUP($D179,'Plan comptable'!$H:$I,2,FALSE),"compte hors plan"))</f>
      </c>
      <c r="F179" s="9"/>
      <c r="G179" s="10"/>
      <c r="H179" s="11"/>
      <c r="I179" s="11"/>
      <c r="J179" s="10">
        <f>IF($D179="","",IF(AND($H179&lt;&gt;"",$I179&lt;&gt;""),"débit ET crédit",IF(AND($H179="",$I179=""),"montant manquant",IF(ISNA(MATCH($D179,'Plan comptable'!$H:$H,0)),"compte hors plan",IF(AND($A179&lt;&gt;"",YEAR($A179)&lt;&gt;Exercice),"hors exercice","")))))</f>
      </c>
    </row>
    <row r="180">
      <c r="A180" s="13"/>
      <c r="B180" s="10"/>
      <c r="C180" s="9"/>
      <c r="D180" s="20"/>
      <c r="E180" s="9">
        <f>IF($D180="","",IFERROR(VLOOKUP($D180,'Plan comptable'!$H:$I,2,FALSE),"compte hors plan"))</f>
      </c>
      <c r="F180" s="9"/>
      <c r="G180" s="10"/>
      <c r="H180" s="11"/>
      <c r="I180" s="11"/>
      <c r="J180" s="10">
        <f>IF($D180="","",IF(AND($H180&lt;&gt;"",$I180&lt;&gt;""),"débit ET crédit",IF(AND($H180="",$I180=""),"montant manquant",IF(ISNA(MATCH($D180,'Plan comptable'!$H:$H,0)),"compte hors plan",IF(AND($A180&lt;&gt;"",YEAR($A180)&lt;&gt;Exercice),"hors exercice","")))))</f>
      </c>
    </row>
    <row r="181">
      <c r="A181" s="13"/>
      <c r="B181" s="10"/>
      <c r="C181" s="9"/>
      <c r="D181" s="20"/>
      <c r="E181" s="9">
        <f>IF($D181="","",IFERROR(VLOOKUP($D181,'Plan comptable'!$H:$I,2,FALSE),"compte hors plan"))</f>
      </c>
      <c r="F181" s="9"/>
      <c r="G181" s="10"/>
      <c r="H181" s="11"/>
      <c r="I181" s="11"/>
      <c r="J181" s="10">
        <f>IF($D181="","",IF(AND($H181&lt;&gt;"",$I181&lt;&gt;""),"débit ET crédit",IF(AND($H181="",$I181=""),"montant manquant",IF(ISNA(MATCH($D181,'Plan comptable'!$H:$H,0)),"compte hors plan",IF(AND($A181&lt;&gt;"",YEAR($A181)&lt;&gt;Exercice),"hors exercice","")))))</f>
      </c>
    </row>
    <row r="182">
      <c r="A182" s="13"/>
      <c r="B182" s="10"/>
      <c r="C182" s="9"/>
      <c r="D182" s="20"/>
      <c r="E182" s="9">
        <f>IF($D182="","",IFERROR(VLOOKUP($D182,'Plan comptable'!$H:$I,2,FALSE),"compte hors plan"))</f>
      </c>
      <c r="F182" s="9"/>
      <c r="G182" s="10"/>
      <c r="H182" s="11"/>
      <c r="I182" s="11"/>
      <c r="J182" s="10">
        <f>IF($D182="","",IF(AND($H182&lt;&gt;"",$I182&lt;&gt;""),"débit ET crédit",IF(AND($H182="",$I182=""),"montant manquant",IF(ISNA(MATCH($D182,'Plan comptable'!$H:$H,0)),"compte hors plan",IF(AND($A182&lt;&gt;"",YEAR($A182)&lt;&gt;Exercice),"hors exercice","")))))</f>
      </c>
    </row>
    <row r="183">
      <c r="A183" s="13"/>
      <c r="B183" s="10"/>
      <c r="C183" s="9"/>
      <c r="D183" s="20"/>
      <c r="E183" s="9">
        <f>IF($D183="","",IFERROR(VLOOKUP($D183,'Plan comptable'!$H:$I,2,FALSE),"compte hors plan"))</f>
      </c>
      <c r="F183" s="9"/>
      <c r="G183" s="10"/>
      <c r="H183" s="11"/>
      <c r="I183" s="11"/>
      <c r="J183" s="10">
        <f>IF($D183="","",IF(AND($H183&lt;&gt;"",$I183&lt;&gt;""),"débit ET crédit",IF(AND($H183="",$I183=""),"montant manquant",IF(ISNA(MATCH($D183,'Plan comptable'!$H:$H,0)),"compte hors plan",IF(AND($A183&lt;&gt;"",YEAR($A183)&lt;&gt;Exercice),"hors exercice","")))))</f>
      </c>
    </row>
    <row r="184">
      <c r="A184" s="13"/>
      <c r="B184" s="10"/>
      <c r="C184" s="9"/>
      <c r="D184" s="20"/>
      <c r="E184" s="9">
        <f>IF($D184="","",IFERROR(VLOOKUP($D184,'Plan comptable'!$H:$I,2,FALSE),"compte hors plan"))</f>
      </c>
      <c r="F184" s="9"/>
      <c r="G184" s="10"/>
      <c r="H184" s="11"/>
      <c r="I184" s="11"/>
      <c r="J184" s="10">
        <f>IF($D184="","",IF(AND($H184&lt;&gt;"",$I184&lt;&gt;""),"débit ET crédit",IF(AND($H184="",$I184=""),"montant manquant",IF(ISNA(MATCH($D184,'Plan comptable'!$H:$H,0)),"compte hors plan",IF(AND($A184&lt;&gt;"",YEAR($A184)&lt;&gt;Exercice),"hors exercice","")))))</f>
      </c>
    </row>
    <row r="185">
      <c r="A185" s="13"/>
      <c r="B185" s="10"/>
      <c r="C185" s="9"/>
      <c r="D185" s="20"/>
      <c r="E185" s="9">
        <f>IF($D185="","",IFERROR(VLOOKUP($D185,'Plan comptable'!$H:$I,2,FALSE),"compte hors plan"))</f>
      </c>
      <c r="F185" s="9"/>
      <c r="G185" s="10"/>
      <c r="H185" s="11"/>
      <c r="I185" s="11"/>
      <c r="J185" s="10">
        <f>IF($D185="","",IF(AND($H185&lt;&gt;"",$I185&lt;&gt;""),"débit ET crédit",IF(AND($H185="",$I185=""),"montant manquant",IF(ISNA(MATCH($D185,'Plan comptable'!$H:$H,0)),"compte hors plan",IF(AND($A185&lt;&gt;"",YEAR($A185)&lt;&gt;Exercice),"hors exercice","")))))</f>
      </c>
    </row>
    <row r="186">
      <c r="A186" s="13"/>
      <c r="B186" s="10"/>
      <c r="C186" s="9"/>
      <c r="D186" s="20"/>
      <c r="E186" s="9">
        <f>IF($D186="","",IFERROR(VLOOKUP($D186,'Plan comptable'!$H:$I,2,FALSE),"compte hors plan"))</f>
      </c>
      <c r="F186" s="9"/>
      <c r="G186" s="10"/>
      <c r="H186" s="11"/>
      <c r="I186" s="11"/>
      <c r="J186" s="10">
        <f>IF($D186="","",IF(AND($H186&lt;&gt;"",$I186&lt;&gt;""),"débit ET crédit",IF(AND($H186="",$I186=""),"montant manquant",IF(ISNA(MATCH($D186,'Plan comptable'!$H:$H,0)),"compte hors plan",IF(AND($A186&lt;&gt;"",YEAR($A186)&lt;&gt;Exercice),"hors exercice","")))))</f>
      </c>
    </row>
    <row r="187">
      <c r="A187" s="13"/>
      <c r="B187" s="10"/>
      <c r="C187" s="9"/>
      <c r="D187" s="20"/>
      <c r="E187" s="9">
        <f>IF($D187="","",IFERROR(VLOOKUP($D187,'Plan comptable'!$H:$I,2,FALSE),"compte hors plan"))</f>
      </c>
      <c r="F187" s="9"/>
      <c r="G187" s="10"/>
      <c r="H187" s="11"/>
      <c r="I187" s="11"/>
      <c r="J187" s="10">
        <f>IF($D187="","",IF(AND($H187&lt;&gt;"",$I187&lt;&gt;""),"débit ET crédit",IF(AND($H187="",$I187=""),"montant manquant",IF(ISNA(MATCH($D187,'Plan comptable'!$H:$H,0)),"compte hors plan",IF(AND($A187&lt;&gt;"",YEAR($A187)&lt;&gt;Exercice),"hors exercice","")))))</f>
      </c>
    </row>
    <row r="188">
      <c r="A188" s="13"/>
      <c r="B188" s="10"/>
      <c r="C188" s="9"/>
      <c r="D188" s="20"/>
      <c r="E188" s="9">
        <f>IF($D188="","",IFERROR(VLOOKUP($D188,'Plan comptable'!$H:$I,2,FALSE),"compte hors plan"))</f>
      </c>
      <c r="F188" s="9"/>
      <c r="G188" s="10"/>
      <c r="H188" s="11"/>
      <c r="I188" s="11"/>
      <c r="J188" s="10">
        <f>IF($D188="","",IF(AND($H188&lt;&gt;"",$I188&lt;&gt;""),"débit ET crédit",IF(AND($H188="",$I188=""),"montant manquant",IF(ISNA(MATCH($D188,'Plan comptable'!$H:$H,0)),"compte hors plan",IF(AND($A188&lt;&gt;"",YEAR($A188)&lt;&gt;Exercice),"hors exercice","")))))</f>
      </c>
    </row>
    <row r="189">
      <c r="A189" s="13"/>
      <c r="B189" s="10"/>
      <c r="C189" s="9"/>
      <c r="D189" s="20"/>
      <c r="E189" s="9">
        <f>IF($D189="","",IFERROR(VLOOKUP($D189,'Plan comptable'!$H:$I,2,FALSE),"compte hors plan"))</f>
      </c>
      <c r="F189" s="9"/>
      <c r="G189" s="10"/>
      <c r="H189" s="11"/>
      <c r="I189" s="11"/>
      <c r="J189" s="10">
        <f>IF($D189="","",IF(AND($H189&lt;&gt;"",$I189&lt;&gt;""),"débit ET crédit",IF(AND($H189="",$I189=""),"montant manquant",IF(ISNA(MATCH($D189,'Plan comptable'!$H:$H,0)),"compte hors plan",IF(AND($A189&lt;&gt;"",YEAR($A189)&lt;&gt;Exercice),"hors exercice","")))))</f>
      </c>
    </row>
    <row r="190">
      <c r="A190" s="13"/>
      <c r="B190" s="10"/>
      <c r="C190" s="9"/>
      <c r="D190" s="20"/>
      <c r="E190" s="9">
        <f>IF($D190="","",IFERROR(VLOOKUP($D190,'Plan comptable'!$H:$I,2,FALSE),"compte hors plan"))</f>
      </c>
      <c r="F190" s="9"/>
      <c r="G190" s="10"/>
      <c r="H190" s="11"/>
      <c r="I190" s="11"/>
      <c r="J190" s="10">
        <f>IF($D190="","",IF(AND($H190&lt;&gt;"",$I190&lt;&gt;""),"débit ET crédit",IF(AND($H190="",$I190=""),"montant manquant",IF(ISNA(MATCH($D190,'Plan comptable'!$H:$H,0)),"compte hors plan",IF(AND($A190&lt;&gt;"",YEAR($A190)&lt;&gt;Exercice),"hors exercice","")))))</f>
      </c>
    </row>
    <row r="191">
      <c r="A191" s="13"/>
      <c r="B191" s="10"/>
      <c r="C191" s="9"/>
      <c r="D191" s="20"/>
      <c r="E191" s="9">
        <f>IF($D191="","",IFERROR(VLOOKUP($D191,'Plan comptable'!$H:$I,2,FALSE),"compte hors plan"))</f>
      </c>
      <c r="F191" s="9"/>
      <c r="G191" s="10"/>
      <c r="H191" s="11"/>
      <c r="I191" s="11"/>
      <c r="J191" s="10">
        <f>IF($D191="","",IF(AND($H191&lt;&gt;"",$I191&lt;&gt;""),"débit ET crédit",IF(AND($H191="",$I191=""),"montant manquant",IF(ISNA(MATCH($D191,'Plan comptable'!$H:$H,0)),"compte hors plan",IF(AND($A191&lt;&gt;"",YEAR($A191)&lt;&gt;Exercice),"hors exercice","")))))</f>
      </c>
    </row>
    <row r="192">
      <c r="A192" s="13"/>
      <c r="B192" s="10"/>
      <c r="C192" s="9"/>
      <c r="D192" s="20"/>
      <c r="E192" s="9">
        <f>IF($D192="","",IFERROR(VLOOKUP($D192,'Plan comptable'!$H:$I,2,FALSE),"compte hors plan"))</f>
      </c>
      <c r="F192" s="9"/>
      <c r="G192" s="10"/>
      <c r="H192" s="11"/>
      <c r="I192" s="11"/>
      <c r="J192" s="10">
        <f>IF($D192="","",IF(AND($H192&lt;&gt;"",$I192&lt;&gt;""),"débit ET crédit",IF(AND($H192="",$I192=""),"montant manquant",IF(ISNA(MATCH($D192,'Plan comptable'!$H:$H,0)),"compte hors plan",IF(AND($A192&lt;&gt;"",YEAR($A192)&lt;&gt;Exercice),"hors exercice","")))))</f>
      </c>
    </row>
    <row r="193">
      <c r="A193" s="13"/>
      <c r="B193" s="10"/>
      <c r="C193" s="9"/>
      <c r="D193" s="20"/>
      <c r="E193" s="9">
        <f>IF($D193="","",IFERROR(VLOOKUP($D193,'Plan comptable'!$H:$I,2,FALSE),"compte hors plan"))</f>
      </c>
      <c r="F193" s="9"/>
      <c r="G193" s="10"/>
      <c r="H193" s="11"/>
      <c r="I193" s="11"/>
      <c r="J193" s="10">
        <f>IF($D193="","",IF(AND($H193&lt;&gt;"",$I193&lt;&gt;""),"débit ET crédit",IF(AND($H193="",$I193=""),"montant manquant",IF(ISNA(MATCH($D193,'Plan comptable'!$H:$H,0)),"compte hors plan",IF(AND($A193&lt;&gt;"",YEAR($A193)&lt;&gt;Exercice),"hors exercice","")))))</f>
      </c>
    </row>
    <row r="194">
      <c r="A194" s="13"/>
      <c r="B194" s="10"/>
      <c r="C194" s="9"/>
      <c r="D194" s="20"/>
      <c r="E194" s="9">
        <f>IF($D194="","",IFERROR(VLOOKUP($D194,'Plan comptable'!$H:$I,2,FALSE),"compte hors plan"))</f>
      </c>
      <c r="F194" s="9"/>
      <c r="G194" s="10"/>
      <c r="H194" s="11"/>
      <c r="I194" s="11"/>
      <c r="J194" s="10">
        <f>IF($D194="","",IF(AND($H194&lt;&gt;"",$I194&lt;&gt;""),"débit ET crédit",IF(AND($H194="",$I194=""),"montant manquant",IF(ISNA(MATCH($D194,'Plan comptable'!$H:$H,0)),"compte hors plan",IF(AND($A194&lt;&gt;"",YEAR($A194)&lt;&gt;Exercice),"hors exercice","")))))</f>
      </c>
    </row>
    <row r="195">
      <c r="A195" s="13"/>
      <c r="B195" s="10"/>
      <c r="C195" s="9"/>
      <c r="D195" s="20"/>
      <c r="E195" s="9">
        <f>IF($D195="","",IFERROR(VLOOKUP($D195,'Plan comptable'!$H:$I,2,FALSE),"compte hors plan"))</f>
      </c>
      <c r="F195" s="9"/>
      <c r="G195" s="10"/>
      <c r="H195" s="11"/>
      <c r="I195" s="11"/>
      <c r="J195" s="10">
        <f>IF($D195="","",IF(AND($H195&lt;&gt;"",$I195&lt;&gt;""),"débit ET crédit",IF(AND($H195="",$I195=""),"montant manquant",IF(ISNA(MATCH($D195,'Plan comptable'!$H:$H,0)),"compte hors plan",IF(AND($A195&lt;&gt;"",YEAR($A195)&lt;&gt;Exercice),"hors exercice","")))))</f>
      </c>
    </row>
    <row r="196">
      <c r="A196" s="13"/>
      <c r="B196" s="10"/>
      <c r="C196" s="9"/>
      <c r="D196" s="20"/>
      <c r="E196" s="9">
        <f>IF($D196="","",IFERROR(VLOOKUP($D196,'Plan comptable'!$H:$I,2,FALSE),"compte hors plan"))</f>
      </c>
      <c r="F196" s="9"/>
      <c r="G196" s="10"/>
      <c r="H196" s="11"/>
      <c r="I196" s="11"/>
      <c r="J196" s="10">
        <f>IF($D196="","",IF(AND($H196&lt;&gt;"",$I196&lt;&gt;""),"débit ET crédit",IF(AND($H196="",$I196=""),"montant manquant",IF(ISNA(MATCH($D196,'Plan comptable'!$H:$H,0)),"compte hors plan",IF(AND($A196&lt;&gt;"",YEAR($A196)&lt;&gt;Exercice),"hors exercice","")))))</f>
      </c>
    </row>
    <row r="197">
      <c r="A197" s="13"/>
      <c r="B197" s="10"/>
      <c r="C197" s="9"/>
      <c r="D197" s="20"/>
      <c r="E197" s="9">
        <f>IF($D197="","",IFERROR(VLOOKUP($D197,'Plan comptable'!$H:$I,2,FALSE),"compte hors plan"))</f>
      </c>
      <c r="F197" s="9"/>
      <c r="G197" s="10"/>
      <c r="H197" s="11"/>
      <c r="I197" s="11"/>
      <c r="J197" s="10">
        <f>IF($D197="","",IF(AND($H197&lt;&gt;"",$I197&lt;&gt;""),"débit ET crédit",IF(AND($H197="",$I197=""),"montant manquant",IF(ISNA(MATCH($D197,'Plan comptable'!$H:$H,0)),"compte hors plan",IF(AND($A197&lt;&gt;"",YEAR($A197)&lt;&gt;Exercice),"hors exercice","")))))</f>
      </c>
    </row>
    <row r="198">
      <c r="A198" s="13"/>
      <c r="B198" s="10"/>
      <c r="C198" s="9"/>
      <c r="D198" s="20"/>
      <c r="E198" s="9">
        <f>IF($D198="","",IFERROR(VLOOKUP($D198,'Plan comptable'!$H:$I,2,FALSE),"compte hors plan"))</f>
      </c>
      <c r="F198" s="9"/>
      <c r="G198" s="10"/>
      <c r="H198" s="11"/>
      <c r="I198" s="11"/>
      <c r="J198" s="10">
        <f>IF($D198="","",IF(AND($H198&lt;&gt;"",$I198&lt;&gt;""),"débit ET crédit",IF(AND($H198="",$I198=""),"montant manquant",IF(ISNA(MATCH($D198,'Plan comptable'!$H:$H,0)),"compte hors plan",IF(AND($A198&lt;&gt;"",YEAR($A198)&lt;&gt;Exercice),"hors exercice","")))))</f>
      </c>
    </row>
    <row r="199">
      <c r="A199" s="13"/>
      <c r="B199" s="10"/>
      <c r="C199" s="9"/>
      <c r="D199" s="20"/>
      <c r="E199" s="9">
        <f>IF($D199="","",IFERROR(VLOOKUP($D199,'Plan comptable'!$H:$I,2,FALSE),"compte hors plan"))</f>
      </c>
      <c r="F199" s="9"/>
      <c r="G199" s="10"/>
      <c r="H199" s="11"/>
      <c r="I199" s="11"/>
      <c r="J199" s="10">
        <f>IF($D199="","",IF(AND($H199&lt;&gt;"",$I199&lt;&gt;""),"débit ET crédit",IF(AND($H199="",$I199=""),"montant manquant",IF(ISNA(MATCH($D199,'Plan comptable'!$H:$H,0)),"compte hors plan",IF(AND($A199&lt;&gt;"",YEAR($A199)&lt;&gt;Exercice),"hors exercice","")))))</f>
      </c>
    </row>
    <row r="200">
      <c r="A200" s="13"/>
      <c r="B200" s="10"/>
      <c r="C200" s="9"/>
      <c r="D200" s="20"/>
      <c r="E200" s="9">
        <f>IF($D200="","",IFERROR(VLOOKUP($D200,'Plan comptable'!$H:$I,2,FALSE),"compte hors plan"))</f>
      </c>
      <c r="F200" s="9"/>
      <c r="G200" s="10"/>
      <c r="H200" s="11"/>
      <c r="I200" s="11"/>
      <c r="J200" s="10">
        <f>IF($D200="","",IF(AND($H200&lt;&gt;"",$I200&lt;&gt;""),"débit ET crédit",IF(AND($H200="",$I200=""),"montant manquant",IF(ISNA(MATCH($D200,'Plan comptable'!$H:$H,0)),"compte hors plan",IF(AND($A200&lt;&gt;"",YEAR($A200)&lt;&gt;Exercice),"hors exercice","")))))</f>
      </c>
    </row>
    <row r="201">
      <c r="A201" s="13"/>
      <c r="B201" s="10"/>
      <c r="C201" s="9"/>
      <c r="D201" s="20"/>
      <c r="E201" s="9">
        <f>IF($D201="","",IFERROR(VLOOKUP($D201,'Plan comptable'!$H:$I,2,FALSE),"compte hors plan"))</f>
      </c>
      <c r="F201" s="9"/>
      <c r="G201" s="10"/>
      <c r="H201" s="11"/>
      <c r="I201" s="11"/>
      <c r="J201" s="10">
        <f>IF($D201="","",IF(AND($H201&lt;&gt;"",$I201&lt;&gt;""),"débit ET crédit",IF(AND($H201="",$I201=""),"montant manquant",IF(ISNA(MATCH($D201,'Plan comptable'!$H:$H,0)),"compte hors plan",IF(AND($A201&lt;&gt;"",YEAR($A201)&lt;&gt;Exercice),"hors exercice","")))))</f>
      </c>
    </row>
    <row r="202">
      <c r="A202" s="13"/>
      <c r="B202" s="10"/>
      <c r="C202" s="9"/>
      <c r="D202" s="20"/>
      <c r="E202" s="9">
        <f>IF($D202="","",IFERROR(VLOOKUP($D202,'Plan comptable'!$H:$I,2,FALSE),"compte hors plan"))</f>
      </c>
      <c r="F202" s="9"/>
      <c r="G202" s="10"/>
      <c r="H202" s="11"/>
      <c r="I202" s="11"/>
      <c r="J202" s="10">
        <f>IF($D202="","",IF(AND($H202&lt;&gt;"",$I202&lt;&gt;""),"débit ET crédit",IF(AND($H202="",$I202=""),"montant manquant",IF(ISNA(MATCH($D202,'Plan comptable'!$H:$H,0)),"compte hors plan",IF(AND($A202&lt;&gt;"",YEAR($A202)&lt;&gt;Exercice),"hors exercice","")))))</f>
      </c>
    </row>
    <row r="203">
      <c r="A203" s="13"/>
      <c r="B203" s="10"/>
      <c r="C203" s="9"/>
      <c r="D203" s="20"/>
      <c r="E203" s="9">
        <f>IF($D203="","",IFERROR(VLOOKUP($D203,'Plan comptable'!$H:$I,2,FALSE),"compte hors plan"))</f>
      </c>
      <c r="F203" s="9"/>
      <c r="G203" s="10"/>
      <c r="H203" s="11"/>
      <c r="I203" s="11"/>
      <c r="J203" s="10">
        <f>IF($D203="","",IF(AND($H203&lt;&gt;"",$I203&lt;&gt;""),"débit ET crédit",IF(AND($H203="",$I203=""),"montant manquant",IF(ISNA(MATCH($D203,'Plan comptable'!$H:$H,0)),"compte hors plan",IF(AND($A203&lt;&gt;"",YEAR($A203)&lt;&gt;Exercice),"hors exercice","")))))</f>
      </c>
    </row>
    <row r="204">
      <c r="A204" s="13"/>
      <c r="B204" s="10"/>
      <c r="C204" s="9"/>
      <c r="D204" s="20"/>
      <c r="E204" s="9">
        <f>IF($D204="","",IFERROR(VLOOKUP($D204,'Plan comptable'!$H:$I,2,FALSE),"compte hors plan"))</f>
      </c>
      <c r="F204" s="9"/>
      <c r="G204" s="10"/>
      <c r="H204" s="11"/>
      <c r="I204" s="11"/>
      <c r="J204" s="10">
        <f>IF($D204="","",IF(AND($H204&lt;&gt;"",$I204&lt;&gt;""),"débit ET crédit",IF(AND($H204="",$I204=""),"montant manquant",IF(ISNA(MATCH($D204,'Plan comptable'!$H:$H,0)),"compte hors plan",IF(AND($A204&lt;&gt;"",YEAR($A204)&lt;&gt;Exercice),"hors exercice","")))))</f>
      </c>
    </row>
    <row r="205">
      <c r="A205" s="13"/>
      <c r="B205" s="10"/>
      <c r="C205" s="9"/>
      <c r="D205" s="20"/>
      <c r="E205" s="9">
        <f>IF($D205="","",IFERROR(VLOOKUP($D205,'Plan comptable'!$H:$I,2,FALSE),"compte hors plan"))</f>
      </c>
      <c r="F205" s="9"/>
      <c r="G205" s="10"/>
      <c r="H205" s="11"/>
      <c r="I205" s="11"/>
      <c r="J205" s="10">
        <f>IF($D205="","",IF(AND($H205&lt;&gt;"",$I205&lt;&gt;""),"débit ET crédit",IF(AND($H205="",$I205=""),"montant manquant",IF(ISNA(MATCH($D205,'Plan comptable'!$H:$H,0)),"compte hors plan",IF(AND($A205&lt;&gt;"",YEAR($A205)&lt;&gt;Exercice),"hors exercice","")))))</f>
      </c>
    </row>
    <row r="206">
      <c r="A206" s="13"/>
      <c r="B206" s="10"/>
      <c r="C206" s="9"/>
      <c r="D206" s="20"/>
      <c r="E206" s="9">
        <f>IF($D206="","",IFERROR(VLOOKUP($D206,'Plan comptable'!$H:$I,2,FALSE),"compte hors plan"))</f>
      </c>
      <c r="F206" s="9"/>
      <c r="G206" s="10"/>
      <c r="H206" s="11"/>
      <c r="I206" s="11"/>
      <c r="J206" s="10">
        <f>IF($D206="","",IF(AND($H206&lt;&gt;"",$I206&lt;&gt;""),"débit ET crédit",IF(AND($H206="",$I206=""),"montant manquant",IF(ISNA(MATCH($D206,'Plan comptable'!$H:$H,0)),"compte hors plan",IF(AND($A206&lt;&gt;"",YEAR($A206)&lt;&gt;Exercice),"hors exercice","")))))</f>
      </c>
    </row>
    <row r="207">
      <c r="A207" s="13"/>
      <c r="B207" s="10"/>
      <c r="C207" s="9"/>
      <c r="D207" s="20"/>
      <c r="E207" s="9">
        <f>IF($D207="","",IFERROR(VLOOKUP($D207,'Plan comptable'!$H:$I,2,FALSE),"compte hors plan"))</f>
      </c>
      <c r="F207" s="9"/>
      <c r="G207" s="10"/>
      <c r="H207" s="11"/>
      <c r="I207" s="11"/>
      <c r="J207" s="10">
        <f>IF($D207="","",IF(AND($H207&lt;&gt;"",$I207&lt;&gt;""),"débit ET crédit",IF(AND($H207="",$I207=""),"montant manquant",IF(ISNA(MATCH($D207,'Plan comptable'!$H:$H,0)),"compte hors plan",IF(AND($A207&lt;&gt;"",YEAR($A207)&lt;&gt;Exercice),"hors exercice","")))))</f>
      </c>
    </row>
    <row r="208">
      <c r="A208" s="13"/>
      <c r="B208" s="10"/>
      <c r="C208" s="9"/>
      <c r="D208" s="20"/>
      <c r="E208" s="9">
        <f>IF($D208="","",IFERROR(VLOOKUP($D208,'Plan comptable'!$H:$I,2,FALSE),"compte hors plan"))</f>
      </c>
      <c r="F208" s="9"/>
      <c r="G208" s="10"/>
      <c r="H208" s="11"/>
      <c r="I208" s="11"/>
      <c r="J208" s="10">
        <f>IF($D208="","",IF(AND($H208&lt;&gt;"",$I208&lt;&gt;""),"débit ET crédit",IF(AND($H208="",$I208=""),"montant manquant",IF(ISNA(MATCH($D208,'Plan comptable'!$H:$H,0)),"compte hors plan",IF(AND($A208&lt;&gt;"",YEAR($A208)&lt;&gt;Exercice),"hors exercice","")))))</f>
      </c>
    </row>
    <row r="209">
      <c r="A209" s="13"/>
      <c r="B209" s="10"/>
      <c r="C209" s="9"/>
      <c r="D209" s="20"/>
      <c r="E209" s="9">
        <f>IF($D209="","",IFERROR(VLOOKUP($D209,'Plan comptable'!$H:$I,2,FALSE),"compte hors plan"))</f>
      </c>
      <c r="F209" s="9"/>
      <c r="G209" s="10"/>
      <c r="H209" s="11"/>
      <c r="I209" s="11"/>
      <c r="J209" s="10">
        <f>IF($D209="","",IF(AND($H209&lt;&gt;"",$I209&lt;&gt;""),"débit ET crédit",IF(AND($H209="",$I209=""),"montant manquant",IF(ISNA(MATCH($D209,'Plan comptable'!$H:$H,0)),"compte hors plan",IF(AND($A209&lt;&gt;"",YEAR($A209)&lt;&gt;Exercice),"hors exercice","")))))</f>
      </c>
    </row>
    <row r="210">
      <c r="A210" s="13"/>
      <c r="B210" s="10"/>
      <c r="C210" s="9"/>
      <c r="D210" s="20"/>
      <c r="E210" s="9">
        <f>IF($D210="","",IFERROR(VLOOKUP($D210,'Plan comptable'!$H:$I,2,FALSE),"compte hors plan"))</f>
      </c>
      <c r="F210" s="9"/>
      <c r="G210" s="10"/>
      <c r="H210" s="11"/>
      <c r="I210" s="11"/>
      <c r="J210" s="10">
        <f>IF($D210="","",IF(AND($H210&lt;&gt;"",$I210&lt;&gt;""),"débit ET crédit",IF(AND($H210="",$I210=""),"montant manquant",IF(ISNA(MATCH($D210,'Plan comptable'!$H:$H,0)),"compte hors plan",IF(AND($A210&lt;&gt;"",YEAR($A210)&lt;&gt;Exercice),"hors exercice","")))))</f>
      </c>
    </row>
    <row r="211">
      <c r="A211" s="13"/>
      <c r="B211" s="10"/>
      <c r="C211" s="9"/>
      <c r="D211" s="20"/>
      <c r="E211" s="9">
        <f>IF($D211="","",IFERROR(VLOOKUP($D211,'Plan comptable'!$H:$I,2,FALSE),"compte hors plan"))</f>
      </c>
      <c r="F211" s="9"/>
      <c r="G211" s="10"/>
      <c r="H211" s="11"/>
      <c r="I211" s="11"/>
      <c r="J211" s="10">
        <f>IF($D211="","",IF(AND($H211&lt;&gt;"",$I211&lt;&gt;""),"débit ET crédit",IF(AND($H211="",$I211=""),"montant manquant",IF(ISNA(MATCH($D211,'Plan comptable'!$H:$H,0)),"compte hors plan",IF(AND($A211&lt;&gt;"",YEAR($A211)&lt;&gt;Exercice),"hors exercice","")))))</f>
      </c>
    </row>
    <row r="212">
      <c r="A212" s="13"/>
      <c r="B212" s="10"/>
      <c r="C212" s="9"/>
      <c r="D212" s="20"/>
      <c r="E212" s="9">
        <f>IF($D212="","",IFERROR(VLOOKUP($D212,'Plan comptable'!$H:$I,2,FALSE),"compte hors plan"))</f>
      </c>
      <c r="F212" s="9"/>
      <c r="G212" s="10"/>
      <c r="H212" s="11"/>
      <c r="I212" s="11"/>
      <c r="J212" s="10">
        <f>IF($D212="","",IF(AND($H212&lt;&gt;"",$I212&lt;&gt;""),"débit ET crédit",IF(AND($H212="",$I212=""),"montant manquant",IF(ISNA(MATCH($D212,'Plan comptable'!$H:$H,0)),"compte hors plan",IF(AND($A212&lt;&gt;"",YEAR($A212)&lt;&gt;Exercice),"hors exercice","")))))</f>
      </c>
    </row>
    <row r="213">
      <c r="A213" s="13"/>
      <c r="B213" s="10"/>
      <c r="C213" s="9"/>
      <c r="D213" s="20"/>
      <c r="E213" s="9">
        <f>IF($D213="","",IFERROR(VLOOKUP($D213,'Plan comptable'!$H:$I,2,FALSE),"compte hors plan"))</f>
      </c>
      <c r="F213" s="9"/>
      <c r="G213" s="10"/>
      <c r="H213" s="11"/>
      <c r="I213" s="11"/>
      <c r="J213" s="10">
        <f>IF($D213="","",IF(AND($H213&lt;&gt;"",$I213&lt;&gt;""),"débit ET crédit",IF(AND($H213="",$I213=""),"montant manquant",IF(ISNA(MATCH($D213,'Plan comptable'!$H:$H,0)),"compte hors plan",IF(AND($A213&lt;&gt;"",YEAR($A213)&lt;&gt;Exercice),"hors exercice","")))))</f>
      </c>
    </row>
    <row r="214">
      <c r="A214" s="13"/>
      <c r="B214" s="10"/>
      <c r="C214" s="9"/>
      <c r="D214" s="20"/>
      <c r="E214" s="9">
        <f>IF($D214="","",IFERROR(VLOOKUP($D214,'Plan comptable'!$H:$I,2,FALSE),"compte hors plan"))</f>
      </c>
      <c r="F214" s="9"/>
      <c r="G214" s="10"/>
      <c r="H214" s="11"/>
      <c r="I214" s="11"/>
      <c r="J214" s="10">
        <f>IF($D214="","",IF(AND($H214&lt;&gt;"",$I214&lt;&gt;""),"débit ET crédit",IF(AND($H214="",$I214=""),"montant manquant",IF(ISNA(MATCH($D214,'Plan comptable'!$H:$H,0)),"compte hors plan",IF(AND($A214&lt;&gt;"",YEAR($A214)&lt;&gt;Exercice),"hors exercice","")))))</f>
      </c>
    </row>
    <row r="215">
      <c r="A215" s="13"/>
      <c r="B215" s="10"/>
      <c r="C215" s="9"/>
      <c r="D215" s="20"/>
      <c r="E215" s="9">
        <f>IF($D215="","",IFERROR(VLOOKUP($D215,'Plan comptable'!$H:$I,2,FALSE),"compte hors plan"))</f>
      </c>
      <c r="F215" s="9"/>
      <c r="G215" s="10"/>
      <c r="H215" s="11"/>
      <c r="I215" s="11"/>
      <c r="J215" s="10">
        <f>IF($D215="","",IF(AND($H215&lt;&gt;"",$I215&lt;&gt;""),"débit ET crédit",IF(AND($H215="",$I215=""),"montant manquant",IF(ISNA(MATCH($D215,'Plan comptable'!$H:$H,0)),"compte hors plan",IF(AND($A215&lt;&gt;"",YEAR($A215)&lt;&gt;Exercice),"hors exercice","")))))</f>
      </c>
    </row>
    <row r="216">
      <c r="A216" s="13"/>
      <c r="B216" s="10"/>
      <c r="C216" s="9"/>
      <c r="D216" s="20"/>
      <c r="E216" s="9">
        <f>IF($D216="","",IFERROR(VLOOKUP($D216,'Plan comptable'!$H:$I,2,FALSE),"compte hors plan"))</f>
      </c>
      <c r="F216" s="9"/>
      <c r="G216" s="10"/>
      <c r="H216" s="11"/>
      <c r="I216" s="11"/>
      <c r="J216" s="10">
        <f>IF($D216="","",IF(AND($H216&lt;&gt;"",$I216&lt;&gt;""),"débit ET crédit",IF(AND($H216="",$I216=""),"montant manquant",IF(ISNA(MATCH($D216,'Plan comptable'!$H:$H,0)),"compte hors plan",IF(AND($A216&lt;&gt;"",YEAR($A216)&lt;&gt;Exercice),"hors exercice","")))))</f>
      </c>
    </row>
    <row r="217">
      <c r="A217" s="13"/>
      <c r="B217" s="10"/>
      <c r="C217" s="9"/>
      <c r="D217" s="20"/>
      <c r="E217" s="9">
        <f>IF($D217="","",IFERROR(VLOOKUP($D217,'Plan comptable'!$H:$I,2,FALSE),"compte hors plan"))</f>
      </c>
      <c r="F217" s="9"/>
      <c r="G217" s="10"/>
      <c r="H217" s="11"/>
      <c r="I217" s="11"/>
      <c r="J217" s="10">
        <f>IF($D217="","",IF(AND($H217&lt;&gt;"",$I217&lt;&gt;""),"débit ET crédit",IF(AND($H217="",$I217=""),"montant manquant",IF(ISNA(MATCH($D217,'Plan comptable'!$H:$H,0)),"compte hors plan",IF(AND($A217&lt;&gt;"",YEAR($A217)&lt;&gt;Exercice),"hors exercice","")))))</f>
      </c>
    </row>
    <row r="218">
      <c r="A218" s="13"/>
      <c r="B218" s="10"/>
      <c r="C218" s="9"/>
      <c r="D218" s="20"/>
      <c r="E218" s="9">
        <f>IF($D218="","",IFERROR(VLOOKUP($D218,'Plan comptable'!$H:$I,2,FALSE),"compte hors plan"))</f>
      </c>
      <c r="F218" s="9"/>
      <c r="G218" s="10"/>
      <c r="H218" s="11"/>
      <c r="I218" s="11"/>
      <c r="J218" s="10">
        <f>IF($D218="","",IF(AND($H218&lt;&gt;"",$I218&lt;&gt;""),"débit ET crédit",IF(AND($H218="",$I218=""),"montant manquant",IF(ISNA(MATCH($D218,'Plan comptable'!$H:$H,0)),"compte hors plan",IF(AND($A218&lt;&gt;"",YEAR($A218)&lt;&gt;Exercice),"hors exercice","")))))</f>
      </c>
    </row>
    <row r="219">
      <c r="A219" s="13"/>
      <c r="B219" s="10"/>
      <c r="C219" s="9"/>
      <c r="D219" s="20"/>
      <c r="E219" s="9">
        <f>IF($D219="","",IFERROR(VLOOKUP($D219,'Plan comptable'!$H:$I,2,FALSE),"compte hors plan"))</f>
      </c>
      <c r="F219" s="9"/>
      <c r="G219" s="10"/>
      <c r="H219" s="11"/>
      <c r="I219" s="11"/>
      <c r="J219" s="10">
        <f>IF($D219="","",IF(AND($H219&lt;&gt;"",$I219&lt;&gt;""),"débit ET crédit",IF(AND($H219="",$I219=""),"montant manquant",IF(ISNA(MATCH($D219,'Plan comptable'!$H:$H,0)),"compte hors plan",IF(AND($A219&lt;&gt;"",YEAR($A219)&lt;&gt;Exercice),"hors exercice","")))))</f>
      </c>
    </row>
    <row r="220">
      <c r="A220" s="13"/>
      <c r="B220" s="10"/>
      <c r="C220" s="9"/>
      <c r="D220" s="20"/>
      <c r="E220" s="9">
        <f>IF($D220="","",IFERROR(VLOOKUP($D220,'Plan comptable'!$H:$I,2,FALSE),"compte hors plan"))</f>
      </c>
      <c r="F220" s="9"/>
      <c r="G220" s="10"/>
      <c r="H220" s="11"/>
      <c r="I220" s="11"/>
      <c r="J220" s="10">
        <f>IF($D220="","",IF(AND($H220&lt;&gt;"",$I220&lt;&gt;""),"débit ET crédit",IF(AND($H220="",$I220=""),"montant manquant",IF(ISNA(MATCH($D220,'Plan comptable'!$H:$H,0)),"compte hors plan",IF(AND($A220&lt;&gt;"",YEAR($A220)&lt;&gt;Exercice),"hors exercice","")))))</f>
      </c>
    </row>
    <row r="221">
      <c r="A221" s="13"/>
      <c r="B221" s="10"/>
      <c r="C221" s="9"/>
      <c r="D221" s="20"/>
      <c r="E221" s="9">
        <f>IF($D221="","",IFERROR(VLOOKUP($D221,'Plan comptable'!$H:$I,2,FALSE),"compte hors plan"))</f>
      </c>
      <c r="F221" s="9"/>
      <c r="G221" s="10"/>
      <c r="H221" s="11"/>
      <c r="I221" s="11"/>
      <c r="J221" s="10">
        <f>IF($D221="","",IF(AND($H221&lt;&gt;"",$I221&lt;&gt;""),"débit ET crédit",IF(AND($H221="",$I221=""),"montant manquant",IF(ISNA(MATCH($D221,'Plan comptable'!$H:$H,0)),"compte hors plan",IF(AND($A221&lt;&gt;"",YEAR($A221)&lt;&gt;Exercice),"hors exercice","")))))</f>
      </c>
    </row>
    <row r="222">
      <c r="A222" s="13"/>
      <c r="B222" s="10"/>
      <c r="C222" s="9"/>
      <c r="D222" s="20"/>
      <c r="E222" s="9">
        <f>IF($D222="","",IFERROR(VLOOKUP($D222,'Plan comptable'!$H:$I,2,FALSE),"compte hors plan"))</f>
      </c>
      <c r="F222" s="9"/>
      <c r="G222" s="10"/>
      <c r="H222" s="11"/>
      <c r="I222" s="11"/>
      <c r="J222" s="10">
        <f>IF($D222="","",IF(AND($H222&lt;&gt;"",$I222&lt;&gt;""),"débit ET crédit",IF(AND($H222="",$I222=""),"montant manquant",IF(ISNA(MATCH($D222,'Plan comptable'!$H:$H,0)),"compte hors plan",IF(AND($A222&lt;&gt;"",YEAR($A222)&lt;&gt;Exercice),"hors exercice","")))))</f>
      </c>
    </row>
    <row r="223">
      <c r="A223" s="13"/>
      <c r="B223" s="10"/>
      <c r="C223" s="9"/>
      <c r="D223" s="20"/>
      <c r="E223" s="9">
        <f>IF($D223="","",IFERROR(VLOOKUP($D223,'Plan comptable'!$H:$I,2,FALSE),"compte hors plan"))</f>
      </c>
      <c r="F223" s="9"/>
      <c r="G223" s="10"/>
      <c r="H223" s="11"/>
      <c r="I223" s="11"/>
      <c r="J223" s="10">
        <f>IF($D223="","",IF(AND($H223&lt;&gt;"",$I223&lt;&gt;""),"débit ET crédit",IF(AND($H223="",$I223=""),"montant manquant",IF(ISNA(MATCH($D223,'Plan comptable'!$H:$H,0)),"compte hors plan",IF(AND($A223&lt;&gt;"",YEAR($A223)&lt;&gt;Exercice),"hors exercice","")))))</f>
      </c>
    </row>
    <row r="224">
      <c r="A224" s="13"/>
      <c r="B224" s="10"/>
      <c r="C224" s="9"/>
      <c r="D224" s="20"/>
      <c r="E224" s="9">
        <f>IF($D224="","",IFERROR(VLOOKUP($D224,'Plan comptable'!$H:$I,2,FALSE),"compte hors plan"))</f>
      </c>
      <c r="F224" s="9"/>
      <c r="G224" s="10"/>
      <c r="H224" s="11"/>
      <c r="I224" s="11"/>
      <c r="J224" s="10">
        <f>IF($D224="","",IF(AND($H224&lt;&gt;"",$I224&lt;&gt;""),"débit ET crédit",IF(AND($H224="",$I224=""),"montant manquant",IF(ISNA(MATCH($D224,'Plan comptable'!$H:$H,0)),"compte hors plan",IF(AND($A224&lt;&gt;"",YEAR($A224)&lt;&gt;Exercice),"hors exercice","")))))</f>
      </c>
    </row>
    <row r="225">
      <c r="A225" s="13"/>
      <c r="B225" s="10"/>
      <c r="C225" s="9"/>
      <c r="D225" s="20"/>
      <c r="E225" s="9">
        <f>IF($D225="","",IFERROR(VLOOKUP($D225,'Plan comptable'!$H:$I,2,FALSE),"compte hors plan"))</f>
      </c>
      <c r="F225" s="9"/>
      <c r="G225" s="10"/>
      <c r="H225" s="11"/>
      <c r="I225" s="11"/>
      <c r="J225" s="10">
        <f>IF($D225="","",IF(AND($H225&lt;&gt;"",$I225&lt;&gt;""),"débit ET crédit",IF(AND($H225="",$I225=""),"montant manquant",IF(ISNA(MATCH($D225,'Plan comptable'!$H:$H,0)),"compte hors plan",IF(AND($A225&lt;&gt;"",YEAR($A225)&lt;&gt;Exercice),"hors exercice","")))))</f>
      </c>
    </row>
    <row r="226">
      <c r="A226" s="13"/>
      <c r="B226" s="10"/>
      <c r="C226" s="9"/>
      <c r="D226" s="20"/>
      <c r="E226" s="9">
        <f>IF($D226="","",IFERROR(VLOOKUP($D226,'Plan comptable'!$H:$I,2,FALSE),"compte hors plan"))</f>
      </c>
      <c r="F226" s="9"/>
      <c r="G226" s="10"/>
      <c r="H226" s="11"/>
      <c r="I226" s="11"/>
      <c r="J226" s="10">
        <f>IF($D226="","",IF(AND($H226&lt;&gt;"",$I226&lt;&gt;""),"débit ET crédit",IF(AND($H226="",$I226=""),"montant manquant",IF(ISNA(MATCH($D226,'Plan comptable'!$H:$H,0)),"compte hors plan",IF(AND($A226&lt;&gt;"",YEAR($A226)&lt;&gt;Exercice),"hors exercice","")))))</f>
      </c>
    </row>
    <row r="227">
      <c r="A227" s="13"/>
      <c r="B227" s="10"/>
      <c r="C227" s="9"/>
      <c r="D227" s="20"/>
      <c r="E227" s="9">
        <f>IF($D227="","",IFERROR(VLOOKUP($D227,'Plan comptable'!$H:$I,2,FALSE),"compte hors plan"))</f>
      </c>
      <c r="F227" s="9"/>
      <c r="G227" s="10"/>
      <c r="H227" s="11"/>
      <c r="I227" s="11"/>
      <c r="J227" s="10">
        <f>IF($D227="","",IF(AND($H227&lt;&gt;"",$I227&lt;&gt;""),"débit ET crédit",IF(AND($H227="",$I227=""),"montant manquant",IF(ISNA(MATCH($D227,'Plan comptable'!$H:$H,0)),"compte hors plan",IF(AND($A227&lt;&gt;"",YEAR($A227)&lt;&gt;Exercice),"hors exercice","")))))</f>
      </c>
    </row>
    <row r="228">
      <c r="A228" s="13"/>
      <c r="B228" s="10"/>
      <c r="C228" s="9"/>
      <c r="D228" s="20"/>
      <c r="E228" s="9">
        <f>IF($D228="","",IFERROR(VLOOKUP($D228,'Plan comptable'!$H:$I,2,FALSE),"compte hors plan"))</f>
      </c>
      <c r="F228" s="9"/>
      <c r="G228" s="10"/>
      <c r="H228" s="11"/>
      <c r="I228" s="11"/>
      <c r="J228" s="10">
        <f>IF($D228="","",IF(AND($H228&lt;&gt;"",$I228&lt;&gt;""),"débit ET crédit",IF(AND($H228="",$I228=""),"montant manquant",IF(ISNA(MATCH($D228,'Plan comptable'!$H:$H,0)),"compte hors plan",IF(AND($A228&lt;&gt;"",YEAR($A228)&lt;&gt;Exercice),"hors exercice","")))))</f>
      </c>
    </row>
    <row r="229">
      <c r="A229" s="13"/>
      <c r="B229" s="10"/>
      <c r="C229" s="9"/>
      <c r="D229" s="20"/>
      <c r="E229" s="9">
        <f>IF($D229="","",IFERROR(VLOOKUP($D229,'Plan comptable'!$H:$I,2,FALSE),"compte hors plan"))</f>
      </c>
      <c r="F229" s="9"/>
      <c r="G229" s="10"/>
      <c r="H229" s="11"/>
      <c r="I229" s="11"/>
      <c r="J229" s="10">
        <f>IF($D229="","",IF(AND($H229&lt;&gt;"",$I229&lt;&gt;""),"débit ET crédit",IF(AND($H229="",$I229=""),"montant manquant",IF(ISNA(MATCH($D229,'Plan comptable'!$H:$H,0)),"compte hors plan",IF(AND($A229&lt;&gt;"",YEAR($A229)&lt;&gt;Exercice),"hors exercice","")))))</f>
      </c>
    </row>
    <row r="230">
      <c r="A230" s="13"/>
      <c r="B230" s="10"/>
      <c r="C230" s="9"/>
      <c r="D230" s="20"/>
      <c r="E230" s="9">
        <f>IF($D230="","",IFERROR(VLOOKUP($D230,'Plan comptable'!$H:$I,2,FALSE),"compte hors plan"))</f>
      </c>
      <c r="F230" s="9"/>
      <c r="G230" s="10"/>
      <c r="H230" s="11"/>
      <c r="I230" s="11"/>
      <c r="J230" s="10">
        <f>IF($D230="","",IF(AND($H230&lt;&gt;"",$I230&lt;&gt;""),"débit ET crédit",IF(AND($H230="",$I230=""),"montant manquant",IF(ISNA(MATCH($D230,'Plan comptable'!$H:$H,0)),"compte hors plan",IF(AND($A230&lt;&gt;"",YEAR($A230)&lt;&gt;Exercice),"hors exercice","")))))</f>
      </c>
    </row>
    <row r="231">
      <c r="A231" s="13"/>
      <c r="B231" s="10"/>
      <c r="C231" s="9"/>
      <c r="D231" s="20"/>
      <c r="E231" s="9">
        <f>IF($D231="","",IFERROR(VLOOKUP($D231,'Plan comptable'!$H:$I,2,FALSE),"compte hors plan"))</f>
      </c>
      <c r="F231" s="9"/>
      <c r="G231" s="10"/>
      <c r="H231" s="11"/>
      <c r="I231" s="11"/>
      <c r="J231" s="10">
        <f>IF($D231="","",IF(AND($H231&lt;&gt;"",$I231&lt;&gt;""),"débit ET crédit",IF(AND($H231="",$I231=""),"montant manquant",IF(ISNA(MATCH($D231,'Plan comptable'!$H:$H,0)),"compte hors plan",IF(AND($A231&lt;&gt;"",YEAR($A231)&lt;&gt;Exercice),"hors exercice","")))))</f>
      </c>
    </row>
    <row r="232">
      <c r="A232" s="13"/>
      <c r="B232" s="10"/>
      <c r="C232" s="9"/>
      <c r="D232" s="20"/>
      <c r="E232" s="9">
        <f>IF($D232="","",IFERROR(VLOOKUP($D232,'Plan comptable'!$H:$I,2,FALSE),"compte hors plan"))</f>
      </c>
      <c r="F232" s="9"/>
      <c r="G232" s="10"/>
      <c r="H232" s="11"/>
      <c r="I232" s="11"/>
      <c r="J232" s="10">
        <f>IF($D232="","",IF(AND($H232&lt;&gt;"",$I232&lt;&gt;""),"débit ET crédit",IF(AND($H232="",$I232=""),"montant manquant",IF(ISNA(MATCH($D232,'Plan comptable'!$H:$H,0)),"compte hors plan",IF(AND($A232&lt;&gt;"",YEAR($A232)&lt;&gt;Exercice),"hors exercice","")))))</f>
      </c>
    </row>
    <row r="233">
      <c r="A233" s="13"/>
      <c r="B233" s="10"/>
      <c r="C233" s="9"/>
      <c r="D233" s="20"/>
      <c r="E233" s="9">
        <f>IF($D233="","",IFERROR(VLOOKUP($D233,'Plan comptable'!$H:$I,2,FALSE),"compte hors plan"))</f>
      </c>
      <c r="F233" s="9"/>
      <c r="G233" s="10"/>
      <c r="H233" s="11"/>
      <c r="I233" s="11"/>
      <c r="J233" s="10">
        <f>IF($D233="","",IF(AND($H233&lt;&gt;"",$I233&lt;&gt;""),"débit ET crédit",IF(AND($H233="",$I233=""),"montant manquant",IF(ISNA(MATCH($D233,'Plan comptable'!$H:$H,0)),"compte hors plan",IF(AND($A233&lt;&gt;"",YEAR($A233)&lt;&gt;Exercice),"hors exercice","")))))</f>
      </c>
    </row>
    <row r="234">
      <c r="A234" s="13"/>
      <c r="B234" s="10"/>
      <c r="C234" s="9"/>
      <c r="D234" s="20"/>
      <c r="E234" s="9">
        <f>IF($D234="","",IFERROR(VLOOKUP($D234,'Plan comptable'!$H:$I,2,FALSE),"compte hors plan"))</f>
      </c>
      <c r="F234" s="9"/>
      <c r="G234" s="10"/>
      <c r="H234" s="11"/>
      <c r="I234" s="11"/>
      <c r="J234" s="10">
        <f>IF($D234="","",IF(AND($H234&lt;&gt;"",$I234&lt;&gt;""),"débit ET crédit",IF(AND($H234="",$I234=""),"montant manquant",IF(ISNA(MATCH($D234,'Plan comptable'!$H:$H,0)),"compte hors plan",IF(AND($A234&lt;&gt;"",YEAR($A234)&lt;&gt;Exercice),"hors exercice","")))))</f>
      </c>
    </row>
    <row r="235">
      <c r="A235" s="13"/>
      <c r="B235" s="10"/>
      <c r="C235" s="9"/>
      <c r="D235" s="20"/>
      <c r="E235" s="9">
        <f>IF($D235="","",IFERROR(VLOOKUP($D235,'Plan comptable'!$H:$I,2,FALSE),"compte hors plan"))</f>
      </c>
      <c r="F235" s="9"/>
      <c r="G235" s="10"/>
      <c r="H235" s="11"/>
      <c r="I235" s="11"/>
      <c r="J235" s="10">
        <f>IF($D235="","",IF(AND($H235&lt;&gt;"",$I235&lt;&gt;""),"débit ET crédit",IF(AND($H235="",$I235=""),"montant manquant",IF(ISNA(MATCH($D235,'Plan comptable'!$H:$H,0)),"compte hors plan",IF(AND($A235&lt;&gt;"",YEAR($A235)&lt;&gt;Exercice),"hors exercice","")))))</f>
      </c>
    </row>
    <row r="236">
      <c r="A236" s="13"/>
      <c r="B236" s="10"/>
      <c r="C236" s="9"/>
      <c r="D236" s="20"/>
      <c r="E236" s="9">
        <f>IF($D236="","",IFERROR(VLOOKUP($D236,'Plan comptable'!$H:$I,2,FALSE),"compte hors plan"))</f>
      </c>
      <c r="F236" s="9"/>
      <c r="G236" s="10"/>
      <c r="H236" s="11"/>
      <c r="I236" s="11"/>
      <c r="J236" s="10">
        <f>IF($D236="","",IF(AND($H236&lt;&gt;"",$I236&lt;&gt;""),"débit ET crédit",IF(AND($H236="",$I236=""),"montant manquant",IF(ISNA(MATCH($D236,'Plan comptable'!$H:$H,0)),"compte hors plan",IF(AND($A236&lt;&gt;"",YEAR($A236)&lt;&gt;Exercice),"hors exercice","")))))</f>
      </c>
    </row>
    <row r="237">
      <c r="A237" s="13"/>
      <c r="B237" s="10"/>
      <c r="C237" s="9"/>
      <c r="D237" s="20"/>
      <c r="E237" s="9">
        <f>IF($D237="","",IFERROR(VLOOKUP($D237,'Plan comptable'!$H:$I,2,FALSE),"compte hors plan"))</f>
      </c>
      <c r="F237" s="9"/>
      <c r="G237" s="10"/>
      <c r="H237" s="11"/>
      <c r="I237" s="11"/>
      <c r="J237" s="10">
        <f>IF($D237="","",IF(AND($H237&lt;&gt;"",$I237&lt;&gt;""),"débit ET crédit",IF(AND($H237="",$I237=""),"montant manquant",IF(ISNA(MATCH($D237,'Plan comptable'!$H:$H,0)),"compte hors plan",IF(AND($A237&lt;&gt;"",YEAR($A237)&lt;&gt;Exercice),"hors exercice","")))))</f>
      </c>
    </row>
    <row r="238">
      <c r="A238" s="13"/>
      <c r="B238" s="10"/>
      <c r="C238" s="9"/>
      <c r="D238" s="20"/>
      <c r="E238" s="9">
        <f>IF($D238="","",IFERROR(VLOOKUP($D238,'Plan comptable'!$H:$I,2,FALSE),"compte hors plan"))</f>
      </c>
      <c r="F238" s="9"/>
      <c r="G238" s="10"/>
      <c r="H238" s="11"/>
      <c r="I238" s="11"/>
      <c r="J238" s="10">
        <f>IF($D238="","",IF(AND($H238&lt;&gt;"",$I238&lt;&gt;""),"débit ET crédit",IF(AND($H238="",$I238=""),"montant manquant",IF(ISNA(MATCH($D238,'Plan comptable'!$H:$H,0)),"compte hors plan",IF(AND($A238&lt;&gt;"",YEAR($A238)&lt;&gt;Exercice),"hors exercice","")))))</f>
      </c>
    </row>
    <row r="239">
      <c r="A239" s="13"/>
      <c r="B239" s="10"/>
      <c r="C239" s="9"/>
      <c r="D239" s="20"/>
      <c r="E239" s="9">
        <f>IF($D239="","",IFERROR(VLOOKUP($D239,'Plan comptable'!$H:$I,2,FALSE),"compte hors plan"))</f>
      </c>
      <c r="F239" s="9"/>
      <c r="G239" s="10"/>
      <c r="H239" s="11"/>
      <c r="I239" s="11"/>
      <c r="J239" s="10">
        <f>IF($D239="","",IF(AND($H239&lt;&gt;"",$I239&lt;&gt;""),"débit ET crédit",IF(AND($H239="",$I239=""),"montant manquant",IF(ISNA(MATCH($D239,'Plan comptable'!$H:$H,0)),"compte hors plan",IF(AND($A239&lt;&gt;"",YEAR($A239)&lt;&gt;Exercice),"hors exercice","")))))</f>
      </c>
    </row>
    <row r="240">
      <c r="A240" s="13"/>
      <c r="B240" s="10"/>
      <c r="C240" s="9"/>
      <c r="D240" s="20"/>
      <c r="E240" s="9">
        <f>IF($D240="","",IFERROR(VLOOKUP($D240,'Plan comptable'!$H:$I,2,FALSE),"compte hors plan"))</f>
      </c>
      <c r="F240" s="9"/>
      <c r="G240" s="10"/>
      <c r="H240" s="11"/>
      <c r="I240" s="11"/>
      <c r="J240" s="10">
        <f>IF($D240="","",IF(AND($H240&lt;&gt;"",$I240&lt;&gt;""),"débit ET crédit",IF(AND($H240="",$I240=""),"montant manquant",IF(ISNA(MATCH($D240,'Plan comptable'!$H:$H,0)),"compte hors plan",IF(AND($A240&lt;&gt;"",YEAR($A240)&lt;&gt;Exercice),"hors exercice","")))))</f>
      </c>
    </row>
    <row r="241">
      <c r="A241" s="13"/>
      <c r="B241" s="10"/>
      <c r="C241" s="9"/>
      <c r="D241" s="20"/>
      <c r="E241" s="9">
        <f>IF($D241="","",IFERROR(VLOOKUP($D241,'Plan comptable'!$H:$I,2,FALSE),"compte hors plan"))</f>
      </c>
      <c r="F241" s="9"/>
      <c r="G241" s="10"/>
      <c r="H241" s="11"/>
      <c r="I241" s="11"/>
      <c r="J241" s="10">
        <f>IF($D241="","",IF(AND($H241&lt;&gt;"",$I241&lt;&gt;""),"débit ET crédit",IF(AND($H241="",$I241=""),"montant manquant",IF(ISNA(MATCH($D241,'Plan comptable'!$H:$H,0)),"compte hors plan",IF(AND($A241&lt;&gt;"",YEAR($A241)&lt;&gt;Exercice),"hors exercice","")))))</f>
      </c>
    </row>
    <row r="242">
      <c r="A242" s="13"/>
      <c r="B242" s="10"/>
      <c r="C242" s="9"/>
      <c r="D242" s="20"/>
      <c r="E242" s="9">
        <f>IF($D242="","",IFERROR(VLOOKUP($D242,'Plan comptable'!$H:$I,2,FALSE),"compte hors plan"))</f>
      </c>
      <c r="F242" s="9"/>
      <c r="G242" s="10"/>
      <c r="H242" s="11"/>
      <c r="I242" s="11"/>
      <c r="J242" s="10">
        <f>IF($D242="","",IF(AND($H242&lt;&gt;"",$I242&lt;&gt;""),"débit ET crédit",IF(AND($H242="",$I242=""),"montant manquant",IF(ISNA(MATCH($D242,'Plan comptable'!$H:$H,0)),"compte hors plan",IF(AND($A242&lt;&gt;"",YEAR($A242)&lt;&gt;Exercice),"hors exercice","")))))</f>
      </c>
    </row>
    <row r="243">
      <c r="A243" s="13"/>
      <c r="B243" s="10"/>
      <c r="C243" s="9"/>
      <c r="D243" s="20"/>
      <c r="E243" s="9">
        <f>IF($D243="","",IFERROR(VLOOKUP($D243,'Plan comptable'!$H:$I,2,FALSE),"compte hors plan"))</f>
      </c>
      <c r="F243" s="9"/>
      <c r="G243" s="10"/>
      <c r="H243" s="11"/>
      <c r="I243" s="11"/>
      <c r="J243" s="10">
        <f>IF($D243="","",IF(AND($H243&lt;&gt;"",$I243&lt;&gt;""),"débit ET crédit",IF(AND($H243="",$I243=""),"montant manquant",IF(ISNA(MATCH($D243,'Plan comptable'!$H:$H,0)),"compte hors plan",IF(AND($A243&lt;&gt;"",YEAR($A243)&lt;&gt;Exercice),"hors exercice","")))))</f>
      </c>
    </row>
    <row r="244">
      <c r="A244" s="13"/>
      <c r="B244" s="10"/>
      <c r="C244" s="9"/>
      <c r="D244" s="20"/>
      <c r="E244" s="9">
        <f>IF($D244="","",IFERROR(VLOOKUP($D244,'Plan comptable'!$H:$I,2,FALSE),"compte hors plan"))</f>
      </c>
      <c r="F244" s="9"/>
      <c r="G244" s="10"/>
      <c r="H244" s="11"/>
      <c r="I244" s="11"/>
      <c r="J244" s="10">
        <f>IF($D244="","",IF(AND($H244&lt;&gt;"",$I244&lt;&gt;""),"débit ET crédit",IF(AND($H244="",$I244=""),"montant manquant",IF(ISNA(MATCH($D244,'Plan comptable'!$H:$H,0)),"compte hors plan",IF(AND($A244&lt;&gt;"",YEAR($A244)&lt;&gt;Exercice),"hors exercice","")))))</f>
      </c>
    </row>
    <row r="245">
      <c r="A245" s="13"/>
      <c r="B245" s="10"/>
      <c r="C245" s="9"/>
      <c r="D245" s="20"/>
      <c r="E245" s="9">
        <f>IF($D245="","",IFERROR(VLOOKUP($D245,'Plan comptable'!$H:$I,2,FALSE),"compte hors plan"))</f>
      </c>
      <c r="F245" s="9"/>
      <c r="G245" s="10"/>
      <c r="H245" s="11"/>
      <c r="I245" s="11"/>
      <c r="J245" s="10">
        <f>IF($D245="","",IF(AND($H245&lt;&gt;"",$I245&lt;&gt;""),"débit ET crédit",IF(AND($H245="",$I245=""),"montant manquant",IF(ISNA(MATCH($D245,'Plan comptable'!$H:$H,0)),"compte hors plan",IF(AND($A245&lt;&gt;"",YEAR($A245)&lt;&gt;Exercice),"hors exercice","")))))</f>
      </c>
    </row>
    <row r="246">
      <c r="A246" s="13"/>
      <c r="B246" s="10"/>
      <c r="C246" s="9"/>
      <c r="D246" s="20"/>
      <c r="E246" s="9">
        <f>IF($D246="","",IFERROR(VLOOKUP($D246,'Plan comptable'!$H:$I,2,FALSE),"compte hors plan"))</f>
      </c>
      <c r="F246" s="9"/>
      <c r="G246" s="10"/>
      <c r="H246" s="11"/>
      <c r="I246" s="11"/>
      <c r="J246" s="10">
        <f>IF($D246="","",IF(AND($H246&lt;&gt;"",$I246&lt;&gt;""),"débit ET crédit",IF(AND($H246="",$I246=""),"montant manquant",IF(ISNA(MATCH($D246,'Plan comptable'!$H:$H,0)),"compte hors plan",IF(AND($A246&lt;&gt;"",YEAR($A246)&lt;&gt;Exercice),"hors exercice","")))))</f>
      </c>
    </row>
    <row r="247">
      <c r="A247" s="13"/>
      <c r="B247" s="10"/>
      <c r="C247" s="9"/>
      <c r="D247" s="20"/>
      <c r="E247" s="9">
        <f>IF($D247="","",IFERROR(VLOOKUP($D247,'Plan comptable'!$H:$I,2,FALSE),"compte hors plan"))</f>
      </c>
      <c r="F247" s="9"/>
      <c r="G247" s="10"/>
      <c r="H247" s="11"/>
      <c r="I247" s="11"/>
      <c r="J247" s="10">
        <f>IF($D247="","",IF(AND($H247&lt;&gt;"",$I247&lt;&gt;""),"débit ET crédit",IF(AND($H247="",$I247=""),"montant manquant",IF(ISNA(MATCH($D247,'Plan comptable'!$H:$H,0)),"compte hors plan",IF(AND($A247&lt;&gt;"",YEAR($A247)&lt;&gt;Exercice),"hors exercice","")))))</f>
      </c>
    </row>
    <row r="248">
      <c r="A248" s="13"/>
      <c r="B248" s="10"/>
      <c r="C248" s="9"/>
      <c r="D248" s="20"/>
      <c r="E248" s="9">
        <f>IF($D248="","",IFERROR(VLOOKUP($D248,'Plan comptable'!$H:$I,2,FALSE),"compte hors plan"))</f>
      </c>
      <c r="F248" s="9"/>
      <c r="G248" s="10"/>
      <c r="H248" s="11"/>
      <c r="I248" s="11"/>
      <c r="J248" s="10">
        <f>IF($D248="","",IF(AND($H248&lt;&gt;"",$I248&lt;&gt;""),"débit ET crédit",IF(AND($H248="",$I248=""),"montant manquant",IF(ISNA(MATCH($D248,'Plan comptable'!$H:$H,0)),"compte hors plan",IF(AND($A248&lt;&gt;"",YEAR($A248)&lt;&gt;Exercice),"hors exercice","")))))</f>
      </c>
    </row>
    <row r="249">
      <c r="A249" s="13"/>
      <c r="B249" s="10"/>
      <c r="C249" s="9"/>
      <c r="D249" s="20"/>
      <c r="E249" s="9">
        <f>IF($D249="","",IFERROR(VLOOKUP($D249,'Plan comptable'!$H:$I,2,FALSE),"compte hors plan"))</f>
      </c>
      <c r="F249" s="9"/>
      <c r="G249" s="10"/>
      <c r="H249" s="11"/>
      <c r="I249" s="11"/>
      <c r="J249" s="10">
        <f>IF($D249="","",IF(AND($H249&lt;&gt;"",$I249&lt;&gt;""),"débit ET crédit",IF(AND($H249="",$I249=""),"montant manquant",IF(ISNA(MATCH($D249,'Plan comptable'!$H:$H,0)),"compte hors plan",IF(AND($A249&lt;&gt;"",YEAR($A249)&lt;&gt;Exercice),"hors exercice","")))))</f>
      </c>
    </row>
    <row r="250">
      <c r="A250" s="13"/>
      <c r="B250" s="10"/>
      <c r="C250" s="9"/>
      <c r="D250" s="20"/>
      <c r="E250" s="9">
        <f>IF($D250="","",IFERROR(VLOOKUP($D250,'Plan comptable'!$H:$I,2,FALSE),"compte hors plan"))</f>
      </c>
      <c r="F250" s="9"/>
      <c r="G250" s="10"/>
      <c r="H250" s="11"/>
      <c r="I250" s="11"/>
      <c r="J250" s="10">
        <f>IF($D250="","",IF(AND($H250&lt;&gt;"",$I250&lt;&gt;""),"débit ET crédit",IF(AND($H250="",$I250=""),"montant manquant",IF(ISNA(MATCH($D250,'Plan comptable'!$H:$H,0)),"compte hors plan",IF(AND($A250&lt;&gt;"",YEAR($A250)&lt;&gt;Exercice),"hors exercice","")))))</f>
      </c>
    </row>
    <row r="251">
      <c r="A251" s="13"/>
      <c r="B251" s="10"/>
      <c r="C251" s="9"/>
      <c r="D251" s="20"/>
      <c r="E251" s="9">
        <f>IF($D251="","",IFERROR(VLOOKUP($D251,'Plan comptable'!$H:$I,2,FALSE),"compte hors plan"))</f>
      </c>
      <c r="F251" s="9"/>
      <c r="G251" s="10"/>
      <c r="H251" s="11"/>
      <c r="I251" s="11"/>
      <c r="J251" s="10">
        <f>IF($D251="","",IF(AND($H251&lt;&gt;"",$I251&lt;&gt;""),"débit ET crédit",IF(AND($H251="",$I251=""),"montant manquant",IF(ISNA(MATCH($D251,'Plan comptable'!$H:$H,0)),"compte hors plan",IF(AND($A251&lt;&gt;"",YEAR($A251)&lt;&gt;Exercice),"hors exercice","")))))</f>
      </c>
    </row>
    <row r="252">
      <c r="A252" s="13"/>
      <c r="B252" s="10"/>
      <c r="C252" s="9"/>
      <c r="D252" s="20"/>
      <c r="E252" s="9">
        <f>IF($D252="","",IFERROR(VLOOKUP($D252,'Plan comptable'!$H:$I,2,FALSE),"compte hors plan"))</f>
      </c>
      <c r="F252" s="9"/>
      <c r="G252" s="10"/>
      <c r="H252" s="11"/>
      <c r="I252" s="11"/>
      <c r="J252" s="10">
        <f>IF($D252="","",IF(AND($H252&lt;&gt;"",$I252&lt;&gt;""),"débit ET crédit",IF(AND($H252="",$I252=""),"montant manquant",IF(ISNA(MATCH($D252,'Plan comptable'!$H:$H,0)),"compte hors plan",IF(AND($A252&lt;&gt;"",YEAR($A252)&lt;&gt;Exercice),"hors exercice","")))))</f>
      </c>
    </row>
    <row r="253">
      <c r="A253" s="13"/>
      <c r="B253" s="10"/>
      <c r="C253" s="9"/>
      <c r="D253" s="20"/>
      <c r="E253" s="9">
        <f>IF($D253="","",IFERROR(VLOOKUP($D253,'Plan comptable'!$H:$I,2,FALSE),"compte hors plan"))</f>
      </c>
      <c r="F253" s="9"/>
      <c r="G253" s="10"/>
      <c r="H253" s="11"/>
      <c r="I253" s="11"/>
      <c r="J253" s="10">
        <f>IF($D253="","",IF(AND($H253&lt;&gt;"",$I253&lt;&gt;""),"débit ET crédit",IF(AND($H253="",$I253=""),"montant manquant",IF(ISNA(MATCH($D253,'Plan comptable'!$H:$H,0)),"compte hors plan",IF(AND($A253&lt;&gt;"",YEAR($A253)&lt;&gt;Exercice),"hors exercice","")))))</f>
      </c>
    </row>
    <row r="254">
      <c r="A254" s="13"/>
      <c r="B254" s="10"/>
      <c r="C254" s="9"/>
      <c r="D254" s="20"/>
      <c r="E254" s="9">
        <f>IF($D254="","",IFERROR(VLOOKUP($D254,'Plan comptable'!$H:$I,2,FALSE),"compte hors plan"))</f>
      </c>
      <c r="F254" s="9"/>
      <c r="G254" s="10"/>
      <c r="H254" s="11"/>
      <c r="I254" s="11"/>
      <c r="J254" s="10">
        <f>IF($D254="","",IF(AND($H254&lt;&gt;"",$I254&lt;&gt;""),"débit ET crédit",IF(AND($H254="",$I254=""),"montant manquant",IF(ISNA(MATCH($D254,'Plan comptable'!$H:$H,0)),"compte hors plan",IF(AND($A254&lt;&gt;"",YEAR($A254)&lt;&gt;Exercice),"hors exercice","")))))</f>
      </c>
    </row>
    <row r="255">
      <c r="A255" s="13"/>
      <c r="B255" s="10"/>
      <c r="C255" s="9"/>
      <c r="D255" s="20"/>
      <c r="E255" s="9">
        <f>IF($D255="","",IFERROR(VLOOKUP($D255,'Plan comptable'!$H:$I,2,FALSE),"compte hors plan"))</f>
      </c>
      <c r="F255" s="9"/>
      <c r="G255" s="10"/>
      <c r="H255" s="11"/>
      <c r="I255" s="11"/>
      <c r="J255" s="10">
        <f>IF($D255="","",IF(AND($H255&lt;&gt;"",$I255&lt;&gt;""),"débit ET crédit",IF(AND($H255="",$I255=""),"montant manquant",IF(ISNA(MATCH($D255,'Plan comptable'!$H:$H,0)),"compte hors plan",IF(AND($A255&lt;&gt;"",YEAR($A255)&lt;&gt;Exercice),"hors exercice","")))))</f>
      </c>
    </row>
    <row r="256">
      <c r="A256" s="13"/>
      <c r="B256" s="10"/>
      <c r="C256" s="9"/>
      <c r="D256" s="20"/>
      <c r="E256" s="9">
        <f>IF($D256="","",IFERROR(VLOOKUP($D256,'Plan comptable'!$H:$I,2,FALSE),"compte hors plan"))</f>
      </c>
      <c r="F256" s="9"/>
      <c r="G256" s="10"/>
      <c r="H256" s="11"/>
      <c r="I256" s="11"/>
      <c r="J256" s="10">
        <f>IF($D256="","",IF(AND($H256&lt;&gt;"",$I256&lt;&gt;""),"débit ET crédit",IF(AND($H256="",$I256=""),"montant manquant",IF(ISNA(MATCH($D256,'Plan comptable'!$H:$H,0)),"compte hors plan",IF(AND($A256&lt;&gt;"",YEAR($A256)&lt;&gt;Exercice),"hors exercice","")))))</f>
      </c>
    </row>
    <row r="257">
      <c r="A257" s="13"/>
      <c r="B257" s="10"/>
      <c r="C257" s="9"/>
      <c r="D257" s="20"/>
      <c r="E257" s="9">
        <f>IF($D257="","",IFERROR(VLOOKUP($D257,'Plan comptable'!$H:$I,2,FALSE),"compte hors plan"))</f>
      </c>
      <c r="F257" s="9"/>
      <c r="G257" s="10"/>
      <c r="H257" s="11"/>
      <c r="I257" s="11"/>
      <c r="J257" s="10">
        <f>IF($D257="","",IF(AND($H257&lt;&gt;"",$I257&lt;&gt;""),"débit ET crédit",IF(AND($H257="",$I257=""),"montant manquant",IF(ISNA(MATCH($D257,'Plan comptable'!$H:$H,0)),"compte hors plan",IF(AND($A257&lt;&gt;"",YEAR($A257)&lt;&gt;Exercice),"hors exercice","")))))</f>
      </c>
    </row>
    <row r="258">
      <c r="A258" s="13"/>
      <c r="B258" s="10"/>
      <c r="C258" s="9"/>
      <c r="D258" s="20"/>
      <c r="E258" s="9">
        <f>IF($D258="","",IFERROR(VLOOKUP($D258,'Plan comptable'!$H:$I,2,FALSE),"compte hors plan"))</f>
      </c>
      <c r="F258" s="9"/>
      <c r="G258" s="10"/>
      <c r="H258" s="11"/>
      <c r="I258" s="11"/>
      <c r="J258" s="10">
        <f>IF($D258="","",IF(AND($H258&lt;&gt;"",$I258&lt;&gt;""),"débit ET crédit",IF(AND($H258="",$I258=""),"montant manquant",IF(ISNA(MATCH($D258,'Plan comptable'!$H:$H,0)),"compte hors plan",IF(AND($A258&lt;&gt;"",YEAR($A258)&lt;&gt;Exercice),"hors exercice","")))))</f>
      </c>
    </row>
    <row r="259">
      <c r="A259" s="13"/>
      <c r="B259" s="10"/>
      <c r="C259" s="9"/>
      <c r="D259" s="20"/>
      <c r="E259" s="9">
        <f>IF($D259="","",IFERROR(VLOOKUP($D259,'Plan comptable'!$H:$I,2,FALSE),"compte hors plan"))</f>
      </c>
      <c r="F259" s="9"/>
      <c r="G259" s="10"/>
      <c r="H259" s="11"/>
      <c r="I259" s="11"/>
      <c r="J259" s="10">
        <f>IF($D259="","",IF(AND($H259&lt;&gt;"",$I259&lt;&gt;""),"débit ET crédit",IF(AND($H259="",$I259=""),"montant manquant",IF(ISNA(MATCH($D259,'Plan comptable'!$H:$H,0)),"compte hors plan",IF(AND($A259&lt;&gt;"",YEAR($A259)&lt;&gt;Exercice),"hors exercice","")))))</f>
      </c>
    </row>
    <row r="260">
      <c r="A260" s="13"/>
      <c r="B260" s="10"/>
      <c r="C260" s="9"/>
      <c r="D260" s="20"/>
      <c r="E260" s="9">
        <f>IF($D260="","",IFERROR(VLOOKUP($D260,'Plan comptable'!$H:$I,2,FALSE),"compte hors plan"))</f>
      </c>
      <c r="F260" s="9"/>
      <c r="G260" s="10"/>
      <c r="H260" s="11"/>
      <c r="I260" s="11"/>
      <c r="J260" s="10">
        <f>IF($D260="","",IF(AND($H260&lt;&gt;"",$I260&lt;&gt;""),"débit ET crédit",IF(AND($H260="",$I260=""),"montant manquant",IF(ISNA(MATCH($D260,'Plan comptable'!$H:$H,0)),"compte hors plan",IF(AND($A260&lt;&gt;"",YEAR($A260)&lt;&gt;Exercice),"hors exercice","")))))</f>
      </c>
    </row>
    <row r="261">
      <c r="A261" s="13"/>
      <c r="B261" s="10"/>
      <c r="C261" s="9"/>
      <c r="D261" s="20"/>
      <c r="E261" s="9">
        <f>IF($D261="","",IFERROR(VLOOKUP($D261,'Plan comptable'!$H:$I,2,FALSE),"compte hors plan"))</f>
      </c>
      <c r="F261" s="9"/>
      <c r="G261" s="10"/>
      <c r="H261" s="11"/>
      <c r="I261" s="11"/>
      <c r="J261" s="10">
        <f>IF($D261="","",IF(AND($H261&lt;&gt;"",$I261&lt;&gt;""),"débit ET crédit",IF(AND($H261="",$I261=""),"montant manquant",IF(ISNA(MATCH($D261,'Plan comptable'!$H:$H,0)),"compte hors plan",IF(AND($A261&lt;&gt;"",YEAR($A261)&lt;&gt;Exercice),"hors exercice","")))))</f>
      </c>
    </row>
    <row r="262">
      <c r="A262" s="13"/>
      <c r="B262" s="10"/>
      <c r="C262" s="9"/>
      <c r="D262" s="20"/>
      <c r="E262" s="9">
        <f>IF($D262="","",IFERROR(VLOOKUP($D262,'Plan comptable'!$H:$I,2,FALSE),"compte hors plan"))</f>
      </c>
      <c r="F262" s="9"/>
      <c r="G262" s="10"/>
      <c r="H262" s="11"/>
      <c r="I262" s="11"/>
      <c r="J262" s="10">
        <f>IF($D262="","",IF(AND($H262&lt;&gt;"",$I262&lt;&gt;""),"débit ET crédit",IF(AND($H262="",$I262=""),"montant manquant",IF(ISNA(MATCH($D262,'Plan comptable'!$H:$H,0)),"compte hors plan",IF(AND($A262&lt;&gt;"",YEAR($A262)&lt;&gt;Exercice),"hors exercice","")))))</f>
      </c>
    </row>
    <row r="263">
      <c r="A263" s="13"/>
      <c r="B263" s="10"/>
      <c r="C263" s="9"/>
      <c r="D263" s="20"/>
      <c r="E263" s="9">
        <f>IF($D263="","",IFERROR(VLOOKUP($D263,'Plan comptable'!$H:$I,2,FALSE),"compte hors plan"))</f>
      </c>
      <c r="F263" s="9"/>
      <c r="G263" s="10"/>
      <c r="H263" s="11"/>
      <c r="I263" s="11"/>
      <c r="J263" s="10">
        <f>IF($D263="","",IF(AND($H263&lt;&gt;"",$I263&lt;&gt;""),"débit ET crédit",IF(AND($H263="",$I263=""),"montant manquant",IF(ISNA(MATCH($D263,'Plan comptable'!$H:$H,0)),"compte hors plan",IF(AND($A263&lt;&gt;"",YEAR($A263)&lt;&gt;Exercice),"hors exercice","")))))</f>
      </c>
    </row>
    <row r="264">
      <c r="A264" s="13"/>
      <c r="B264" s="10"/>
      <c r="C264" s="9"/>
      <c r="D264" s="20"/>
      <c r="E264" s="9">
        <f>IF($D264="","",IFERROR(VLOOKUP($D264,'Plan comptable'!$H:$I,2,FALSE),"compte hors plan"))</f>
      </c>
      <c r="F264" s="9"/>
      <c r="G264" s="10"/>
      <c r="H264" s="11"/>
      <c r="I264" s="11"/>
      <c r="J264" s="10">
        <f>IF($D264="","",IF(AND($H264&lt;&gt;"",$I264&lt;&gt;""),"débit ET crédit",IF(AND($H264="",$I264=""),"montant manquant",IF(ISNA(MATCH($D264,'Plan comptable'!$H:$H,0)),"compte hors plan",IF(AND($A264&lt;&gt;"",YEAR($A264)&lt;&gt;Exercice),"hors exercice","")))))</f>
      </c>
    </row>
    <row r="265">
      <c r="A265" s="13"/>
      <c r="B265" s="10"/>
      <c r="C265" s="9"/>
      <c r="D265" s="20"/>
      <c r="E265" s="9">
        <f>IF($D265="","",IFERROR(VLOOKUP($D265,'Plan comptable'!$H:$I,2,FALSE),"compte hors plan"))</f>
      </c>
      <c r="F265" s="9"/>
      <c r="G265" s="10"/>
      <c r="H265" s="11"/>
      <c r="I265" s="11"/>
      <c r="J265" s="10">
        <f>IF($D265="","",IF(AND($H265&lt;&gt;"",$I265&lt;&gt;""),"débit ET crédit",IF(AND($H265="",$I265=""),"montant manquant",IF(ISNA(MATCH($D265,'Plan comptable'!$H:$H,0)),"compte hors plan",IF(AND($A265&lt;&gt;"",YEAR($A265)&lt;&gt;Exercice),"hors exercice","")))))</f>
      </c>
    </row>
    <row r="266">
      <c r="A266" s="13"/>
      <c r="B266" s="10"/>
      <c r="C266" s="9"/>
      <c r="D266" s="20"/>
      <c r="E266" s="9">
        <f>IF($D266="","",IFERROR(VLOOKUP($D266,'Plan comptable'!$H:$I,2,FALSE),"compte hors plan"))</f>
      </c>
      <c r="F266" s="9"/>
      <c r="G266" s="10"/>
      <c r="H266" s="11"/>
      <c r="I266" s="11"/>
      <c r="J266" s="10">
        <f>IF($D266="","",IF(AND($H266&lt;&gt;"",$I266&lt;&gt;""),"débit ET crédit",IF(AND($H266="",$I266=""),"montant manquant",IF(ISNA(MATCH($D266,'Plan comptable'!$H:$H,0)),"compte hors plan",IF(AND($A266&lt;&gt;"",YEAR($A266)&lt;&gt;Exercice),"hors exercice","")))))</f>
      </c>
    </row>
    <row r="267">
      <c r="A267" s="13"/>
      <c r="B267" s="10"/>
      <c r="C267" s="9"/>
      <c r="D267" s="20"/>
      <c r="E267" s="9">
        <f>IF($D267="","",IFERROR(VLOOKUP($D267,'Plan comptable'!$H:$I,2,FALSE),"compte hors plan"))</f>
      </c>
      <c r="F267" s="9"/>
      <c r="G267" s="10"/>
      <c r="H267" s="11"/>
      <c r="I267" s="11"/>
      <c r="J267" s="10">
        <f>IF($D267="","",IF(AND($H267&lt;&gt;"",$I267&lt;&gt;""),"débit ET crédit",IF(AND($H267="",$I267=""),"montant manquant",IF(ISNA(MATCH($D267,'Plan comptable'!$H:$H,0)),"compte hors plan",IF(AND($A267&lt;&gt;"",YEAR($A267)&lt;&gt;Exercice),"hors exercice","")))))</f>
      </c>
    </row>
    <row r="268">
      <c r="A268" s="13"/>
      <c r="B268" s="10"/>
      <c r="C268" s="9"/>
      <c r="D268" s="20"/>
      <c r="E268" s="9">
        <f>IF($D268="","",IFERROR(VLOOKUP($D268,'Plan comptable'!$H:$I,2,FALSE),"compte hors plan"))</f>
      </c>
      <c r="F268" s="9"/>
      <c r="G268" s="10"/>
      <c r="H268" s="11"/>
      <c r="I268" s="11"/>
      <c r="J268" s="10">
        <f>IF($D268="","",IF(AND($H268&lt;&gt;"",$I268&lt;&gt;""),"débit ET crédit",IF(AND($H268="",$I268=""),"montant manquant",IF(ISNA(MATCH($D268,'Plan comptable'!$H:$H,0)),"compte hors plan",IF(AND($A268&lt;&gt;"",YEAR($A268)&lt;&gt;Exercice),"hors exercice","")))))</f>
      </c>
    </row>
    <row r="269">
      <c r="A269" s="13"/>
      <c r="B269" s="10"/>
      <c r="C269" s="9"/>
      <c r="D269" s="20"/>
      <c r="E269" s="9">
        <f>IF($D269="","",IFERROR(VLOOKUP($D269,'Plan comptable'!$H:$I,2,FALSE),"compte hors plan"))</f>
      </c>
      <c r="F269" s="9"/>
      <c r="G269" s="10"/>
      <c r="H269" s="11"/>
      <c r="I269" s="11"/>
      <c r="J269" s="10">
        <f>IF($D269="","",IF(AND($H269&lt;&gt;"",$I269&lt;&gt;""),"débit ET crédit",IF(AND($H269="",$I269=""),"montant manquant",IF(ISNA(MATCH($D269,'Plan comptable'!$H:$H,0)),"compte hors plan",IF(AND($A269&lt;&gt;"",YEAR($A269)&lt;&gt;Exercice),"hors exercice","")))))</f>
      </c>
    </row>
    <row r="270">
      <c r="A270" s="13"/>
      <c r="B270" s="10"/>
      <c r="C270" s="9"/>
      <c r="D270" s="20"/>
      <c r="E270" s="9">
        <f>IF($D270="","",IFERROR(VLOOKUP($D270,'Plan comptable'!$H:$I,2,FALSE),"compte hors plan"))</f>
      </c>
      <c r="F270" s="9"/>
      <c r="G270" s="10"/>
      <c r="H270" s="11"/>
      <c r="I270" s="11"/>
      <c r="J270" s="10">
        <f>IF($D270="","",IF(AND($H270&lt;&gt;"",$I270&lt;&gt;""),"débit ET crédit",IF(AND($H270="",$I270=""),"montant manquant",IF(ISNA(MATCH($D270,'Plan comptable'!$H:$H,0)),"compte hors plan",IF(AND($A270&lt;&gt;"",YEAR($A270)&lt;&gt;Exercice),"hors exercice","")))))</f>
      </c>
    </row>
    <row r="271">
      <c r="A271" s="13"/>
      <c r="B271" s="10"/>
      <c r="C271" s="9"/>
      <c r="D271" s="20"/>
      <c r="E271" s="9">
        <f>IF($D271="","",IFERROR(VLOOKUP($D271,'Plan comptable'!$H:$I,2,FALSE),"compte hors plan"))</f>
      </c>
      <c r="F271" s="9"/>
      <c r="G271" s="10"/>
      <c r="H271" s="11"/>
      <c r="I271" s="11"/>
      <c r="J271" s="10">
        <f>IF($D271="","",IF(AND($H271&lt;&gt;"",$I271&lt;&gt;""),"débit ET crédit",IF(AND($H271="",$I271=""),"montant manquant",IF(ISNA(MATCH($D271,'Plan comptable'!$H:$H,0)),"compte hors plan",IF(AND($A271&lt;&gt;"",YEAR($A271)&lt;&gt;Exercice),"hors exercice","")))))</f>
      </c>
    </row>
    <row r="272">
      <c r="A272" s="13"/>
      <c r="B272" s="10"/>
      <c r="C272" s="9"/>
      <c r="D272" s="20"/>
      <c r="E272" s="9">
        <f>IF($D272="","",IFERROR(VLOOKUP($D272,'Plan comptable'!$H:$I,2,FALSE),"compte hors plan"))</f>
      </c>
      <c r="F272" s="9"/>
      <c r="G272" s="10"/>
      <c r="H272" s="11"/>
      <c r="I272" s="11"/>
      <c r="J272" s="10">
        <f>IF($D272="","",IF(AND($H272&lt;&gt;"",$I272&lt;&gt;""),"débit ET crédit",IF(AND($H272="",$I272=""),"montant manquant",IF(ISNA(MATCH($D272,'Plan comptable'!$H:$H,0)),"compte hors plan",IF(AND($A272&lt;&gt;"",YEAR($A272)&lt;&gt;Exercice),"hors exercice","")))))</f>
      </c>
    </row>
    <row r="273">
      <c r="A273" s="13"/>
      <c r="B273" s="10"/>
      <c r="C273" s="9"/>
      <c r="D273" s="20"/>
      <c r="E273" s="9">
        <f>IF($D273="","",IFERROR(VLOOKUP($D273,'Plan comptable'!$H:$I,2,FALSE),"compte hors plan"))</f>
      </c>
      <c r="F273" s="9"/>
      <c r="G273" s="10"/>
      <c r="H273" s="11"/>
      <c r="I273" s="11"/>
      <c r="J273" s="10">
        <f>IF($D273="","",IF(AND($H273&lt;&gt;"",$I273&lt;&gt;""),"débit ET crédit",IF(AND($H273="",$I273=""),"montant manquant",IF(ISNA(MATCH($D273,'Plan comptable'!$H:$H,0)),"compte hors plan",IF(AND($A273&lt;&gt;"",YEAR($A273)&lt;&gt;Exercice),"hors exercice","")))))</f>
      </c>
    </row>
    <row r="274">
      <c r="A274" s="13"/>
      <c r="B274" s="10"/>
      <c r="C274" s="9"/>
      <c r="D274" s="20"/>
      <c r="E274" s="9">
        <f>IF($D274="","",IFERROR(VLOOKUP($D274,'Plan comptable'!$H:$I,2,FALSE),"compte hors plan"))</f>
      </c>
      <c r="F274" s="9"/>
      <c r="G274" s="10"/>
      <c r="H274" s="11"/>
      <c r="I274" s="11"/>
      <c r="J274" s="10">
        <f>IF($D274="","",IF(AND($H274&lt;&gt;"",$I274&lt;&gt;""),"débit ET crédit",IF(AND($H274="",$I274=""),"montant manquant",IF(ISNA(MATCH($D274,'Plan comptable'!$H:$H,0)),"compte hors plan",IF(AND($A274&lt;&gt;"",YEAR($A274)&lt;&gt;Exercice),"hors exercice","")))))</f>
      </c>
    </row>
    <row r="275">
      <c r="A275" s="13"/>
      <c r="B275" s="10"/>
      <c r="C275" s="9"/>
      <c r="D275" s="20"/>
      <c r="E275" s="9">
        <f>IF($D275="","",IFERROR(VLOOKUP($D275,'Plan comptable'!$H:$I,2,FALSE),"compte hors plan"))</f>
      </c>
      <c r="F275" s="9"/>
      <c r="G275" s="10"/>
      <c r="H275" s="11"/>
      <c r="I275" s="11"/>
      <c r="J275" s="10">
        <f>IF($D275="","",IF(AND($H275&lt;&gt;"",$I275&lt;&gt;""),"débit ET crédit",IF(AND($H275="",$I275=""),"montant manquant",IF(ISNA(MATCH($D275,'Plan comptable'!$H:$H,0)),"compte hors plan",IF(AND($A275&lt;&gt;"",YEAR($A275)&lt;&gt;Exercice),"hors exercice","")))))</f>
      </c>
    </row>
    <row r="276">
      <c r="A276" s="13"/>
      <c r="B276" s="10"/>
      <c r="C276" s="9"/>
      <c r="D276" s="20"/>
      <c r="E276" s="9">
        <f>IF($D276="","",IFERROR(VLOOKUP($D276,'Plan comptable'!$H:$I,2,FALSE),"compte hors plan"))</f>
      </c>
      <c r="F276" s="9"/>
      <c r="G276" s="10"/>
      <c r="H276" s="11"/>
      <c r="I276" s="11"/>
      <c r="J276" s="10">
        <f>IF($D276="","",IF(AND($H276&lt;&gt;"",$I276&lt;&gt;""),"débit ET crédit",IF(AND($H276="",$I276=""),"montant manquant",IF(ISNA(MATCH($D276,'Plan comptable'!$H:$H,0)),"compte hors plan",IF(AND($A276&lt;&gt;"",YEAR($A276)&lt;&gt;Exercice),"hors exercice","")))))</f>
      </c>
    </row>
    <row r="277">
      <c r="A277" s="13"/>
      <c r="B277" s="10"/>
      <c r="C277" s="9"/>
      <c r="D277" s="20"/>
      <c r="E277" s="9">
        <f>IF($D277="","",IFERROR(VLOOKUP($D277,'Plan comptable'!$H:$I,2,FALSE),"compte hors plan"))</f>
      </c>
      <c r="F277" s="9"/>
      <c r="G277" s="10"/>
      <c r="H277" s="11"/>
      <c r="I277" s="11"/>
      <c r="J277" s="10">
        <f>IF($D277="","",IF(AND($H277&lt;&gt;"",$I277&lt;&gt;""),"débit ET crédit",IF(AND($H277="",$I277=""),"montant manquant",IF(ISNA(MATCH($D277,'Plan comptable'!$H:$H,0)),"compte hors plan",IF(AND($A277&lt;&gt;"",YEAR($A277)&lt;&gt;Exercice),"hors exercice","")))))</f>
      </c>
    </row>
    <row r="278">
      <c r="A278" s="13"/>
      <c r="B278" s="10"/>
      <c r="C278" s="9"/>
      <c r="D278" s="20"/>
      <c r="E278" s="9">
        <f>IF($D278="","",IFERROR(VLOOKUP($D278,'Plan comptable'!$H:$I,2,FALSE),"compte hors plan"))</f>
      </c>
      <c r="F278" s="9"/>
      <c r="G278" s="10"/>
      <c r="H278" s="11"/>
      <c r="I278" s="11"/>
      <c r="J278" s="10">
        <f>IF($D278="","",IF(AND($H278&lt;&gt;"",$I278&lt;&gt;""),"débit ET crédit",IF(AND($H278="",$I278=""),"montant manquant",IF(ISNA(MATCH($D278,'Plan comptable'!$H:$H,0)),"compte hors plan",IF(AND($A278&lt;&gt;"",YEAR($A278)&lt;&gt;Exercice),"hors exercice","")))))</f>
      </c>
    </row>
    <row r="279">
      <c r="A279" s="13"/>
      <c r="B279" s="10"/>
      <c r="C279" s="9"/>
      <c r="D279" s="20"/>
      <c r="E279" s="9">
        <f>IF($D279="","",IFERROR(VLOOKUP($D279,'Plan comptable'!$H:$I,2,FALSE),"compte hors plan"))</f>
      </c>
      <c r="F279" s="9"/>
      <c r="G279" s="10"/>
      <c r="H279" s="11"/>
      <c r="I279" s="11"/>
      <c r="J279" s="10">
        <f>IF($D279="","",IF(AND($H279&lt;&gt;"",$I279&lt;&gt;""),"débit ET crédit",IF(AND($H279="",$I279=""),"montant manquant",IF(ISNA(MATCH($D279,'Plan comptable'!$H:$H,0)),"compte hors plan",IF(AND($A279&lt;&gt;"",YEAR($A279)&lt;&gt;Exercice),"hors exercice","")))))</f>
      </c>
    </row>
    <row r="280">
      <c r="A280" s="13"/>
      <c r="B280" s="10"/>
      <c r="C280" s="9"/>
      <c r="D280" s="20"/>
      <c r="E280" s="9">
        <f>IF($D280="","",IFERROR(VLOOKUP($D280,'Plan comptable'!$H:$I,2,FALSE),"compte hors plan"))</f>
      </c>
      <c r="F280" s="9"/>
      <c r="G280" s="10"/>
      <c r="H280" s="11"/>
      <c r="I280" s="11"/>
      <c r="J280" s="10">
        <f>IF($D280="","",IF(AND($H280&lt;&gt;"",$I280&lt;&gt;""),"débit ET crédit",IF(AND($H280="",$I280=""),"montant manquant",IF(ISNA(MATCH($D280,'Plan comptable'!$H:$H,0)),"compte hors plan",IF(AND($A280&lt;&gt;"",YEAR($A280)&lt;&gt;Exercice),"hors exercice","")))))</f>
      </c>
    </row>
    <row r="281">
      <c r="A281" s="13"/>
      <c r="B281" s="10"/>
      <c r="C281" s="9"/>
      <c r="D281" s="20"/>
      <c r="E281" s="9">
        <f>IF($D281="","",IFERROR(VLOOKUP($D281,'Plan comptable'!$H:$I,2,FALSE),"compte hors plan"))</f>
      </c>
      <c r="F281" s="9"/>
      <c r="G281" s="10"/>
      <c r="H281" s="11"/>
      <c r="I281" s="11"/>
      <c r="J281" s="10">
        <f>IF($D281="","",IF(AND($H281&lt;&gt;"",$I281&lt;&gt;""),"débit ET crédit",IF(AND($H281="",$I281=""),"montant manquant",IF(ISNA(MATCH($D281,'Plan comptable'!$H:$H,0)),"compte hors plan",IF(AND($A281&lt;&gt;"",YEAR($A281)&lt;&gt;Exercice),"hors exercice","")))))</f>
      </c>
    </row>
    <row r="282">
      <c r="A282" s="13"/>
      <c r="B282" s="10"/>
      <c r="C282" s="9"/>
      <c r="D282" s="20"/>
      <c r="E282" s="9">
        <f>IF($D282="","",IFERROR(VLOOKUP($D282,'Plan comptable'!$H:$I,2,FALSE),"compte hors plan"))</f>
      </c>
      <c r="F282" s="9"/>
      <c r="G282" s="10"/>
      <c r="H282" s="11"/>
      <c r="I282" s="11"/>
      <c r="J282" s="10">
        <f>IF($D282="","",IF(AND($H282&lt;&gt;"",$I282&lt;&gt;""),"débit ET crédit",IF(AND($H282="",$I282=""),"montant manquant",IF(ISNA(MATCH($D282,'Plan comptable'!$H:$H,0)),"compte hors plan",IF(AND($A282&lt;&gt;"",YEAR($A282)&lt;&gt;Exercice),"hors exercice","")))))</f>
      </c>
    </row>
    <row r="283">
      <c r="A283" s="13"/>
      <c r="B283" s="10"/>
      <c r="C283" s="9"/>
      <c r="D283" s="20"/>
      <c r="E283" s="9">
        <f>IF($D283="","",IFERROR(VLOOKUP($D283,'Plan comptable'!$H:$I,2,FALSE),"compte hors plan"))</f>
      </c>
      <c r="F283" s="9"/>
      <c r="G283" s="10"/>
      <c r="H283" s="11"/>
      <c r="I283" s="11"/>
      <c r="J283" s="10">
        <f>IF($D283="","",IF(AND($H283&lt;&gt;"",$I283&lt;&gt;""),"débit ET crédit",IF(AND($H283="",$I283=""),"montant manquant",IF(ISNA(MATCH($D283,'Plan comptable'!$H:$H,0)),"compte hors plan",IF(AND($A283&lt;&gt;"",YEAR($A283)&lt;&gt;Exercice),"hors exercice","")))))</f>
      </c>
    </row>
    <row r="284">
      <c r="A284" s="13"/>
      <c r="B284" s="10"/>
      <c r="C284" s="9"/>
      <c r="D284" s="20"/>
      <c r="E284" s="9">
        <f>IF($D284="","",IFERROR(VLOOKUP($D284,'Plan comptable'!$H:$I,2,FALSE),"compte hors plan"))</f>
      </c>
      <c r="F284" s="9"/>
      <c r="G284" s="10"/>
      <c r="H284" s="11"/>
      <c r="I284" s="11"/>
      <c r="J284" s="10">
        <f>IF($D284="","",IF(AND($H284&lt;&gt;"",$I284&lt;&gt;""),"débit ET crédit",IF(AND($H284="",$I284=""),"montant manquant",IF(ISNA(MATCH($D284,'Plan comptable'!$H:$H,0)),"compte hors plan",IF(AND($A284&lt;&gt;"",YEAR($A284)&lt;&gt;Exercice),"hors exercice","")))))</f>
      </c>
    </row>
    <row r="285">
      <c r="A285" s="13"/>
      <c r="B285" s="10"/>
      <c r="C285" s="9"/>
      <c r="D285" s="20"/>
      <c r="E285" s="9">
        <f>IF($D285="","",IFERROR(VLOOKUP($D285,'Plan comptable'!$H:$I,2,FALSE),"compte hors plan"))</f>
      </c>
      <c r="F285" s="9"/>
      <c r="G285" s="10"/>
      <c r="H285" s="11"/>
      <c r="I285" s="11"/>
      <c r="J285" s="10">
        <f>IF($D285="","",IF(AND($H285&lt;&gt;"",$I285&lt;&gt;""),"débit ET crédit",IF(AND($H285="",$I285=""),"montant manquant",IF(ISNA(MATCH($D285,'Plan comptable'!$H:$H,0)),"compte hors plan",IF(AND($A285&lt;&gt;"",YEAR($A285)&lt;&gt;Exercice),"hors exercice","")))))</f>
      </c>
    </row>
    <row r="286">
      <c r="A286" s="13"/>
      <c r="B286" s="10"/>
      <c r="C286" s="9"/>
      <c r="D286" s="20"/>
      <c r="E286" s="9">
        <f>IF($D286="","",IFERROR(VLOOKUP($D286,'Plan comptable'!$H:$I,2,FALSE),"compte hors plan"))</f>
      </c>
      <c r="F286" s="9"/>
      <c r="G286" s="10"/>
      <c r="H286" s="11"/>
      <c r="I286" s="11"/>
      <c r="J286" s="10">
        <f>IF($D286="","",IF(AND($H286&lt;&gt;"",$I286&lt;&gt;""),"débit ET crédit",IF(AND($H286="",$I286=""),"montant manquant",IF(ISNA(MATCH($D286,'Plan comptable'!$H:$H,0)),"compte hors plan",IF(AND($A286&lt;&gt;"",YEAR($A286)&lt;&gt;Exercice),"hors exercice","")))))</f>
      </c>
    </row>
    <row r="287">
      <c r="A287" s="13"/>
      <c r="B287" s="10"/>
      <c r="C287" s="9"/>
      <c r="D287" s="20"/>
      <c r="E287" s="9">
        <f>IF($D287="","",IFERROR(VLOOKUP($D287,'Plan comptable'!$H:$I,2,FALSE),"compte hors plan"))</f>
      </c>
      <c r="F287" s="9"/>
      <c r="G287" s="10"/>
      <c r="H287" s="11"/>
      <c r="I287" s="11"/>
      <c r="J287" s="10">
        <f>IF($D287="","",IF(AND($H287&lt;&gt;"",$I287&lt;&gt;""),"débit ET crédit",IF(AND($H287="",$I287=""),"montant manquant",IF(ISNA(MATCH($D287,'Plan comptable'!$H:$H,0)),"compte hors plan",IF(AND($A287&lt;&gt;"",YEAR($A287)&lt;&gt;Exercice),"hors exercice","")))))</f>
      </c>
    </row>
    <row r="288">
      <c r="A288" s="13"/>
      <c r="B288" s="10"/>
      <c r="C288" s="9"/>
      <c r="D288" s="20"/>
      <c r="E288" s="9">
        <f>IF($D288="","",IFERROR(VLOOKUP($D288,'Plan comptable'!$H:$I,2,FALSE),"compte hors plan"))</f>
      </c>
      <c r="F288" s="9"/>
      <c r="G288" s="10"/>
      <c r="H288" s="11"/>
      <c r="I288" s="11"/>
      <c r="J288" s="10">
        <f>IF($D288="","",IF(AND($H288&lt;&gt;"",$I288&lt;&gt;""),"débit ET crédit",IF(AND($H288="",$I288=""),"montant manquant",IF(ISNA(MATCH($D288,'Plan comptable'!$H:$H,0)),"compte hors plan",IF(AND($A288&lt;&gt;"",YEAR($A288)&lt;&gt;Exercice),"hors exercice","")))))</f>
      </c>
    </row>
    <row r="289">
      <c r="A289" s="13"/>
      <c r="B289" s="10"/>
      <c r="C289" s="9"/>
      <c r="D289" s="20"/>
      <c r="E289" s="9">
        <f>IF($D289="","",IFERROR(VLOOKUP($D289,'Plan comptable'!$H:$I,2,FALSE),"compte hors plan"))</f>
      </c>
      <c r="F289" s="9"/>
      <c r="G289" s="10"/>
      <c r="H289" s="11"/>
      <c r="I289" s="11"/>
      <c r="J289" s="10">
        <f>IF($D289="","",IF(AND($H289&lt;&gt;"",$I289&lt;&gt;""),"débit ET crédit",IF(AND($H289="",$I289=""),"montant manquant",IF(ISNA(MATCH($D289,'Plan comptable'!$H:$H,0)),"compte hors plan",IF(AND($A289&lt;&gt;"",YEAR($A289)&lt;&gt;Exercice),"hors exercice","")))))</f>
      </c>
    </row>
    <row r="290">
      <c r="A290" s="13"/>
      <c r="B290" s="10"/>
      <c r="C290" s="9"/>
      <c r="D290" s="20"/>
      <c r="E290" s="9">
        <f>IF($D290="","",IFERROR(VLOOKUP($D290,'Plan comptable'!$H:$I,2,FALSE),"compte hors plan"))</f>
      </c>
      <c r="F290" s="9"/>
      <c r="G290" s="10"/>
      <c r="H290" s="11"/>
      <c r="I290" s="11"/>
      <c r="J290" s="10">
        <f>IF($D290="","",IF(AND($H290&lt;&gt;"",$I290&lt;&gt;""),"débit ET crédit",IF(AND($H290="",$I290=""),"montant manquant",IF(ISNA(MATCH($D290,'Plan comptable'!$H:$H,0)),"compte hors plan",IF(AND($A290&lt;&gt;"",YEAR($A290)&lt;&gt;Exercice),"hors exercice","")))))</f>
      </c>
    </row>
    <row r="291">
      <c r="A291" s="13"/>
      <c r="B291" s="10"/>
      <c r="C291" s="9"/>
      <c r="D291" s="20"/>
      <c r="E291" s="9">
        <f>IF($D291="","",IFERROR(VLOOKUP($D291,'Plan comptable'!$H:$I,2,FALSE),"compte hors plan"))</f>
      </c>
      <c r="F291" s="9"/>
      <c r="G291" s="10"/>
      <c r="H291" s="11"/>
      <c r="I291" s="11"/>
      <c r="J291" s="10">
        <f>IF($D291="","",IF(AND($H291&lt;&gt;"",$I291&lt;&gt;""),"débit ET crédit",IF(AND($H291="",$I291=""),"montant manquant",IF(ISNA(MATCH($D291,'Plan comptable'!$H:$H,0)),"compte hors plan",IF(AND($A291&lt;&gt;"",YEAR($A291)&lt;&gt;Exercice),"hors exercice","")))))</f>
      </c>
    </row>
    <row r="292">
      <c r="A292" s="13"/>
      <c r="B292" s="10"/>
      <c r="C292" s="9"/>
      <c r="D292" s="20"/>
      <c r="E292" s="9">
        <f>IF($D292="","",IFERROR(VLOOKUP($D292,'Plan comptable'!$H:$I,2,FALSE),"compte hors plan"))</f>
      </c>
      <c r="F292" s="9"/>
      <c r="G292" s="10"/>
      <c r="H292" s="11"/>
      <c r="I292" s="11"/>
      <c r="J292" s="10">
        <f>IF($D292="","",IF(AND($H292&lt;&gt;"",$I292&lt;&gt;""),"débit ET crédit",IF(AND($H292="",$I292=""),"montant manquant",IF(ISNA(MATCH($D292,'Plan comptable'!$H:$H,0)),"compte hors plan",IF(AND($A292&lt;&gt;"",YEAR($A292)&lt;&gt;Exercice),"hors exercice","")))))</f>
      </c>
    </row>
    <row r="293">
      <c r="A293" s="13"/>
      <c r="B293" s="10"/>
      <c r="C293" s="9"/>
      <c r="D293" s="20"/>
      <c r="E293" s="9">
        <f>IF($D293="","",IFERROR(VLOOKUP($D293,'Plan comptable'!$H:$I,2,FALSE),"compte hors plan"))</f>
      </c>
      <c r="F293" s="9"/>
      <c r="G293" s="10"/>
      <c r="H293" s="11"/>
      <c r="I293" s="11"/>
      <c r="J293" s="10">
        <f>IF($D293="","",IF(AND($H293&lt;&gt;"",$I293&lt;&gt;""),"débit ET crédit",IF(AND($H293="",$I293=""),"montant manquant",IF(ISNA(MATCH($D293,'Plan comptable'!$H:$H,0)),"compte hors plan",IF(AND($A293&lt;&gt;"",YEAR($A293)&lt;&gt;Exercice),"hors exercice","")))))</f>
      </c>
    </row>
    <row r="294">
      <c r="A294" s="13"/>
      <c r="B294" s="10"/>
      <c r="C294" s="9"/>
      <c r="D294" s="20"/>
      <c r="E294" s="9">
        <f>IF($D294="","",IFERROR(VLOOKUP($D294,'Plan comptable'!$H:$I,2,FALSE),"compte hors plan"))</f>
      </c>
      <c r="F294" s="9"/>
      <c r="G294" s="10"/>
      <c r="H294" s="11"/>
      <c r="I294" s="11"/>
      <c r="J294" s="10">
        <f>IF($D294="","",IF(AND($H294&lt;&gt;"",$I294&lt;&gt;""),"débit ET crédit",IF(AND($H294="",$I294=""),"montant manquant",IF(ISNA(MATCH($D294,'Plan comptable'!$H:$H,0)),"compte hors plan",IF(AND($A294&lt;&gt;"",YEAR($A294)&lt;&gt;Exercice),"hors exercice","")))))</f>
      </c>
    </row>
    <row r="295">
      <c r="A295" s="13"/>
      <c r="B295" s="10"/>
      <c r="C295" s="9"/>
      <c r="D295" s="20"/>
      <c r="E295" s="9">
        <f>IF($D295="","",IFERROR(VLOOKUP($D295,'Plan comptable'!$H:$I,2,FALSE),"compte hors plan"))</f>
      </c>
      <c r="F295" s="9"/>
      <c r="G295" s="10"/>
      <c r="H295" s="11"/>
      <c r="I295" s="11"/>
      <c r="J295" s="10">
        <f>IF($D295="","",IF(AND($H295&lt;&gt;"",$I295&lt;&gt;""),"débit ET crédit",IF(AND($H295="",$I295=""),"montant manquant",IF(ISNA(MATCH($D295,'Plan comptable'!$H:$H,0)),"compte hors plan",IF(AND($A295&lt;&gt;"",YEAR($A295)&lt;&gt;Exercice),"hors exercice","")))))</f>
      </c>
    </row>
    <row r="296">
      <c r="A296" s="13"/>
      <c r="B296" s="10"/>
      <c r="C296" s="9"/>
      <c r="D296" s="20"/>
      <c r="E296" s="9">
        <f>IF($D296="","",IFERROR(VLOOKUP($D296,'Plan comptable'!$H:$I,2,FALSE),"compte hors plan"))</f>
      </c>
      <c r="F296" s="9"/>
      <c r="G296" s="10"/>
      <c r="H296" s="11"/>
      <c r="I296" s="11"/>
      <c r="J296" s="10">
        <f>IF($D296="","",IF(AND($H296&lt;&gt;"",$I296&lt;&gt;""),"débit ET crédit",IF(AND($H296="",$I296=""),"montant manquant",IF(ISNA(MATCH($D296,'Plan comptable'!$H:$H,0)),"compte hors plan",IF(AND($A296&lt;&gt;"",YEAR($A296)&lt;&gt;Exercice),"hors exercice","")))))</f>
      </c>
    </row>
    <row r="297">
      <c r="A297" s="13"/>
      <c r="B297" s="10"/>
      <c r="C297" s="9"/>
      <c r="D297" s="20"/>
      <c r="E297" s="9">
        <f>IF($D297="","",IFERROR(VLOOKUP($D297,'Plan comptable'!$H:$I,2,FALSE),"compte hors plan"))</f>
      </c>
      <c r="F297" s="9"/>
      <c r="G297" s="10"/>
      <c r="H297" s="11"/>
      <c r="I297" s="11"/>
      <c r="J297" s="10">
        <f>IF($D297="","",IF(AND($H297&lt;&gt;"",$I297&lt;&gt;""),"débit ET crédit",IF(AND($H297="",$I297=""),"montant manquant",IF(ISNA(MATCH($D297,'Plan comptable'!$H:$H,0)),"compte hors plan",IF(AND($A297&lt;&gt;"",YEAR($A297)&lt;&gt;Exercice),"hors exercice","")))))</f>
      </c>
    </row>
    <row r="298">
      <c r="A298" s="13"/>
      <c r="B298" s="10"/>
      <c r="C298" s="9"/>
      <c r="D298" s="20"/>
      <c r="E298" s="9">
        <f>IF($D298="","",IFERROR(VLOOKUP($D298,'Plan comptable'!$H:$I,2,FALSE),"compte hors plan"))</f>
      </c>
      <c r="F298" s="9"/>
      <c r="G298" s="10"/>
      <c r="H298" s="11"/>
      <c r="I298" s="11"/>
      <c r="J298" s="10">
        <f>IF($D298="","",IF(AND($H298&lt;&gt;"",$I298&lt;&gt;""),"débit ET crédit",IF(AND($H298="",$I298=""),"montant manquant",IF(ISNA(MATCH($D298,'Plan comptable'!$H:$H,0)),"compte hors plan",IF(AND($A298&lt;&gt;"",YEAR($A298)&lt;&gt;Exercice),"hors exercice","")))))</f>
      </c>
    </row>
    <row r="299">
      <c r="A299" s="13"/>
      <c r="B299" s="10"/>
      <c r="C299" s="9"/>
      <c r="D299" s="20"/>
      <c r="E299" s="9">
        <f>IF($D299="","",IFERROR(VLOOKUP($D299,'Plan comptable'!$H:$I,2,FALSE),"compte hors plan"))</f>
      </c>
      <c r="F299" s="9"/>
      <c r="G299" s="10"/>
      <c r="H299" s="11"/>
      <c r="I299" s="11"/>
      <c r="J299" s="10">
        <f>IF($D299="","",IF(AND($H299&lt;&gt;"",$I299&lt;&gt;""),"débit ET crédit",IF(AND($H299="",$I299=""),"montant manquant",IF(ISNA(MATCH($D299,'Plan comptable'!$H:$H,0)),"compte hors plan",IF(AND($A299&lt;&gt;"",YEAR($A299)&lt;&gt;Exercice),"hors exercice","")))))</f>
      </c>
    </row>
    <row r="300">
      <c r="A300" s="13"/>
      <c r="B300" s="10"/>
      <c r="C300" s="9"/>
      <c r="D300" s="20"/>
      <c r="E300" s="9">
        <f>IF($D300="","",IFERROR(VLOOKUP($D300,'Plan comptable'!$H:$I,2,FALSE),"compte hors plan"))</f>
      </c>
      <c r="F300" s="9"/>
      <c r="G300" s="10"/>
      <c r="H300" s="11"/>
      <c r="I300" s="11"/>
      <c r="J300" s="10">
        <f>IF($D300="","",IF(AND($H300&lt;&gt;"",$I300&lt;&gt;""),"débit ET crédit",IF(AND($H300="",$I300=""),"montant manquant",IF(ISNA(MATCH($D300,'Plan comptable'!$H:$H,0)),"compte hors plan",IF(AND($A300&lt;&gt;"",YEAR($A300)&lt;&gt;Exercice),"hors exercice","")))))</f>
      </c>
    </row>
    <row r="301">
      <c r="A301" s="13"/>
      <c r="B301" s="10"/>
      <c r="C301" s="9"/>
      <c r="D301" s="20"/>
      <c r="E301" s="9">
        <f>IF($D301="","",IFERROR(VLOOKUP($D301,'Plan comptable'!$H:$I,2,FALSE),"compte hors plan"))</f>
      </c>
      <c r="F301" s="9"/>
      <c r="G301" s="10"/>
      <c r="H301" s="11"/>
      <c r="I301" s="11"/>
      <c r="J301" s="10">
        <f>IF($D301="","",IF(AND($H301&lt;&gt;"",$I301&lt;&gt;""),"débit ET crédit",IF(AND($H301="",$I301=""),"montant manquant",IF(ISNA(MATCH($D301,'Plan comptable'!$H:$H,0)),"compte hors plan",IF(AND($A301&lt;&gt;"",YEAR($A301)&lt;&gt;Exercice),"hors exercice","")))))</f>
      </c>
    </row>
    <row r="302">
      <c r="A302" s="13"/>
      <c r="B302" s="10"/>
      <c r="C302" s="9"/>
      <c r="D302" s="20"/>
      <c r="E302" s="9">
        <f>IF($D302="","",IFERROR(VLOOKUP($D302,'Plan comptable'!$H:$I,2,FALSE),"compte hors plan"))</f>
      </c>
      <c r="F302" s="9"/>
      <c r="G302" s="10"/>
      <c r="H302" s="11"/>
      <c r="I302" s="11"/>
      <c r="J302" s="10">
        <f>IF($D302="","",IF(AND($H302&lt;&gt;"",$I302&lt;&gt;""),"débit ET crédit",IF(AND($H302="",$I302=""),"montant manquant",IF(ISNA(MATCH($D302,'Plan comptable'!$H:$H,0)),"compte hors plan",IF(AND($A302&lt;&gt;"",YEAR($A302)&lt;&gt;Exercice),"hors exercice","")))))</f>
      </c>
    </row>
    <row r="303">
      <c r="A303" s="13"/>
      <c r="B303" s="10"/>
      <c r="C303" s="9"/>
      <c r="D303" s="20"/>
      <c r="E303" s="9">
        <f>IF($D303="","",IFERROR(VLOOKUP($D303,'Plan comptable'!$H:$I,2,FALSE),"compte hors plan"))</f>
      </c>
      <c r="F303" s="9"/>
      <c r="G303" s="10"/>
      <c r="H303" s="11"/>
      <c r="I303" s="11"/>
      <c r="J303" s="10">
        <f>IF($D303="","",IF(AND($H303&lt;&gt;"",$I303&lt;&gt;""),"débit ET crédit",IF(AND($H303="",$I303=""),"montant manquant",IF(ISNA(MATCH($D303,'Plan comptable'!$H:$H,0)),"compte hors plan",IF(AND($A303&lt;&gt;"",YEAR($A303)&lt;&gt;Exercice),"hors exercice","")))))</f>
      </c>
    </row>
    <row r="304">
      <c r="A304" s="13"/>
      <c r="B304" s="10"/>
      <c r="C304" s="9"/>
      <c r="D304" s="20"/>
      <c r="E304" s="9">
        <f>IF($D304="","",IFERROR(VLOOKUP($D304,'Plan comptable'!$H:$I,2,FALSE),"compte hors plan"))</f>
      </c>
      <c r="F304" s="9"/>
      <c r="G304" s="10"/>
      <c r="H304" s="11"/>
      <c r="I304" s="11"/>
      <c r="J304" s="10">
        <f>IF($D304="","",IF(AND($H304&lt;&gt;"",$I304&lt;&gt;""),"débit ET crédit",IF(AND($H304="",$I304=""),"montant manquant",IF(ISNA(MATCH($D304,'Plan comptable'!$H:$H,0)),"compte hors plan",IF(AND($A304&lt;&gt;"",YEAR($A304)&lt;&gt;Exercice),"hors exercice","")))))</f>
      </c>
    </row>
    <row r="305">
      <c r="A305" s="13"/>
      <c r="B305" s="10"/>
      <c r="C305" s="9"/>
      <c r="D305" s="20"/>
      <c r="E305" s="9">
        <f>IF($D305="","",IFERROR(VLOOKUP($D305,'Plan comptable'!$H:$I,2,FALSE),"compte hors plan"))</f>
      </c>
      <c r="F305" s="9"/>
      <c r="G305" s="10"/>
      <c r="H305" s="11"/>
      <c r="I305" s="11"/>
      <c r="J305" s="10">
        <f>IF($D305="","",IF(AND($H305&lt;&gt;"",$I305&lt;&gt;""),"débit ET crédit",IF(AND($H305="",$I305=""),"montant manquant",IF(ISNA(MATCH($D305,'Plan comptable'!$H:$H,0)),"compte hors plan",IF(AND($A305&lt;&gt;"",YEAR($A305)&lt;&gt;Exercice),"hors exercice","")))))</f>
      </c>
    </row>
    <row r="306">
      <c r="A306" s="13"/>
      <c r="B306" s="10"/>
      <c r="C306" s="9"/>
      <c r="D306" s="20"/>
      <c r="E306" s="9">
        <f>IF($D306="","",IFERROR(VLOOKUP($D306,'Plan comptable'!$H:$I,2,FALSE),"compte hors plan"))</f>
      </c>
      <c r="F306" s="9"/>
      <c r="G306" s="10"/>
      <c r="H306" s="11"/>
      <c r="I306" s="11"/>
      <c r="J306" s="10">
        <f>IF($D306="","",IF(AND($H306&lt;&gt;"",$I306&lt;&gt;""),"débit ET crédit",IF(AND($H306="",$I306=""),"montant manquant",IF(ISNA(MATCH($D306,'Plan comptable'!$H:$H,0)),"compte hors plan",IF(AND($A306&lt;&gt;"",YEAR($A306)&lt;&gt;Exercice),"hors exercice","")))))</f>
      </c>
    </row>
    <row r="307">
      <c r="A307" s="13"/>
      <c r="B307" s="10"/>
      <c r="C307" s="9"/>
      <c r="D307" s="20"/>
      <c r="E307" s="9">
        <f>IF($D307="","",IFERROR(VLOOKUP($D307,'Plan comptable'!$H:$I,2,FALSE),"compte hors plan"))</f>
      </c>
      <c r="F307" s="9"/>
      <c r="G307" s="10"/>
      <c r="H307" s="11"/>
      <c r="I307" s="11"/>
      <c r="J307" s="10">
        <f>IF($D307="","",IF(AND($H307&lt;&gt;"",$I307&lt;&gt;""),"débit ET crédit",IF(AND($H307="",$I307=""),"montant manquant",IF(ISNA(MATCH($D307,'Plan comptable'!$H:$H,0)),"compte hors plan",IF(AND($A307&lt;&gt;"",YEAR($A307)&lt;&gt;Exercice),"hors exercice","")))))</f>
      </c>
    </row>
    <row r="308">
      <c r="A308" s="13"/>
      <c r="B308" s="10"/>
      <c r="C308" s="9"/>
      <c r="D308" s="20"/>
      <c r="E308" s="9">
        <f>IF($D308="","",IFERROR(VLOOKUP($D308,'Plan comptable'!$H:$I,2,FALSE),"compte hors plan"))</f>
      </c>
      <c r="F308" s="9"/>
      <c r="G308" s="10"/>
      <c r="H308" s="11"/>
      <c r="I308" s="11"/>
      <c r="J308" s="10">
        <f>IF($D308="","",IF(AND($H308&lt;&gt;"",$I308&lt;&gt;""),"débit ET crédit",IF(AND($H308="",$I308=""),"montant manquant",IF(ISNA(MATCH($D308,'Plan comptable'!$H:$H,0)),"compte hors plan",IF(AND($A308&lt;&gt;"",YEAR($A308)&lt;&gt;Exercice),"hors exercice","")))))</f>
      </c>
    </row>
    <row r="309">
      <c r="A309" s="13"/>
      <c r="B309" s="10"/>
      <c r="C309" s="9"/>
      <c r="D309" s="20"/>
      <c r="E309" s="9">
        <f>IF($D309="","",IFERROR(VLOOKUP($D309,'Plan comptable'!$H:$I,2,FALSE),"compte hors plan"))</f>
      </c>
      <c r="F309" s="9"/>
      <c r="G309" s="10"/>
      <c r="H309" s="11"/>
      <c r="I309" s="11"/>
      <c r="J309" s="10">
        <f>IF($D309="","",IF(AND($H309&lt;&gt;"",$I309&lt;&gt;""),"débit ET crédit",IF(AND($H309="",$I309=""),"montant manquant",IF(ISNA(MATCH($D309,'Plan comptable'!$H:$H,0)),"compte hors plan",IF(AND($A309&lt;&gt;"",YEAR($A309)&lt;&gt;Exercice),"hors exercice","")))))</f>
      </c>
    </row>
    <row r="310">
      <c r="A310" s="13"/>
      <c r="B310" s="10"/>
      <c r="C310" s="9"/>
      <c r="D310" s="20"/>
      <c r="E310" s="9">
        <f>IF($D310="","",IFERROR(VLOOKUP($D310,'Plan comptable'!$H:$I,2,FALSE),"compte hors plan"))</f>
      </c>
      <c r="F310" s="9"/>
      <c r="G310" s="10"/>
      <c r="H310" s="11"/>
      <c r="I310" s="11"/>
      <c r="J310" s="10">
        <f>IF($D310="","",IF(AND($H310&lt;&gt;"",$I310&lt;&gt;""),"débit ET crédit",IF(AND($H310="",$I310=""),"montant manquant",IF(ISNA(MATCH($D310,'Plan comptable'!$H:$H,0)),"compte hors plan",IF(AND($A310&lt;&gt;"",YEAR($A310)&lt;&gt;Exercice),"hors exercice","")))))</f>
      </c>
    </row>
    <row r="311">
      <c r="A311" s="13"/>
      <c r="B311" s="10"/>
      <c r="C311" s="9"/>
      <c r="D311" s="20"/>
      <c r="E311" s="9">
        <f>IF($D311="","",IFERROR(VLOOKUP($D311,'Plan comptable'!$H:$I,2,FALSE),"compte hors plan"))</f>
      </c>
      <c r="F311" s="9"/>
      <c r="G311" s="10"/>
      <c r="H311" s="11"/>
      <c r="I311" s="11"/>
      <c r="J311" s="10">
        <f>IF($D311="","",IF(AND($H311&lt;&gt;"",$I311&lt;&gt;""),"débit ET crédit",IF(AND($H311="",$I311=""),"montant manquant",IF(ISNA(MATCH($D311,'Plan comptable'!$H:$H,0)),"compte hors plan",IF(AND($A311&lt;&gt;"",YEAR($A311)&lt;&gt;Exercice),"hors exercice","")))))</f>
      </c>
    </row>
    <row r="312">
      <c r="A312" s="13"/>
      <c r="B312" s="10"/>
      <c r="C312" s="9"/>
      <c r="D312" s="20"/>
      <c r="E312" s="9">
        <f>IF($D312="","",IFERROR(VLOOKUP($D312,'Plan comptable'!$H:$I,2,FALSE),"compte hors plan"))</f>
      </c>
      <c r="F312" s="9"/>
      <c r="G312" s="10"/>
      <c r="H312" s="11"/>
      <c r="I312" s="11"/>
      <c r="J312" s="10">
        <f>IF($D312="","",IF(AND($H312&lt;&gt;"",$I312&lt;&gt;""),"débit ET crédit",IF(AND($H312="",$I312=""),"montant manquant",IF(ISNA(MATCH($D312,'Plan comptable'!$H:$H,0)),"compte hors plan",IF(AND($A312&lt;&gt;"",YEAR($A312)&lt;&gt;Exercice),"hors exercice","")))))</f>
      </c>
    </row>
    <row r="313">
      <c r="A313" s="13"/>
      <c r="B313" s="10"/>
      <c r="C313" s="9"/>
      <c r="D313" s="20"/>
      <c r="E313" s="9">
        <f>IF($D313="","",IFERROR(VLOOKUP($D313,'Plan comptable'!$H:$I,2,FALSE),"compte hors plan"))</f>
      </c>
      <c r="F313" s="9"/>
      <c r="G313" s="10"/>
      <c r="H313" s="11"/>
      <c r="I313" s="11"/>
      <c r="J313" s="10">
        <f>IF($D313="","",IF(AND($H313&lt;&gt;"",$I313&lt;&gt;""),"débit ET crédit",IF(AND($H313="",$I313=""),"montant manquant",IF(ISNA(MATCH($D313,'Plan comptable'!$H:$H,0)),"compte hors plan",IF(AND($A313&lt;&gt;"",YEAR($A313)&lt;&gt;Exercice),"hors exercice","")))))</f>
      </c>
    </row>
    <row r="314">
      <c r="A314" s="13"/>
      <c r="B314" s="10"/>
      <c r="C314" s="9"/>
      <c r="D314" s="20"/>
      <c r="E314" s="9">
        <f>IF($D314="","",IFERROR(VLOOKUP($D314,'Plan comptable'!$H:$I,2,FALSE),"compte hors plan"))</f>
      </c>
      <c r="F314" s="9"/>
      <c r="G314" s="10"/>
      <c r="H314" s="11"/>
      <c r="I314" s="11"/>
      <c r="J314" s="10">
        <f>IF($D314="","",IF(AND($H314&lt;&gt;"",$I314&lt;&gt;""),"débit ET crédit",IF(AND($H314="",$I314=""),"montant manquant",IF(ISNA(MATCH($D314,'Plan comptable'!$H:$H,0)),"compte hors plan",IF(AND($A314&lt;&gt;"",YEAR($A314)&lt;&gt;Exercice),"hors exercice","")))))</f>
      </c>
    </row>
    <row r="315">
      <c r="A315" s="13"/>
      <c r="B315" s="10"/>
      <c r="C315" s="9"/>
      <c r="D315" s="20"/>
      <c r="E315" s="9">
        <f>IF($D315="","",IFERROR(VLOOKUP($D315,'Plan comptable'!$H:$I,2,FALSE),"compte hors plan"))</f>
      </c>
      <c r="F315" s="9"/>
      <c r="G315" s="10"/>
      <c r="H315" s="11"/>
      <c r="I315" s="11"/>
      <c r="J315" s="10">
        <f>IF($D315="","",IF(AND($H315&lt;&gt;"",$I315&lt;&gt;""),"débit ET crédit",IF(AND($H315="",$I315=""),"montant manquant",IF(ISNA(MATCH($D315,'Plan comptable'!$H:$H,0)),"compte hors plan",IF(AND($A315&lt;&gt;"",YEAR($A315)&lt;&gt;Exercice),"hors exercice","")))))</f>
      </c>
    </row>
    <row r="316">
      <c r="A316" s="13"/>
      <c r="B316" s="10"/>
      <c r="C316" s="9"/>
      <c r="D316" s="20"/>
      <c r="E316" s="9">
        <f>IF($D316="","",IFERROR(VLOOKUP($D316,'Plan comptable'!$H:$I,2,FALSE),"compte hors plan"))</f>
      </c>
      <c r="F316" s="9"/>
      <c r="G316" s="10"/>
      <c r="H316" s="11"/>
      <c r="I316" s="11"/>
      <c r="J316" s="10">
        <f>IF($D316="","",IF(AND($H316&lt;&gt;"",$I316&lt;&gt;""),"débit ET crédit",IF(AND($H316="",$I316=""),"montant manquant",IF(ISNA(MATCH($D316,'Plan comptable'!$H:$H,0)),"compte hors plan",IF(AND($A316&lt;&gt;"",YEAR($A316)&lt;&gt;Exercice),"hors exercice","")))))</f>
      </c>
    </row>
    <row r="317">
      <c r="A317" s="13"/>
      <c r="B317" s="10"/>
      <c r="C317" s="9"/>
      <c r="D317" s="20"/>
      <c r="E317" s="9">
        <f>IF($D317="","",IFERROR(VLOOKUP($D317,'Plan comptable'!$H:$I,2,FALSE),"compte hors plan"))</f>
      </c>
      <c r="F317" s="9"/>
      <c r="G317" s="10"/>
      <c r="H317" s="11"/>
      <c r="I317" s="11"/>
      <c r="J317" s="10">
        <f>IF($D317="","",IF(AND($H317&lt;&gt;"",$I317&lt;&gt;""),"débit ET crédit",IF(AND($H317="",$I317=""),"montant manquant",IF(ISNA(MATCH($D317,'Plan comptable'!$H:$H,0)),"compte hors plan",IF(AND($A317&lt;&gt;"",YEAR($A317)&lt;&gt;Exercice),"hors exercice","")))))</f>
      </c>
    </row>
    <row r="318">
      <c r="A318" s="13"/>
      <c r="B318" s="10"/>
      <c r="C318" s="9"/>
      <c r="D318" s="20"/>
      <c r="E318" s="9">
        <f>IF($D318="","",IFERROR(VLOOKUP($D318,'Plan comptable'!$H:$I,2,FALSE),"compte hors plan"))</f>
      </c>
      <c r="F318" s="9"/>
      <c r="G318" s="10"/>
      <c r="H318" s="11"/>
      <c r="I318" s="11"/>
      <c r="J318" s="10">
        <f>IF($D318="","",IF(AND($H318&lt;&gt;"",$I318&lt;&gt;""),"débit ET crédit",IF(AND($H318="",$I318=""),"montant manquant",IF(ISNA(MATCH($D318,'Plan comptable'!$H:$H,0)),"compte hors plan",IF(AND($A318&lt;&gt;"",YEAR($A318)&lt;&gt;Exercice),"hors exercice","")))))</f>
      </c>
    </row>
    <row r="319">
      <c r="A319" s="13"/>
      <c r="B319" s="10"/>
      <c r="C319" s="9"/>
      <c r="D319" s="20"/>
      <c r="E319" s="9">
        <f>IF($D319="","",IFERROR(VLOOKUP($D319,'Plan comptable'!$H:$I,2,FALSE),"compte hors plan"))</f>
      </c>
      <c r="F319" s="9"/>
      <c r="G319" s="10"/>
      <c r="H319" s="11"/>
      <c r="I319" s="11"/>
      <c r="J319" s="10">
        <f>IF($D319="","",IF(AND($H319&lt;&gt;"",$I319&lt;&gt;""),"débit ET crédit",IF(AND($H319="",$I319=""),"montant manquant",IF(ISNA(MATCH($D319,'Plan comptable'!$H:$H,0)),"compte hors plan",IF(AND($A319&lt;&gt;"",YEAR($A319)&lt;&gt;Exercice),"hors exercice","")))))</f>
      </c>
    </row>
    <row r="320">
      <c r="A320" s="13"/>
      <c r="B320" s="10"/>
      <c r="C320" s="9"/>
      <c r="D320" s="20"/>
      <c r="E320" s="9">
        <f>IF($D320="","",IFERROR(VLOOKUP($D320,'Plan comptable'!$H:$I,2,FALSE),"compte hors plan"))</f>
      </c>
      <c r="F320" s="9"/>
      <c r="G320" s="10"/>
      <c r="H320" s="11"/>
      <c r="I320" s="11"/>
      <c r="J320" s="10">
        <f>IF($D320="","",IF(AND($H320&lt;&gt;"",$I320&lt;&gt;""),"débit ET crédit",IF(AND($H320="",$I320=""),"montant manquant",IF(ISNA(MATCH($D320,'Plan comptable'!$H:$H,0)),"compte hors plan",IF(AND($A320&lt;&gt;"",YEAR($A320)&lt;&gt;Exercice),"hors exercice","")))))</f>
      </c>
    </row>
    <row r="321">
      <c r="A321" s="13"/>
      <c r="B321" s="10"/>
      <c r="C321" s="9"/>
      <c r="D321" s="20"/>
      <c r="E321" s="9">
        <f>IF($D321="","",IFERROR(VLOOKUP($D321,'Plan comptable'!$H:$I,2,FALSE),"compte hors plan"))</f>
      </c>
      <c r="F321" s="9"/>
      <c r="G321" s="10"/>
      <c r="H321" s="11"/>
      <c r="I321" s="11"/>
      <c r="J321" s="10">
        <f>IF($D321="","",IF(AND($H321&lt;&gt;"",$I321&lt;&gt;""),"débit ET crédit",IF(AND($H321="",$I321=""),"montant manquant",IF(ISNA(MATCH($D321,'Plan comptable'!$H:$H,0)),"compte hors plan",IF(AND($A321&lt;&gt;"",YEAR($A321)&lt;&gt;Exercice),"hors exercice","")))))</f>
      </c>
    </row>
    <row r="322">
      <c r="A322" s="13"/>
      <c r="B322" s="10"/>
      <c r="C322" s="9"/>
      <c r="D322" s="20"/>
      <c r="E322" s="9">
        <f>IF($D322="","",IFERROR(VLOOKUP($D322,'Plan comptable'!$H:$I,2,FALSE),"compte hors plan"))</f>
      </c>
      <c r="F322" s="9"/>
      <c r="G322" s="10"/>
      <c r="H322" s="11"/>
      <c r="I322" s="11"/>
      <c r="J322" s="10">
        <f>IF($D322="","",IF(AND($H322&lt;&gt;"",$I322&lt;&gt;""),"débit ET crédit",IF(AND($H322="",$I322=""),"montant manquant",IF(ISNA(MATCH($D322,'Plan comptable'!$H:$H,0)),"compte hors plan",IF(AND($A322&lt;&gt;"",YEAR($A322)&lt;&gt;Exercice),"hors exercice","")))))</f>
      </c>
    </row>
    <row r="323">
      <c r="A323" s="13"/>
      <c r="B323" s="10"/>
      <c r="C323" s="9"/>
      <c r="D323" s="20"/>
      <c r="E323" s="9">
        <f>IF($D323="","",IFERROR(VLOOKUP($D323,'Plan comptable'!$H:$I,2,FALSE),"compte hors plan"))</f>
      </c>
      <c r="F323" s="9"/>
      <c r="G323" s="10"/>
      <c r="H323" s="11"/>
      <c r="I323" s="11"/>
      <c r="J323" s="10">
        <f>IF($D323="","",IF(AND($H323&lt;&gt;"",$I323&lt;&gt;""),"débit ET crédit",IF(AND($H323="",$I323=""),"montant manquant",IF(ISNA(MATCH($D323,'Plan comptable'!$H:$H,0)),"compte hors plan",IF(AND($A323&lt;&gt;"",YEAR($A323)&lt;&gt;Exercice),"hors exercice","")))))</f>
      </c>
    </row>
    <row r="324">
      <c r="A324" s="13"/>
      <c r="B324" s="10"/>
      <c r="C324" s="9"/>
      <c r="D324" s="20"/>
      <c r="E324" s="9">
        <f>IF($D324="","",IFERROR(VLOOKUP($D324,'Plan comptable'!$H:$I,2,FALSE),"compte hors plan"))</f>
      </c>
      <c r="F324" s="9"/>
      <c r="G324" s="10"/>
      <c r="H324" s="11"/>
      <c r="I324" s="11"/>
      <c r="J324" s="10">
        <f>IF($D324="","",IF(AND($H324&lt;&gt;"",$I324&lt;&gt;""),"débit ET crédit",IF(AND($H324="",$I324=""),"montant manquant",IF(ISNA(MATCH($D324,'Plan comptable'!$H:$H,0)),"compte hors plan",IF(AND($A324&lt;&gt;"",YEAR($A324)&lt;&gt;Exercice),"hors exercice","")))))</f>
      </c>
    </row>
    <row r="325">
      <c r="A325" s="13"/>
      <c r="B325" s="10"/>
      <c r="C325" s="9"/>
      <c r="D325" s="20"/>
      <c r="E325" s="9">
        <f>IF($D325="","",IFERROR(VLOOKUP($D325,'Plan comptable'!$H:$I,2,FALSE),"compte hors plan"))</f>
      </c>
      <c r="F325" s="9"/>
      <c r="G325" s="10"/>
      <c r="H325" s="11"/>
      <c r="I325" s="11"/>
      <c r="J325" s="10">
        <f>IF($D325="","",IF(AND($H325&lt;&gt;"",$I325&lt;&gt;""),"débit ET crédit",IF(AND($H325="",$I325=""),"montant manquant",IF(ISNA(MATCH($D325,'Plan comptable'!$H:$H,0)),"compte hors plan",IF(AND($A325&lt;&gt;"",YEAR($A325)&lt;&gt;Exercice),"hors exercice","")))))</f>
      </c>
    </row>
    <row r="326">
      <c r="A326" s="13"/>
      <c r="B326" s="10"/>
      <c r="C326" s="9"/>
      <c r="D326" s="20"/>
      <c r="E326" s="9">
        <f>IF($D326="","",IFERROR(VLOOKUP($D326,'Plan comptable'!$H:$I,2,FALSE),"compte hors plan"))</f>
      </c>
      <c r="F326" s="9"/>
      <c r="G326" s="10"/>
      <c r="H326" s="11"/>
      <c r="I326" s="11"/>
      <c r="J326" s="10">
        <f>IF($D326="","",IF(AND($H326&lt;&gt;"",$I326&lt;&gt;""),"débit ET crédit",IF(AND($H326="",$I326=""),"montant manquant",IF(ISNA(MATCH($D326,'Plan comptable'!$H:$H,0)),"compte hors plan",IF(AND($A326&lt;&gt;"",YEAR($A326)&lt;&gt;Exercice),"hors exercice","")))))</f>
      </c>
    </row>
    <row r="327">
      <c r="A327" s="13"/>
      <c r="B327" s="10"/>
      <c r="C327" s="9"/>
      <c r="D327" s="20"/>
      <c r="E327" s="9">
        <f>IF($D327="","",IFERROR(VLOOKUP($D327,'Plan comptable'!$H:$I,2,FALSE),"compte hors plan"))</f>
      </c>
      <c r="F327" s="9"/>
      <c r="G327" s="10"/>
      <c r="H327" s="11"/>
      <c r="I327" s="11"/>
      <c r="J327" s="10">
        <f>IF($D327="","",IF(AND($H327&lt;&gt;"",$I327&lt;&gt;""),"débit ET crédit",IF(AND($H327="",$I327=""),"montant manquant",IF(ISNA(MATCH($D327,'Plan comptable'!$H:$H,0)),"compte hors plan",IF(AND($A327&lt;&gt;"",YEAR($A327)&lt;&gt;Exercice),"hors exercice","")))))</f>
      </c>
    </row>
    <row r="328">
      <c r="A328" s="13"/>
      <c r="B328" s="10"/>
      <c r="C328" s="9"/>
      <c r="D328" s="20"/>
      <c r="E328" s="9">
        <f>IF($D328="","",IFERROR(VLOOKUP($D328,'Plan comptable'!$H:$I,2,FALSE),"compte hors plan"))</f>
      </c>
      <c r="F328" s="9"/>
      <c r="G328" s="10"/>
      <c r="H328" s="11"/>
      <c r="I328" s="11"/>
      <c r="J328" s="10">
        <f>IF($D328="","",IF(AND($H328&lt;&gt;"",$I328&lt;&gt;""),"débit ET crédit",IF(AND($H328="",$I328=""),"montant manquant",IF(ISNA(MATCH($D328,'Plan comptable'!$H:$H,0)),"compte hors plan",IF(AND($A328&lt;&gt;"",YEAR($A328)&lt;&gt;Exercice),"hors exercice","")))))</f>
      </c>
    </row>
    <row r="329">
      <c r="A329" s="13"/>
      <c r="B329" s="10"/>
      <c r="C329" s="9"/>
      <c r="D329" s="20"/>
      <c r="E329" s="9">
        <f>IF($D329="","",IFERROR(VLOOKUP($D329,'Plan comptable'!$H:$I,2,FALSE),"compte hors plan"))</f>
      </c>
      <c r="F329" s="9"/>
      <c r="G329" s="10"/>
      <c r="H329" s="11"/>
      <c r="I329" s="11"/>
      <c r="J329" s="10">
        <f>IF($D329="","",IF(AND($H329&lt;&gt;"",$I329&lt;&gt;""),"débit ET crédit",IF(AND($H329="",$I329=""),"montant manquant",IF(ISNA(MATCH($D329,'Plan comptable'!$H:$H,0)),"compte hors plan",IF(AND($A329&lt;&gt;"",YEAR($A329)&lt;&gt;Exercice),"hors exercice","")))))</f>
      </c>
    </row>
    <row r="330">
      <c r="A330" s="13"/>
      <c r="B330" s="10"/>
      <c r="C330" s="9"/>
      <c r="D330" s="20"/>
      <c r="E330" s="9">
        <f>IF($D330="","",IFERROR(VLOOKUP($D330,'Plan comptable'!$H:$I,2,FALSE),"compte hors plan"))</f>
      </c>
      <c r="F330" s="9"/>
      <c r="G330" s="10"/>
      <c r="H330" s="11"/>
      <c r="I330" s="11"/>
      <c r="J330" s="10">
        <f>IF($D330="","",IF(AND($H330&lt;&gt;"",$I330&lt;&gt;""),"débit ET crédit",IF(AND($H330="",$I330=""),"montant manquant",IF(ISNA(MATCH($D330,'Plan comptable'!$H:$H,0)),"compte hors plan",IF(AND($A330&lt;&gt;"",YEAR($A330)&lt;&gt;Exercice),"hors exercice","")))))</f>
      </c>
    </row>
    <row r="331">
      <c r="A331" s="13"/>
      <c r="B331" s="10"/>
      <c r="C331" s="9"/>
      <c r="D331" s="20"/>
      <c r="E331" s="9">
        <f>IF($D331="","",IFERROR(VLOOKUP($D331,'Plan comptable'!$H:$I,2,FALSE),"compte hors plan"))</f>
      </c>
      <c r="F331" s="9"/>
      <c r="G331" s="10"/>
      <c r="H331" s="11"/>
      <c r="I331" s="11"/>
      <c r="J331" s="10">
        <f>IF($D331="","",IF(AND($H331&lt;&gt;"",$I331&lt;&gt;""),"débit ET crédit",IF(AND($H331="",$I331=""),"montant manquant",IF(ISNA(MATCH($D331,'Plan comptable'!$H:$H,0)),"compte hors plan",IF(AND($A331&lt;&gt;"",YEAR($A331)&lt;&gt;Exercice),"hors exercice","")))))</f>
      </c>
    </row>
    <row r="332">
      <c r="A332" s="13"/>
      <c r="B332" s="10"/>
      <c r="C332" s="9"/>
      <c r="D332" s="20"/>
      <c r="E332" s="9">
        <f>IF($D332="","",IFERROR(VLOOKUP($D332,'Plan comptable'!$H:$I,2,FALSE),"compte hors plan"))</f>
      </c>
      <c r="F332" s="9"/>
      <c r="G332" s="10"/>
      <c r="H332" s="11"/>
      <c r="I332" s="11"/>
      <c r="J332" s="10">
        <f>IF($D332="","",IF(AND($H332&lt;&gt;"",$I332&lt;&gt;""),"débit ET crédit",IF(AND($H332="",$I332=""),"montant manquant",IF(ISNA(MATCH($D332,'Plan comptable'!$H:$H,0)),"compte hors plan",IF(AND($A332&lt;&gt;"",YEAR($A332)&lt;&gt;Exercice),"hors exercice","")))))</f>
      </c>
    </row>
    <row r="333">
      <c r="A333" s="13"/>
      <c r="B333" s="10"/>
      <c r="C333" s="9"/>
      <c r="D333" s="20"/>
      <c r="E333" s="9">
        <f>IF($D333="","",IFERROR(VLOOKUP($D333,'Plan comptable'!$H:$I,2,FALSE),"compte hors plan"))</f>
      </c>
      <c r="F333" s="9"/>
      <c r="G333" s="10"/>
      <c r="H333" s="11"/>
      <c r="I333" s="11"/>
      <c r="J333" s="10">
        <f>IF($D333="","",IF(AND($H333&lt;&gt;"",$I333&lt;&gt;""),"débit ET crédit",IF(AND($H333="",$I333=""),"montant manquant",IF(ISNA(MATCH($D333,'Plan comptable'!$H:$H,0)),"compte hors plan",IF(AND($A333&lt;&gt;"",YEAR($A333)&lt;&gt;Exercice),"hors exercice","")))))</f>
      </c>
    </row>
    <row r="334">
      <c r="A334" s="13"/>
      <c r="B334" s="10"/>
      <c r="C334" s="9"/>
      <c r="D334" s="20"/>
      <c r="E334" s="9">
        <f>IF($D334="","",IFERROR(VLOOKUP($D334,'Plan comptable'!$H:$I,2,FALSE),"compte hors plan"))</f>
      </c>
      <c r="F334" s="9"/>
      <c r="G334" s="10"/>
      <c r="H334" s="11"/>
      <c r="I334" s="11"/>
      <c r="J334" s="10">
        <f>IF($D334="","",IF(AND($H334&lt;&gt;"",$I334&lt;&gt;""),"débit ET crédit",IF(AND($H334="",$I334=""),"montant manquant",IF(ISNA(MATCH($D334,'Plan comptable'!$H:$H,0)),"compte hors plan",IF(AND($A334&lt;&gt;"",YEAR($A334)&lt;&gt;Exercice),"hors exercice","")))))</f>
      </c>
    </row>
    <row r="335">
      <c r="A335" s="13"/>
      <c r="B335" s="10"/>
      <c r="C335" s="9"/>
      <c r="D335" s="20"/>
      <c r="E335" s="9">
        <f>IF($D335="","",IFERROR(VLOOKUP($D335,'Plan comptable'!$H:$I,2,FALSE),"compte hors plan"))</f>
      </c>
      <c r="F335" s="9"/>
      <c r="G335" s="10"/>
      <c r="H335" s="11"/>
      <c r="I335" s="11"/>
      <c r="J335" s="10">
        <f>IF($D335="","",IF(AND($H335&lt;&gt;"",$I335&lt;&gt;""),"débit ET crédit",IF(AND($H335="",$I335=""),"montant manquant",IF(ISNA(MATCH($D335,'Plan comptable'!$H:$H,0)),"compte hors plan",IF(AND($A335&lt;&gt;"",YEAR($A335)&lt;&gt;Exercice),"hors exercice","")))))</f>
      </c>
    </row>
    <row r="336">
      <c r="A336" s="13"/>
      <c r="B336" s="10"/>
      <c r="C336" s="9"/>
      <c r="D336" s="20"/>
      <c r="E336" s="9">
        <f>IF($D336="","",IFERROR(VLOOKUP($D336,'Plan comptable'!$H:$I,2,FALSE),"compte hors plan"))</f>
      </c>
      <c r="F336" s="9"/>
      <c r="G336" s="10"/>
      <c r="H336" s="11"/>
      <c r="I336" s="11"/>
      <c r="J336" s="10">
        <f>IF($D336="","",IF(AND($H336&lt;&gt;"",$I336&lt;&gt;""),"débit ET crédit",IF(AND($H336="",$I336=""),"montant manquant",IF(ISNA(MATCH($D336,'Plan comptable'!$H:$H,0)),"compte hors plan",IF(AND($A336&lt;&gt;"",YEAR($A336)&lt;&gt;Exercice),"hors exercice","")))))</f>
      </c>
    </row>
    <row r="337">
      <c r="A337" s="13"/>
      <c r="B337" s="10"/>
      <c r="C337" s="9"/>
      <c r="D337" s="20"/>
      <c r="E337" s="9">
        <f>IF($D337="","",IFERROR(VLOOKUP($D337,'Plan comptable'!$H:$I,2,FALSE),"compte hors plan"))</f>
      </c>
      <c r="F337" s="9"/>
      <c r="G337" s="10"/>
      <c r="H337" s="11"/>
      <c r="I337" s="11"/>
      <c r="J337" s="10">
        <f>IF($D337="","",IF(AND($H337&lt;&gt;"",$I337&lt;&gt;""),"débit ET crédit",IF(AND($H337="",$I337=""),"montant manquant",IF(ISNA(MATCH($D337,'Plan comptable'!$H:$H,0)),"compte hors plan",IF(AND($A337&lt;&gt;"",YEAR($A337)&lt;&gt;Exercice),"hors exercice","")))))</f>
      </c>
    </row>
    <row r="338">
      <c r="A338" s="13"/>
      <c r="B338" s="10"/>
      <c r="C338" s="9"/>
      <c r="D338" s="20"/>
      <c r="E338" s="9">
        <f>IF($D338="","",IFERROR(VLOOKUP($D338,'Plan comptable'!$H:$I,2,FALSE),"compte hors plan"))</f>
      </c>
      <c r="F338" s="9"/>
      <c r="G338" s="10"/>
      <c r="H338" s="11"/>
      <c r="I338" s="11"/>
      <c r="J338" s="10">
        <f>IF($D338="","",IF(AND($H338&lt;&gt;"",$I338&lt;&gt;""),"débit ET crédit",IF(AND($H338="",$I338=""),"montant manquant",IF(ISNA(MATCH($D338,'Plan comptable'!$H:$H,0)),"compte hors plan",IF(AND($A338&lt;&gt;"",YEAR($A338)&lt;&gt;Exercice),"hors exercice","")))))</f>
      </c>
    </row>
    <row r="339">
      <c r="A339" s="13"/>
      <c r="B339" s="10"/>
      <c r="C339" s="9"/>
      <c r="D339" s="20"/>
      <c r="E339" s="9">
        <f>IF($D339="","",IFERROR(VLOOKUP($D339,'Plan comptable'!$H:$I,2,FALSE),"compte hors plan"))</f>
      </c>
      <c r="F339" s="9"/>
      <c r="G339" s="10"/>
      <c r="H339" s="11"/>
      <c r="I339" s="11"/>
      <c r="J339" s="10">
        <f>IF($D339="","",IF(AND($H339&lt;&gt;"",$I339&lt;&gt;""),"débit ET crédit",IF(AND($H339="",$I339=""),"montant manquant",IF(ISNA(MATCH($D339,'Plan comptable'!$H:$H,0)),"compte hors plan",IF(AND($A339&lt;&gt;"",YEAR($A339)&lt;&gt;Exercice),"hors exercice","")))))</f>
      </c>
    </row>
    <row r="340">
      <c r="A340" s="13"/>
      <c r="B340" s="10"/>
      <c r="C340" s="9"/>
      <c r="D340" s="20"/>
      <c r="E340" s="9">
        <f>IF($D340="","",IFERROR(VLOOKUP($D340,'Plan comptable'!$H:$I,2,FALSE),"compte hors plan"))</f>
      </c>
      <c r="F340" s="9"/>
      <c r="G340" s="10"/>
      <c r="H340" s="11"/>
      <c r="I340" s="11"/>
      <c r="J340" s="10">
        <f>IF($D340="","",IF(AND($H340&lt;&gt;"",$I340&lt;&gt;""),"débit ET crédit",IF(AND($H340="",$I340=""),"montant manquant",IF(ISNA(MATCH($D340,'Plan comptable'!$H:$H,0)),"compte hors plan",IF(AND($A340&lt;&gt;"",YEAR($A340)&lt;&gt;Exercice),"hors exercice","")))))</f>
      </c>
    </row>
    <row r="341">
      <c r="A341" s="13"/>
      <c r="B341" s="10"/>
      <c r="C341" s="9"/>
      <c r="D341" s="20"/>
      <c r="E341" s="9">
        <f>IF($D341="","",IFERROR(VLOOKUP($D341,'Plan comptable'!$H:$I,2,FALSE),"compte hors plan"))</f>
      </c>
      <c r="F341" s="9"/>
      <c r="G341" s="10"/>
      <c r="H341" s="11"/>
      <c r="I341" s="11"/>
      <c r="J341" s="10">
        <f>IF($D341="","",IF(AND($H341&lt;&gt;"",$I341&lt;&gt;""),"débit ET crédit",IF(AND($H341="",$I341=""),"montant manquant",IF(ISNA(MATCH($D341,'Plan comptable'!$H:$H,0)),"compte hors plan",IF(AND($A341&lt;&gt;"",YEAR($A341)&lt;&gt;Exercice),"hors exercice","")))))</f>
      </c>
    </row>
    <row r="342">
      <c r="A342" s="13"/>
      <c r="B342" s="10"/>
      <c r="C342" s="9"/>
      <c r="D342" s="20"/>
      <c r="E342" s="9">
        <f>IF($D342="","",IFERROR(VLOOKUP($D342,'Plan comptable'!$H:$I,2,FALSE),"compte hors plan"))</f>
      </c>
      <c r="F342" s="9"/>
      <c r="G342" s="10"/>
      <c r="H342" s="11"/>
      <c r="I342" s="11"/>
      <c r="J342" s="10">
        <f>IF($D342="","",IF(AND($H342&lt;&gt;"",$I342&lt;&gt;""),"débit ET crédit",IF(AND($H342="",$I342=""),"montant manquant",IF(ISNA(MATCH($D342,'Plan comptable'!$H:$H,0)),"compte hors plan",IF(AND($A342&lt;&gt;"",YEAR($A342)&lt;&gt;Exercice),"hors exercice","")))))</f>
      </c>
    </row>
    <row r="343">
      <c r="A343" s="13"/>
      <c r="B343" s="10"/>
      <c r="C343" s="9"/>
      <c r="D343" s="20"/>
      <c r="E343" s="9">
        <f>IF($D343="","",IFERROR(VLOOKUP($D343,'Plan comptable'!$H:$I,2,FALSE),"compte hors plan"))</f>
      </c>
      <c r="F343" s="9"/>
      <c r="G343" s="10"/>
      <c r="H343" s="11"/>
      <c r="I343" s="11"/>
      <c r="J343" s="10">
        <f>IF($D343="","",IF(AND($H343&lt;&gt;"",$I343&lt;&gt;""),"débit ET crédit",IF(AND($H343="",$I343=""),"montant manquant",IF(ISNA(MATCH($D343,'Plan comptable'!$H:$H,0)),"compte hors plan",IF(AND($A343&lt;&gt;"",YEAR($A343)&lt;&gt;Exercice),"hors exercice","")))))</f>
      </c>
    </row>
    <row r="344">
      <c r="A344" s="13"/>
      <c r="B344" s="10"/>
      <c r="C344" s="9"/>
      <c r="D344" s="20"/>
      <c r="E344" s="9">
        <f>IF($D344="","",IFERROR(VLOOKUP($D344,'Plan comptable'!$H:$I,2,FALSE),"compte hors plan"))</f>
      </c>
      <c r="F344" s="9"/>
      <c r="G344" s="10"/>
      <c r="H344" s="11"/>
      <c r="I344" s="11"/>
      <c r="J344" s="10">
        <f>IF($D344="","",IF(AND($H344&lt;&gt;"",$I344&lt;&gt;""),"débit ET crédit",IF(AND($H344="",$I344=""),"montant manquant",IF(ISNA(MATCH($D344,'Plan comptable'!$H:$H,0)),"compte hors plan",IF(AND($A344&lt;&gt;"",YEAR($A344)&lt;&gt;Exercice),"hors exercice","")))))</f>
      </c>
    </row>
    <row r="345">
      <c r="A345" s="13"/>
      <c r="B345" s="10"/>
      <c r="C345" s="9"/>
      <c r="D345" s="20"/>
      <c r="E345" s="9">
        <f>IF($D345="","",IFERROR(VLOOKUP($D345,'Plan comptable'!$H:$I,2,FALSE),"compte hors plan"))</f>
      </c>
      <c r="F345" s="9"/>
      <c r="G345" s="10"/>
      <c r="H345" s="11"/>
      <c r="I345" s="11"/>
      <c r="J345" s="10">
        <f>IF($D345="","",IF(AND($H345&lt;&gt;"",$I345&lt;&gt;""),"débit ET crédit",IF(AND($H345="",$I345=""),"montant manquant",IF(ISNA(MATCH($D345,'Plan comptable'!$H:$H,0)),"compte hors plan",IF(AND($A345&lt;&gt;"",YEAR($A345)&lt;&gt;Exercice),"hors exercice","")))))</f>
      </c>
    </row>
    <row r="346">
      <c r="A346" s="13"/>
      <c r="B346" s="10"/>
      <c r="C346" s="9"/>
      <c r="D346" s="20"/>
      <c r="E346" s="9">
        <f>IF($D346="","",IFERROR(VLOOKUP($D346,'Plan comptable'!$H:$I,2,FALSE),"compte hors plan"))</f>
      </c>
      <c r="F346" s="9"/>
      <c r="G346" s="10"/>
      <c r="H346" s="11"/>
      <c r="I346" s="11"/>
      <c r="J346" s="10">
        <f>IF($D346="","",IF(AND($H346&lt;&gt;"",$I346&lt;&gt;""),"débit ET crédit",IF(AND($H346="",$I346=""),"montant manquant",IF(ISNA(MATCH($D346,'Plan comptable'!$H:$H,0)),"compte hors plan",IF(AND($A346&lt;&gt;"",YEAR($A346)&lt;&gt;Exercice),"hors exercice","")))))</f>
      </c>
    </row>
    <row r="347">
      <c r="A347" s="13"/>
      <c r="B347" s="10"/>
      <c r="C347" s="9"/>
      <c r="D347" s="20"/>
      <c r="E347" s="9">
        <f>IF($D347="","",IFERROR(VLOOKUP($D347,'Plan comptable'!$H:$I,2,FALSE),"compte hors plan"))</f>
      </c>
      <c r="F347" s="9"/>
      <c r="G347" s="10"/>
      <c r="H347" s="11"/>
      <c r="I347" s="11"/>
      <c r="J347" s="10">
        <f>IF($D347="","",IF(AND($H347&lt;&gt;"",$I347&lt;&gt;""),"débit ET crédit",IF(AND($H347="",$I347=""),"montant manquant",IF(ISNA(MATCH($D347,'Plan comptable'!$H:$H,0)),"compte hors plan",IF(AND($A347&lt;&gt;"",YEAR($A347)&lt;&gt;Exercice),"hors exercice","")))))</f>
      </c>
    </row>
    <row r="348">
      <c r="A348" s="13"/>
      <c r="B348" s="10"/>
      <c r="C348" s="9"/>
      <c r="D348" s="20"/>
      <c r="E348" s="9">
        <f>IF($D348="","",IFERROR(VLOOKUP($D348,'Plan comptable'!$H:$I,2,FALSE),"compte hors plan"))</f>
      </c>
      <c r="F348" s="9"/>
      <c r="G348" s="10"/>
      <c r="H348" s="11"/>
      <c r="I348" s="11"/>
      <c r="J348" s="10">
        <f>IF($D348="","",IF(AND($H348&lt;&gt;"",$I348&lt;&gt;""),"débit ET crédit",IF(AND($H348="",$I348=""),"montant manquant",IF(ISNA(MATCH($D348,'Plan comptable'!$H:$H,0)),"compte hors plan",IF(AND($A348&lt;&gt;"",YEAR($A348)&lt;&gt;Exercice),"hors exercice","")))))</f>
      </c>
    </row>
    <row r="349">
      <c r="A349" s="13"/>
      <c r="B349" s="10"/>
      <c r="C349" s="9"/>
      <c r="D349" s="20"/>
      <c r="E349" s="9">
        <f>IF($D349="","",IFERROR(VLOOKUP($D349,'Plan comptable'!$H:$I,2,FALSE),"compte hors plan"))</f>
      </c>
      <c r="F349" s="9"/>
      <c r="G349" s="10"/>
      <c r="H349" s="11"/>
      <c r="I349" s="11"/>
      <c r="J349" s="10">
        <f>IF($D349="","",IF(AND($H349&lt;&gt;"",$I349&lt;&gt;""),"débit ET crédit",IF(AND($H349="",$I349=""),"montant manquant",IF(ISNA(MATCH($D349,'Plan comptable'!$H:$H,0)),"compte hors plan",IF(AND($A349&lt;&gt;"",YEAR($A349)&lt;&gt;Exercice),"hors exercice","")))))</f>
      </c>
    </row>
    <row r="350">
      <c r="A350" s="13"/>
      <c r="B350" s="10"/>
      <c r="C350" s="9"/>
      <c r="D350" s="20"/>
      <c r="E350" s="9">
        <f>IF($D350="","",IFERROR(VLOOKUP($D350,'Plan comptable'!$H:$I,2,FALSE),"compte hors plan"))</f>
      </c>
      <c r="F350" s="9"/>
      <c r="G350" s="10"/>
      <c r="H350" s="11"/>
      <c r="I350" s="11"/>
      <c r="J350" s="10">
        <f>IF($D350="","",IF(AND($H350&lt;&gt;"",$I350&lt;&gt;""),"débit ET crédit",IF(AND($H350="",$I350=""),"montant manquant",IF(ISNA(MATCH($D350,'Plan comptable'!$H:$H,0)),"compte hors plan",IF(AND($A350&lt;&gt;"",YEAR($A350)&lt;&gt;Exercice),"hors exercice","")))))</f>
      </c>
    </row>
    <row r="351">
      <c r="A351" s="13"/>
      <c r="B351" s="10"/>
      <c r="C351" s="9"/>
      <c r="D351" s="20"/>
      <c r="E351" s="9">
        <f>IF($D351="","",IFERROR(VLOOKUP($D351,'Plan comptable'!$H:$I,2,FALSE),"compte hors plan"))</f>
      </c>
      <c r="F351" s="9"/>
      <c r="G351" s="10"/>
      <c r="H351" s="11"/>
      <c r="I351" s="11"/>
      <c r="J351" s="10">
        <f>IF($D351="","",IF(AND($H351&lt;&gt;"",$I351&lt;&gt;""),"débit ET crédit",IF(AND($H351="",$I351=""),"montant manquant",IF(ISNA(MATCH($D351,'Plan comptable'!$H:$H,0)),"compte hors plan",IF(AND($A351&lt;&gt;"",YEAR($A351)&lt;&gt;Exercice),"hors exercice","")))))</f>
      </c>
    </row>
    <row r="352">
      <c r="A352" s="13"/>
      <c r="B352" s="10"/>
      <c r="C352" s="9"/>
      <c r="D352" s="20"/>
      <c r="E352" s="9">
        <f>IF($D352="","",IFERROR(VLOOKUP($D352,'Plan comptable'!$H:$I,2,FALSE),"compte hors plan"))</f>
      </c>
      <c r="F352" s="9"/>
      <c r="G352" s="10"/>
      <c r="H352" s="11"/>
      <c r="I352" s="11"/>
      <c r="J352" s="10">
        <f>IF($D352="","",IF(AND($H352&lt;&gt;"",$I352&lt;&gt;""),"débit ET crédit",IF(AND($H352="",$I352=""),"montant manquant",IF(ISNA(MATCH($D352,'Plan comptable'!$H:$H,0)),"compte hors plan",IF(AND($A352&lt;&gt;"",YEAR($A352)&lt;&gt;Exercice),"hors exercice","")))))</f>
      </c>
    </row>
    <row r="353">
      <c r="A353" s="13"/>
      <c r="B353" s="10"/>
      <c r="C353" s="9"/>
      <c r="D353" s="20"/>
      <c r="E353" s="9">
        <f>IF($D353="","",IFERROR(VLOOKUP($D353,'Plan comptable'!$H:$I,2,FALSE),"compte hors plan"))</f>
      </c>
      <c r="F353" s="9"/>
      <c r="G353" s="10"/>
      <c r="H353" s="11"/>
      <c r="I353" s="11"/>
      <c r="J353" s="10">
        <f>IF($D353="","",IF(AND($H353&lt;&gt;"",$I353&lt;&gt;""),"débit ET crédit",IF(AND($H353="",$I353=""),"montant manquant",IF(ISNA(MATCH($D353,'Plan comptable'!$H:$H,0)),"compte hors plan",IF(AND($A353&lt;&gt;"",YEAR($A353)&lt;&gt;Exercice),"hors exercice","")))))</f>
      </c>
    </row>
    <row r="354">
      <c r="A354" s="13"/>
      <c r="B354" s="10"/>
      <c r="C354" s="9"/>
      <c r="D354" s="20"/>
      <c r="E354" s="9">
        <f>IF($D354="","",IFERROR(VLOOKUP($D354,'Plan comptable'!$H:$I,2,FALSE),"compte hors plan"))</f>
      </c>
      <c r="F354" s="9"/>
      <c r="G354" s="10"/>
      <c r="H354" s="11"/>
      <c r="I354" s="11"/>
      <c r="J354" s="10">
        <f>IF($D354="","",IF(AND($H354&lt;&gt;"",$I354&lt;&gt;""),"débit ET crédit",IF(AND($H354="",$I354=""),"montant manquant",IF(ISNA(MATCH($D354,'Plan comptable'!$H:$H,0)),"compte hors plan",IF(AND($A354&lt;&gt;"",YEAR($A354)&lt;&gt;Exercice),"hors exercice","")))))</f>
      </c>
    </row>
    <row r="355">
      <c r="A355" s="13"/>
      <c r="B355" s="10"/>
      <c r="C355" s="9"/>
      <c r="D355" s="20"/>
      <c r="E355" s="9">
        <f>IF($D355="","",IFERROR(VLOOKUP($D355,'Plan comptable'!$H:$I,2,FALSE),"compte hors plan"))</f>
      </c>
      <c r="F355" s="9"/>
      <c r="G355" s="10"/>
      <c r="H355" s="11"/>
      <c r="I355" s="11"/>
      <c r="J355" s="10">
        <f>IF($D355="","",IF(AND($H355&lt;&gt;"",$I355&lt;&gt;""),"débit ET crédit",IF(AND($H355="",$I355=""),"montant manquant",IF(ISNA(MATCH($D355,'Plan comptable'!$H:$H,0)),"compte hors plan",IF(AND($A355&lt;&gt;"",YEAR($A355)&lt;&gt;Exercice),"hors exercice","")))))</f>
      </c>
    </row>
    <row r="356">
      <c r="A356" s="13"/>
      <c r="B356" s="10"/>
      <c r="C356" s="9"/>
      <c r="D356" s="20"/>
      <c r="E356" s="9">
        <f>IF($D356="","",IFERROR(VLOOKUP($D356,'Plan comptable'!$H:$I,2,FALSE),"compte hors plan"))</f>
      </c>
      <c r="F356" s="9"/>
      <c r="G356" s="10"/>
      <c r="H356" s="11"/>
      <c r="I356" s="11"/>
      <c r="J356" s="10">
        <f>IF($D356="","",IF(AND($H356&lt;&gt;"",$I356&lt;&gt;""),"débit ET crédit",IF(AND($H356="",$I356=""),"montant manquant",IF(ISNA(MATCH($D356,'Plan comptable'!$H:$H,0)),"compte hors plan",IF(AND($A356&lt;&gt;"",YEAR($A356)&lt;&gt;Exercice),"hors exercice","")))))</f>
      </c>
    </row>
    <row r="357">
      <c r="A357" s="13"/>
      <c r="B357" s="10"/>
      <c r="C357" s="9"/>
      <c r="D357" s="20"/>
      <c r="E357" s="9">
        <f>IF($D357="","",IFERROR(VLOOKUP($D357,'Plan comptable'!$H:$I,2,FALSE),"compte hors plan"))</f>
      </c>
      <c r="F357" s="9"/>
      <c r="G357" s="10"/>
      <c r="H357" s="11"/>
      <c r="I357" s="11"/>
      <c r="J357" s="10">
        <f>IF($D357="","",IF(AND($H357&lt;&gt;"",$I357&lt;&gt;""),"débit ET crédit",IF(AND($H357="",$I357=""),"montant manquant",IF(ISNA(MATCH($D357,'Plan comptable'!$H:$H,0)),"compte hors plan",IF(AND($A357&lt;&gt;"",YEAR($A357)&lt;&gt;Exercice),"hors exercice","")))))</f>
      </c>
    </row>
    <row r="358">
      <c r="A358" s="13"/>
      <c r="B358" s="10"/>
      <c r="C358" s="9"/>
      <c r="D358" s="20"/>
      <c r="E358" s="9">
        <f>IF($D358="","",IFERROR(VLOOKUP($D358,'Plan comptable'!$H:$I,2,FALSE),"compte hors plan"))</f>
      </c>
      <c r="F358" s="9"/>
      <c r="G358" s="10"/>
      <c r="H358" s="11"/>
      <c r="I358" s="11"/>
      <c r="J358" s="10">
        <f>IF($D358="","",IF(AND($H358&lt;&gt;"",$I358&lt;&gt;""),"débit ET crédit",IF(AND($H358="",$I358=""),"montant manquant",IF(ISNA(MATCH($D358,'Plan comptable'!$H:$H,0)),"compte hors plan",IF(AND($A358&lt;&gt;"",YEAR($A358)&lt;&gt;Exercice),"hors exercice","")))))</f>
      </c>
    </row>
    <row r="359">
      <c r="A359" s="13"/>
      <c r="B359" s="10"/>
      <c r="C359" s="9"/>
      <c r="D359" s="20"/>
      <c r="E359" s="9">
        <f>IF($D359="","",IFERROR(VLOOKUP($D359,'Plan comptable'!$H:$I,2,FALSE),"compte hors plan"))</f>
      </c>
      <c r="F359" s="9"/>
      <c r="G359" s="10"/>
      <c r="H359" s="11"/>
      <c r="I359" s="11"/>
      <c r="J359" s="10">
        <f>IF($D359="","",IF(AND($H359&lt;&gt;"",$I359&lt;&gt;""),"débit ET crédit",IF(AND($H359="",$I359=""),"montant manquant",IF(ISNA(MATCH($D359,'Plan comptable'!$H:$H,0)),"compte hors plan",IF(AND($A359&lt;&gt;"",YEAR($A359)&lt;&gt;Exercice),"hors exercice","")))))</f>
      </c>
    </row>
    <row r="360">
      <c r="A360" s="13"/>
      <c r="B360" s="10"/>
      <c r="C360" s="9"/>
      <c r="D360" s="20"/>
      <c r="E360" s="9">
        <f>IF($D360="","",IFERROR(VLOOKUP($D360,'Plan comptable'!$H:$I,2,FALSE),"compte hors plan"))</f>
      </c>
      <c r="F360" s="9"/>
      <c r="G360" s="10"/>
      <c r="H360" s="11"/>
      <c r="I360" s="11"/>
      <c r="J360" s="10">
        <f>IF($D360="","",IF(AND($H360&lt;&gt;"",$I360&lt;&gt;""),"débit ET crédit",IF(AND($H360="",$I360=""),"montant manquant",IF(ISNA(MATCH($D360,'Plan comptable'!$H:$H,0)),"compte hors plan",IF(AND($A360&lt;&gt;"",YEAR($A360)&lt;&gt;Exercice),"hors exercice","")))))</f>
      </c>
    </row>
    <row r="361">
      <c r="A361" s="13"/>
      <c r="B361" s="10"/>
      <c r="C361" s="9"/>
      <c r="D361" s="20"/>
      <c r="E361" s="9">
        <f>IF($D361="","",IFERROR(VLOOKUP($D361,'Plan comptable'!$H:$I,2,FALSE),"compte hors plan"))</f>
      </c>
      <c r="F361" s="9"/>
      <c r="G361" s="10"/>
      <c r="H361" s="11"/>
      <c r="I361" s="11"/>
      <c r="J361" s="10">
        <f>IF($D361="","",IF(AND($H361&lt;&gt;"",$I361&lt;&gt;""),"débit ET crédit",IF(AND($H361="",$I361=""),"montant manquant",IF(ISNA(MATCH($D361,'Plan comptable'!$H:$H,0)),"compte hors plan",IF(AND($A361&lt;&gt;"",YEAR($A361)&lt;&gt;Exercice),"hors exercice","")))))</f>
      </c>
    </row>
    <row r="362">
      <c r="A362" s="13"/>
      <c r="B362" s="10"/>
      <c r="C362" s="9"/>
      <c r="D362" s="20"/>
      <c r="E362" s="9">
        <f>IF($D362="","",IFERROR(VLOOKUP($D362,'Plan comptable'!$H:$I,2,FALSE),"compte hors plan"))</f>
      </c>
      <c r="F362" s="9"/>
      <c r="G362" s="10"/>
      <c r="H362" s="11"/>
      <c r="I362" s="11"/>
      <c r="J362" s="10">
        <f>IF($D362="","",IF(AND($H362&lt;&gt;"",$I362&lt;&gt;""),"débit ET crédit",IF(AND($H362="",$I362=""),"montant manquant",IF(ISNA(MATCH($D362,'Plan comptable'!$H:$H,0)),"compte hors plan",IF(AND($A362&lt;&gt;"",YEAR($A362)&lt;&gt;Exercice),"hors exercice","")))))</f>
      </c>
    </row>
    <row r="363">
      <c r="A363" s="13"/>
      <c r="B363" s="10"/>
      <c r="C363" s="9"/>
      <c r="D363" s="20"/>
      <c r="E363" s="9">
        <f>IF($D363="","",IFERROR(VLOOKUP($D363,'Plan comptable'!$H:$I,2,FALSE),"compte hors plan"))</f>
      </c>
      <c r="F363" s="9"/>
      <c r="G363" s="10"/>
      <c r="H363" s="11"/>
      <c r="I363" s="11"/>
      <c r="J363" s="10">
        <f>IF($D363="","",IF(AND($H363&lt;&gt;"",$I363&lt;&gt;""),"débit ET crédit",IF(AND($H363="",$I363=""),"montant manquant",IF(ISNA(MATCH($D363,'Plan comptable'!$H:$H,0)),"compte hors plan",IF(AND($A363&lt;&gt;"",YEAR($A363)&lt;&gt;Exercice),"hors exercice","")))))</f>
      </c>
    </row>
    <row r="364">
      <c r="A364" s="13"/>
      <c r="B364" s="10"/>
      <c r="C364" s="9"/>
      <c r="D364" s="20"/>
      <c r="E364" s="9">
        <f>IF($D364="","",IFERROR(VLOOKUP($D364,'Plan comptable'!$H:$I,2,FALSE),"compte hors plan"))</f>
      </c>
      <c r="F364" s="9"/>
      <c r="G364" s="10"/>
      <c r="H364" s="11"/>
      <c r="I364" s="11"/>
      <c r="J364" s="10">
        <f>IF($D364="","",IF(AND($H364&lt;&gt;"",$I364&lt;&gt;""),"débit ET crédit",IF(AND($H364="",$I364=""),"montant manquant",IF(ISNA(MATCH($D364,'Plan comptable'!$H:$H,0)),"compte hors plan",IF(AND($A364&lt;&gt;"",YEAR($A364)&lt;&gt;Exercice),"hors exercice","")))))</f>
      </c>
    </row>
    <row r="365">
      <c r="A365" s="13"/>
      <c r="B365" s="10"/>
      <c r="C365" s="9"/>
      <c r="D365" s="20"/>
      <c r="E365" s="9">
        <f>IF($D365="","",IFERROR(VLOOKUP($D365,'Plan comptable'!$H:$I,2,FALSE),"compte hors plan"))</f>
      </c>
      <c r="F365" s="9"/>
      <c r="G365" s="10"/>
      <c r="H365" s="11"/>
      <c r="I365" s="11"/>
      <c r="J365" s="10">
        <f>IF($D365="","",IF(AND($H365&lt;&gt;"",$I365&lt;&gt;""),"débit ET crédit",IF(AND($H365="",$I365=""),"montant manquant",IF(ISNA(MATCH($D365,'Plan comptable'!$H:$H,0)),"compte hors plan",IF(AND($A365&lt;&gt;"",YEAR($A365)&lt;&gt;Exercice),"hors exercice","")))))</f>
      </c>
    </row>
    <row r="366">
      <c r="A366" s="13"/>
      <c r="B366" s="10"/>
      <c r="C366" s="9"/>
      <c r="D366" s="20"/>
      <c r="E366" s="9">
        <f>IF($D366="","",IFERROR(VLOOKUP($D366,'Plan comptable'!$H:$I,2,FALSE),"compte hors plan"))</f>
      </c>
      <c r="F366" s="9"/>
      <c r="G366" s="10"/>
      <c r="H366" s="11"/>
      <c r="I366" s="11"/>
      <c r="J366" s="10">
        <f>IF($D366="","",IF(AND($H366&lt;&gt;"",$I366&lt;&gt;""),"débit ET crédit",IF(AND($H366="",$I366=""),"montant manquant",IF(ISNA(MATCH($D366,'Plan comptable'!$H:$H,0)),"compte hors plan",IF(AND($A366&lt;&gt;"",YEAR($A366)&lt;&gt;Exercice),"hors exercice","")))))</f>
      </c>
    </row>
    <row r="367">
      <c r="A367" s="13"/>
      <c r="B367" s="10"/>
      <c r="C367" s="9"/>
      <c r="D367" s="20"/>
      <c r="E367" s="9">
        <f>IF($D367="","",IFERROR(VLOOKUP($D367,'Plan comptable'!$H:$I,2,FALSE),"compte hors plan"))</f>
      </c>
      <c r="F367" s="9"/>
      <c r="G367" s="10"/>
      <c r="H367" s="11"/>
      <c r="I367" s="11"/>
      <c r="J367" s="10">
        <f>IF($D367="","",IF(AND($H367&lt;&gt;"",$I367&lt;&gt;""),"débit ET crédit",IF(AND($H367="",$I367=""),"montant manquant",IF(ISNA(MATCH($D367,'Plan comptable'!$H:$H,0)),"compte hors plan",IF(AND($A367&lt;&gt;"",YEAR($A367)&lt;&gt;Exercice),"hors exercice","")))))</f>
      </c>
    </row>
    <row r="368">
      <c r="A368" s="13"/>
      <c r="B368" s="10"/>
      <c r="C368" s="9"/>
      <c r="D368" s="20"/>
      <c r="E368" s="9">
        <f>IF($D368="","",IFERROR(VLOOKUP($D368,'Plan comptable'!$H:$I,2,FALSE),"compte hors plan"))</f>
      </c>
      <c r="F368" s="9"/>
      <c r="G368" s="10"/>
      <c r="H368" s="11"/>
      <c r="I368" s="11"/>
      <c r="J368" s="10">
        <f>IF($D368="","",IF(AND($H368&lt;&gt;"",$I368&lt;&gt;""),"débit ET crédit",IF(AND($H368="",$I368=""),"montant manquant",IF(ISNA(MATCH($D368,'Plan comptable'!$H:$H,0)),"compte hors plan",IF(AND($A368&lt;&gt;"",YEAR($A368)&lt;&gt;Exercice),"hors exercice","")))))</f>
      </c>
    </row>
    <row r="369">
      <c r="A369" s="13"/>
      <c r="B369" s="10"/>
      <c r="C369" s="9"/>
      <c r="D369" s="20"/>
      <c r="E369" s="9">
        <f>IF($D369="","",IFERROR(VLOOKUP($D369,'Plan comptable'!$H:$I,2,FALSE),"compte hors plan"))</f>
      </c>
      <c r="F369" s="9"/>
      <c r="G369" s="10"/>
      <c r="H369" s="11"/>
      <c r="I369" s="11"/>
      <c r="J369" s="10">
        <f>IF($D369="","",IF(AND($H369&lt;&gt;"",$I369&lt;&gt;""),"débit ET crédit",IF(AND($H369="",$I369=""),"montant manquant",IF(ISNA(MATCH($D369,'Plan comptable'!$H:$H,0)),"compte hors plan",IF(AND($A369&lt;&gt;"",YEAR($A369)&lt;&gt;Exercice),"hors exercice","")))))</f>
      </c>
    </row>
    <row r="370">
      <c r="A370" s="13"/>
      <c r="B370" s="10"/>
      <c r="C370" s="9"/>
      <c r="D370" s="20"/>
      <c r="E370" s="9">
        <f>IF($D370="","",IFERROR(VLOOKUP($D370,'Plan comptable'!$H:$I,2,FALSE),"compte hors plan"))</f>
      </c>
      <c r="F370" s="9"/>
      <c r="G370" s="10"/>
      <c r="H370" s="11"/>
      <c r="I370" s="11"/>
      <c r="J370" s="10">
        <f>IF($D370="","",IF(AND($H370&lt;&gt;"",$I370&lt;&gt;""),"débit ET crédit",IF(AND($H370="",$I370=""),"montant manquant",IF(ISNA(MATCH($D370,'Plan comptable'!$H:$H,0)),"compte hors plan",IF(AND($A370&lt;&gt;"",YEAR($A370)&lt;&gt;Exercice),"hors exercice","")))))</f>
      </c>
    </row>
    <row r="371">
      <c r="A371" s="13"/>
      <c r="B371" s="10"/>
      <c r="C371" s="9"/>
      <c r="D371" s="20"/>
      <c r="E371" s="9">
        <f>IF($D371="","",IFERROR(VLOOKUP($D371,'Plan comptable'!$H:$I,2,FALSE),"compte hors plan"))</f>
      </c>
      <c r="F371" s="9"/>
      <c r="G371" s="10"/>
      <c r="H371" s="11"/>
      <c r="I371" s="11"/>
      <c r="J371" s="10">
        <f>IF($D371="","",IF(AND($H371&lt;&gt;"",$I371&lt;&gt;""),"débit ET crédit",IF(AND($H371="",$I371=""),"montant manquant",IF(ISNA(MATCH($D371,'Plan comptable'!$H:$H,0)),"compte hors plan",IF(AND($A371&lt;&gt;"",YEAR($A371)&lt;&gt;Exercice),"hors exercice","")))))</f>
      </c>
    </row>
    <row r="372">
      <c r="A372" s="13"/>
      <c r="B372" s="10"/>
      <c r="C372" s="9"/>
      <c r="D372" s="20"/>
      <c r="E372" s="9">
        <f>IF($D372="","",IFERROR(VLOOKUP($D372,'Plan comptable'!$H:$I,2,FALSE),"compte hors plan"))</f>
      </c>
      <c r="F372" s="9"/>
      <c r="G372" s="10"/>
      <c r="H372" s="11"/>
      <c r="I372" s="11"/>
      <c r="J372" s="10">
        <f>IF($D372="","",IF(AND($H372&lt;&gt;"",$I372&lt;&gt;""),"débit ET crédit",IF(AND($H372="",$I372=""),"montant manquant",IF(ISNA(MATCH($D372,'Plan comptable'!$H:$H,0)),"compte hors plan",IF(AND($A372&lt;&gt;"",YEAR($A372)&lt;&gt;Exercice),"hors exercice","")))))</f>
      </c>
    </row>
    <row r="373">
      <c r="A373" s="13"/>
      <c r="B373" s="10"/>
      <c r="C373" s="9"/>
      <c r="D373" s="20"/>
      <c r="E373" s="9">
        <f>IF($D373="","",IFERROR(VLOOKUP($D373,'Plan comptable'!$H:$I,2,FALSE),"compte hors plan"))</f>
      </c>
      <c r="F373" s="9"/>
      <c r="G373" s="10"/>
      <c r="H373" s="11"/>
      <c r="I373" s="11"/>
      <c r="J373" s="10">
        <f>IF($D373="","",IF(AND($H373&lt;&gt;"",$I373&lt;&gt;""),"débit ET crédit",IF(AND($H373="",$I373=""),"montant manquant",IF(ISNA(MATCH($D373,'Plan comptable'!$H:$H,0)),"compte hors plan",IF(AND($A373&lt;&gt;"",YEAR($A373)&lt;&gt;Exercice),"hors exercice","")))))</f>
      </c>
    </row>
    <row r="374">
      <c r="A374" s="13"/>
      <c r="B374" s="10"/>
      <c r="C374" s="9"/>
      <c r="D374" s="20"/>
      <c r="E374" s="9">
        <f>IF($D374="","",IFERROR(VLOOKUP($D374,'Plan comptable'!$H:$I,2,FALSE),"compte hors plan"))</f>
      </c>
      <c r="F374" s="9"/>
      <c r="G374" s="10"/>
      <c r="H374" s="11"/>
      <c r="I374" s="11"/>
      <c r="J374" s="10">
        <f>IF($D374="","",IF(AND($H374&lt;&gt;"",$I374&lt;&gt;""),"débit ET crédit",IF(AND($H374="",$I374=""),"montant manquant",IF(ISNA(MATCH($D374,'Plan comptable'!$H:$H,0)),"compte hors plan",IF(AND($A374&lt;&gt;"",YEAR($A374)&lt;&gt;Exercice),"hors exercice","")))))</f>
      </c>
    </row>
    <row r="375">
      <c r="A375" s="13"/>
      <c r="B375" s="10"/>
      <c r="C375" s="9"/>
      <c r="D375" s="20"/>
      <c r="E375" s="9">
        <f>IF($D375="","",IFERROR(VLOOKUP($D375,'Plan comptable'!$H:$I,2,FALSE),"compte hors plan"))</f>
      </c>
      <c r="F375" s="9"/>
      <c r="G375" s="10"/>
      <c r="H375" s="11"/>
      <c r="I375" s="11"/>
      <c r="J375" s="10">
        <f>IF($D375="","",IF(AND($H375&lt;&gt;"",$I375&lt;&gt;""),"débit ET crédit",IF(AND($H375="",$I375=""),"montant manquant",IF(ISNA(MATCH($D375,'Plan comptable'!$H:$H,0)),"compte hors plan",IF(AND($A375&lt;&gt;"",YEAR($A375)&lt;&gt;Exercice),"hors exercice","")))))</f>
      </c>
    </row>
    <row r="376">
      <c r="A376" s="13"/>
      <c r="B376" s="10"/>
      <c r="C376" s="9"/>
      <c r="D376" s="20"/>
      <c r="E376" s="9">
        <f>IF($D376="","",IFERROR(VLOOKUP($D376,'Plan comptable'!$H:$I,2,FALSE),"compte hors plan"))</f>
      </c>
      <c r="F376" s="9"/>
      <c r="G376" s="10"/>
      <c r="H376" s="11"/>
      <c r="I376" s="11"/>
      <c r="J376" s="10">
        <f>IF($D376="","",IF(AND($H376&lt;&gt;"",$I376&lt;&gt;""),"débit ET crédit",IF(AND($H376="",$I376=""),"montant manquant",IF(ISNA(MATCH($D376,'Plan comptable'!$H:$H,0)),"compte hors plan",IF(AND($A376&lt;&gt;"",YEAR($A376)&lt;&gt;Exercice),"hors exercice","")))))</f>
      </c>
    </row>
    <row r="377">
      <c r="A377" s="13"/>
      <c r="B377" s="10"/>
      <c r="C377" s="9"/>
      <c r="D377" s="20"/>
      <c r="E377" s="9">
        <f>IF($D377="","",IFERROR(VLOOKUP($D377,'Plan comptable'!$H:$I,2,FALSE),"compte hors plan"))</f>
      </c>
      <c r="F377" s="9"/>
      <c r="G377" s="10"/>
      <c r="H377" s="11"/>
      <c r="I377" s="11"/>
      <c r="J377" s="10">
        <f>IF($D377="","",IF(AND($H377&lt;&gt;"",$I377&lt;&gt;""),"débit ET crédit",IF(AND($H377="",$I377=""),"montant manquant",IF(ISNA(MATCH($D377,'Plan comptable'!$H:$H,0)),"compte hors plan",IF(AND($A377&lt;&gt;"",YEAR($A377)&lt;&gt;Exercice),"hors exercice","")))))</f>
      </c>
    </row>
    <row r="378">
      <c r="A378" s="13"/>
      <c r="B378" s="10"/>
      <c r="C378" s="9"/>
      <c r="D378" s="20"/>
      <c r="E378" s="9">
        <f>IF($D378="","",IFERROR(VLOOKUP($D378,'Plan comptable'!$H:$I,2,FALSE),"compte hors plan"))</f>
      </c>
      <c r="F378" s="9"/>
      <c r="G378" s="10"/>
      <c r="H378" s="11"/>
      <c r="I378" s="11"/>
      <c r="J378" s="10">
        <f>IF($D378="","",IF(AND($H378&lt;&gt;"",$I378&lt;&gt;""),"débit ET crédit",IF(AND($H378="",$I378=""),"montant manquant",IF(ISNA(MATCH($D378,'Plan comptable'!$H:$H,0)),"compte hors plan",IF(AND($A378&lt;&gt;"",YEAR($A378)&lt;&gt;Exercice),"hors exercice","")))))</f>
      </c>
    </row>
    <row r="379">
      <c r="A379" s="13"/>
      <c r="B379" s="10"/>
      <c r="C379" s="9"/>
      <c r="D379" s="20"/>
      <c r="E379" s="9">
        <f>IF($D379="","",IFERROR(VLOOKUP($D379,'Plan comptable'!$H:$I,2,FALSE),"compte hors plan"))</f>
      </c>
      <c r="F379" s="9"/>
      <c r="G379" s="10"/>
      <c r="H379" s="11"/>
      <c r="I379" s="11"/>
      <c r="J379" s="10">
        <f>IF($D379="","",IF(AND($H379&lt;&gt;"",$I379&lt;&gt;""),"débit ET crédit",IF(AND($H379="",$I379=""),"montant manquant",IF(ISNA(MATCH($D379,'Plan comptable'!$H:$H,0)),"compte hors plan",IF(AND($A379&lt;&gt;"",YEAR($A379)&lt;&gt;Exercice),"hors exercice","")))))</f>
      </c>
    </row>
    <row r="380">
      <c r="A380" s="13"/>
      <c r="B380" s="10"/>
      <c r="C380" s="9"/>
      <c r="D380" s="20"/>
      <c r="E380" s="9">
        <f>IF($D380="","",IFERROR(VLOOKUP($D380,'Plan comptable'!$H:$I,2,FALSE),"compte hors plan"))</f>
      </c>
      <c r="F380" s="9"/>
      <c r="G380" s="10"/>
      <c r="H380" s="11"/>
      <c r="I380" s="11"/>
      <c r="J380" s="10">
        <f>IF($D380="","",IF(AND($H380&lt;&gt;"",$I380&lt;&gt;""),"débit ET crédit",IF(AND($H380="",$I380=""),"montant manquant",IF(ISNA(MATCH($D380,'Plan comptable'!$H:$H,0)),"compte hors plan",IF(AND($A380&lt;&gt;"",YEAR($A380)&lt;&gt;Exercice),"hors exercice","")))))</f>
      </c>
    </row>
    <row r="381">
      <c r="A381" s="13"/>
      <c r="B381" s="10"/>
      <c r="C381" s="9"/>
      <c r="D381" s="20"/>
      <c r="E381" s="9">
        <f>IF($D381="","",IFERROR(VLOOKUP($D381,'Plan comptable'!$H:$I,2,FALSE),"compte hors plan"))</f>
      </c>
      <c r="F381" s="9"/>
      <c r="G381" s="10"/>
      <c r="H381" s="11"/>
      <c r="I381" s="11"/>
      <c r="J381" s="10">
        <f>IF($D381="","",IF(AND($H381&lt;&gt;"",$I381&lt;&gt;""),"débit ET crédit",IF(AND($H381="",$I381=""),"montant manquant",IF(ISNA(MATCH($D381,'Plan comptable'!$H:$H,0)),"compte hors plan",IF(AND($A381&lt;&gt;"",YEAR($A381)&lt;&gt;Exercice),"hors exercice","")))))</f>
      </c>
    </row>
    <row r="382">
      <c r="A382" s="13"/>
      <c r="B382" s="10"/>
      <c r="C382" s="9"/>
      <c r="D382" s="20"/>
      <c r="E382" s="9">
        <f>IF($D382="","",IFERROR(VLOOKUP($D382,'Plan comptable'!$H:$I,2,FALSE),"compte hors plan"))</f>
      </c>
      <c r="F382" s="9"/>
      <c r="G382" s="10"/>
      <c r="H382" s="11"/>
      <c r="I382" s="11"/>
      <c r="J382" s="10">
        <f>IF($D382="","",IF(AND($H382&lt;&gt;"",$I382&lt;&gt;""),"débit ET crédit",IF(AND($H382="",$I382=""),"montant manquant",IF(ISNA(MATCH($D382,'Plan comptable'!$H:$H,0)),"compte hors plan",IF(AND($A382&lt;&gt;"",YEAR($A382)&lt;&gt;Exercice),"hors exercice","")))))</f>
      </c>
    </row>
    <row r="383">
      <c r="A383" s="13"/>
      <c r="B383" s="10"/>
      <c r="C383" s="9"/>
      <c r="D383" s="20"/>
      <c r="E383" s="9">
        <f>IF($D383="","",IFERROR(VLOOKUP($D383,'Plan comptable'!$H:$I,2,FALSE),"compte hors plan"))</f>
      </c>
      <c r="F383" s="9"/>
      <c r="G383" s="10"/>
      <c r="H383" s="11"/>
      <c r="I383" s="11"/>
      <c r="J383" s="10">
        <f>IF($D383="","",IF(AND($H383&lt;&gt;"",$I383&lt;&gt;""),"débit ET crédit",IF(AND($H383="",$I383=""),"montant manquant",IF(ISNA(MATCH($D383,'Plan comptable'!$H:$H,0)),"compte hors plan",IF(AND($A383&lt;&gt;"",YEAR($A383)&lt;&gt;Exercice),"hors exercice","")))))</f>
      </c>
    </row>
    <row r="384">
      <c r="A384" s="13"/>
      <c r="B384" s="10"/>
      <c r="C384" s="9"/>
      <c r="D384" s="20"/>
      <c r="E384" s="9">
        <f>IF($D384="","",IFERROR(VLOOKUP($D384,'Plan comptable'!$H:$I,2,FALSE),"compte hors plan"))</f>
      </c>
      <c r="F384" s="9"/>
      <c r="G384" s="10"/>
      <c r="H384" s="11"/>
      <c r="I384" s="11"/>
      <c r="J384" s="10">
        <f>IF($D384="","",IF(AND($H384&lt;&gt;"",$I384&lt;&gt;""),"débit ET crédit",IF(AND($H384="",$I384=""),"montant manquant",IF(ISNA(MATCH($D384,'Plan comptable'!$H:$H,0)),"compte hors plan",IF(AND($A384&lt;&gt;"",YEAR($A384)&lt;&gt;Exercice),"hors exercice","")))))</f>
      </c>
    </row>
    <row r="385">
      <c r="A385" s="13"/>
      <c r="B385" s="10"/>
      <c r="C385" s="9"/>
      <c r="D385" s="20"/>
      <c r="E385" s="9">
        <f>IF($D385="","",IFERROR(VLOOKUP($D385,'Plan comptable'!$H:$I,2,FALSE),"compte hors plan"))</f>
      </c>
      <c r="F385" s="9"/>
      <c r="G385" s="10"/>
      <c r="H385" s="11"/>
      <c r="I385" s="11"/>
      <c r="J385" s="10">
        <f>IF($D385="","",IF(AND($H385&lt;&gt;"",$I385&lt;&gt;""),"débit ET crédit",IF(AND($H385="",$I385=""),"montant manquant",IF(ISNA(MATCH($D385,'Plan comptable'!$H:$H,0)),"compte hors plan",IF(AND($A385&lt;&gt;"",YEAR($A385)&lt;&gt;Exercice),"hors exercice","")))))</f>
      </c>
    </row>
    <row r="386">
      <c r="A386" s="13"/>
      <c r="B386" s="10"/>
      <c r="C386" s="9"/>
      <c r="D386" s="20"/>
      <c r="E386" s="9">
        <f>IF($D386="","",IFERROR(VLOOKUP($D386,'Plan comptable'!$H:$I,2,FALSE),"compte hors plan"))</f>
      </c>
      <c r="F386" s="9"/>
      <c r="G386" s="10"/>
      <c r="H386" s="11"/>
      <c r="I386" s="11"/>
      <c r="J386" s="10">
        <f>IF($D386="","",IF(AND($H386&lt;&gt;"",$I386&lt;&gt;""),"débit ET crédit",IF(AND($H386="",$I386=""),"montant manquant",IF(ISNA(MATCH($D386,'Plan comptable'!$H:$H,0)),"compte hors plan",IF(AND($A386&lt;&gt;"",YEAR($A386)&lt;&gt;Exercice),"hors exercice","")))))</f>
      </c>
    </row>
    <row r="387">
      <c r="A387" s="13"/>
      <c r="B387" s="10"/>
      <c r="C387" s="9"/>
      <c r="D387" s="20"/>
      <c r="E387" s="9">
        <f>IF($D387="","",IFERROR(VLOOKUP($D387,'Plan comptable'!$H:$I,2,FALSE),"compte hors plan"))</f>
      </c>
      <c r="F387" s="9"/>
      <c r="G387" s="10"/>
      <c r="H387" s="11"/>
      <c r="I387" s="11"/>
      <c r="J387" s="10">
        <f>IF($D387="","",IF(AND($H387&lt;&gt;"",$I387&lt;&gt;""),"débit ET crédit",IF(AND($H387="",$I387=""),"montant manquant",IF(ISNA(MATCH($D387,'Plan comptable'!$H:$H,0)),"compte hors plan",IF(AND($A387&lt;&gt;"",YEAR($A387)&lt;&gt;Exercice),"hors exercice","")))))</f>
      </c>
    </row>
    <row r="388">
      <c r="A388" s="13"/>
      <c r="B388" s="10"/>
      <c r="C388" s="9"/>
      <c r="D388" s="20"/>
      <c r="E388" s="9">
        <f>IF($D388="","",IFERROR(VLOOKUP($D388,'Plan comptable'!$H:$I,2,FALSE),"compte hors plan"))</f>
      </c>
      <c r="F388" s="9"/>
      <c r="G388" s="10"/>
      <c r="H388" s="11"/>
      <c r="I388" s="11"/>
      <c r="J388" s="10">
        <f>IF($D388="","",IF(AND($H388&lt;&gt;"",$I388&lt;&gt;""),"débit ET crédit",IF(AND($H388="",$I388=""),"montant manquant",IF(ISNA(MATCH($D388,'Plan comptable'!$H:$H,0)),"compte hors plan",IF(AND($A388&lt;&gt;"",YEAR($A388)&lt;&gt;Exercice),"hors exercice","")))))</f>
      </c>
    </row>
    <row r="389">
      <c r="A389" s="13"/>
      <c r="B389" s="10"/>
      <c r="C389" s="9"/>
      <c r="D389" s="20"/>
      <c r="E389" s="9">
        <f>IF($D389="","",IFERROR(VLOOKUP($D389,'Plan comptable'!$H:$I,2,FALSE),"compte hors plan"))</f>
      </c>
      <c r="F389" s="9"/>
      <c r="G389" s="10"/>
      <c r="H389" s="11"/>
      <c r="I389" s="11"/>
      <c r="J389" s="10">
        <f>IF($D389="","",IF(AND($H389&lt;&gt;"",$I389&lt;&gt;""),"débit ET crédit",IF(AND($H389="",$I389=""),"montant manquant",IF(ISNA(MATCH($D389,'Plan comptable'!$H:$H,0)),"compte hors plan",IF(AND($A389&lt;&gt;"",YEAR($A389)&lt;&gt;Exercice),"hors exercice","")))))</f>
      </c>
    </row>
    <row r="390">
      <c r="A390" s="13"/>
      <c r="B390" s="10"/>
      <c r="C390" s="9"/>
      <c r="D390" s="20"/>
      <c r="E390" s="9">
        <f>IF($D390="","",IFERROR(VLOOKUP($D390,'Plan comptable'!$H:$I,2,FALSE),"compte hors plan"))</f>
      </c>
      <c r="F390" s="9"/>
      <c r="G390" s="10"/>
      <c r="H390" s="11"/>
      <c r="I390" s="11"/>
      <c r="J390" s="10">
        <f>IF($D390="","",IF(AND($H390&lt;&gt;"",$I390&lt;&gt;""),"débit ET crédit",IF(AND($H390="",$I390=""),"montant manquant",IF(ISNA(MATCH($D390,'Plan comptable'!$H:$H,0)),"compte hors plan",IF(AND($A390&lt;&gt;"",YEAR($A390)&lt;&gt;Exercice),"hors exercice","")))))</f>
      </c>
    </row>
    <row r="391">
      <c r="A391" s="13"/>
      <c r="B391" s="10"/>
      <c r="C391" s="9"/>
      <c r="D391" s="20"/>
      <c r="E391" s="9">
        <f>IF($D391="","",IFERROR(VLOOKUP($D391,'Plan comptable'!$H:$I,2,FALSE),"compte hors plan"))</f>
      </c>
      <c r="F391" s="9"/>
      <c r="G391" s="10"/>
      <c r="H391" s="11"/>
      <c r="I391" s="11"/>
      <c r="J391" s="10">
        <f>IF($D391="","",IF(AND($H391&lt;&gt;"",$I391&lt;&gt;""),"débit ET crédit",IF(AND($H391="",$I391=""),"montant manquant",IF(ISNA(MATCH($D391,'Plan comptable'!$H:$H,0)),"compte hors plan",IF(AND($A391&lt;&gt;"",YEAR($A391)&lt;&gt;Exercice),"hors exercice","")))))</f>
      </c>
    </row>
    <row r="392">
      <c r="A392" s="13"/>
      <c r="B392" s="10"/>
      <c r="C392" s="9"/>
      <c r="D392" s="20"/>
      <c r="E392" s="9">
        <f>IF($D392="","",IFERROR(VLOOKUP($D392,'Plan comptable'!$H:$I,2,FALSE),"compte hors plan"))</f>
      </c>
      <c r="F392" s="9"/>
      <c r="G392" s="10"/>
      <c r="H392" s="11"/>
      <c r="I392" s="11"/>
      <c r="J392" s="10">
        <f>IF($D392="","",IF(AND($H392&lt;&gt;"",$I392&lt;&gt;""),"débit ET crédit",IF(AND($H392="",$I392=""),"montant manquant",IF(ISNA(MATCH($D392,'Plan comptable'!$H:$H,0)),"compte hors plan",IF(AND($A392&lt;&gt;"",YEAR($A392)&lt;&gt;Exercice),"hors exercice","")))))</f>
      </c>
    </row>
    <row r="393">
      <c r="A393" s="13"/>
      <c r="B393" s="10"/>
      <c r="C393" s="9"/>
      <c r="D393" s="20"/>
      <c r="E393" s="9">
        <f>IF($D393="","",IFERROR(VLOOKUP($D393,'Plan comptable'!$H:$I,2,FALSE),"compte hors plan"))</f>
      </c>
      <c r="F393" s="9"/>
      <c r="G393" s="10"/>
      <c r="H393" s="11"/>
      <c r="I393" s="11"/>
      <c r="J393" s="10">
        <f>IF($D393="","",IF(AND($H393&lt;&gt;"",$I393&lt;&gt;""),"débit ET crédit",IF(AND($H393="",$I393=""),"montant manquant",IF(ISNA(MATCH($D393,'Plan comptable'!$H:$H,0)),"compte hors plan",IF(AND($A393&lt;&gt;"",YEAR($A393)&lt;&gt;Exercice),"hors exercice","")))))</f>
      </c>
    </row>
    <row r="394">
      <c r="A394" s="13"/>
      <c r="B394" s="10"/>
      <c r="C394" s="9"/>
      <c r="D394" s="20"/>
      <c r="E394" s="9">
        <f>IF($D394="","",IFERROR(VLOOKUP($D394,'Plan comptable'!$H:$I,2,FALSE),"compte hors plan"))</f>
      </c>
      <c r="F394" s="9"/>
      <c r="G394" s="10"/>
      <c r="H394" s="11"/>
      <c r="I394" s="11"/>
      <c r="J394" s="10">
        <f>IF($D394="","",IF(AND($H394&lt;&gt;"",$I394&lt;&gt;""),"débit ET crédit",IF(AND($H394="",$I394=""),"montant manquant",IF(ISNA(MATCH($D394,'Plan comptable'!$H:$H,0)),"compte hors plan",IF(AND($A394&lt;&gt;"",YEAR($A394)&lt;&gt;Exercice),"hors exercice","")))))</f>
      </c>
    </row>
    <row r="395">
      <c r="A395" s="13"/>
      <c r="B395" s="10"/>
      <c r="C395" s="9"/>
      <c r="D395" s="20"/>
      <c r="E395" s="9">
        <f>IF($D395="","",IFERROR(VLOOKUP($D395,'Plan comptable'!$H:$I,2,FALSE),"compte hors plan"))</f>
      </c>
      <c r="F395" s="9"/>
      <c r="G395" s="10"/>
      <c r="H395" s="11"/>
      <c r="I395" s="11"/>
      <c r="J395" s="10">
        <f>IF($D395="","",IF(AND($H395&lt;&gt;"",$I395&lt;&gt;""),"débit ET crédit",IF(AND($H395="",$I395=""),"montant manquant",IF(ISNA(MATCH($D395,'Plan comptable'!$H:$H,0)),"compte hors plan",IF(AND($A395&lt;&gt;"",YEAR($A395)&lt;&gt;Exercice),"hors exercice","")))))</f>
      </c>
    </row>
    <row r="396">
      <c r="A396" s="13"/>
      <c r="B396" s="10"/>
      <c r="C396" s="9"/>
      <c r="D396" s="20"/>
      <c r="E396" s="9">
        <f>IF($D396="","",IFERROR(VLOOKUP($D396,'Plan comptable'!$H:$I,2,FALSE),"compte hors plan"))</f>
      </c>
      <c r="F396" s="9"/>
      <c r="G396" s="10"/>
      <c r="H396" s="11"/>
      <c r="I396" s="11"/>
      <c r="J396" s="10">
        <f>IF($D396="","",IF(AND($H396&lt;&gt;"",$I396&lt;&gt;""),"débit ET crédit",IF(AND($H396="",$I396=""),"montant manquant",IF(ISNA(MATCH($D396,'Plan comptable'!$H:$H,0)),"compte hors plan",IF(AND($A396&lt;&gt;"",YEAR($A396)&lt;&gt;Exercice),"hors exercice","")))))</f>
      </c>
    </row>
    <row r="397">
      <c r="A397" s="13"/>
      <c r="B397" s="10"/>
      <c r="C397" s="9"/>
      <c r="D397" s="20"/>
      <c r="E397" s="9">
        <f>IF($D397="","",IFERROR(VLOOKUP($D397,'Plan comptable'!$H:$I,2,FALSE),"compte hors plan"))</f>
      </c>
      <c r="F397" s="9"/>
      <c r="G397" s="10"/>
      <c r="H397" s="11"/>
      <c r="I397" s="11"/>
      <c r="J397" s="10">
        <f>IF($D397="","",IF(AND($H397&lt;&gt;"",$I397&lt;&gt;""),"débit ET crédit",IF(AND($H397="",$I397=""),"montant manquant",IF(ISNA(MATCH($D397,'Plan comptable'!$H:$H,0)),"compte hors plan",IF(AND($A397&lt;&gt;"",YEAR($A397)&lt;&gt;Exercice),"hors exercice","")))))</f>
      </c>
    </row>
    <row r="398">
      <c r="A398" s="13"/>
      <c r="B398" s="10"/>
      <c r="C398" s="9"/>
      <c r="D398" s="20"/>
      <c r="E398" s="9">
        <f>IF($D398="","",IFERROR(VLOOKUP($D398,'Plan comptable'!$H:$I,2,FALSE),"compte hors plan"))</f>
      </c>
      <c r="F398" s="9"/>
      <c r="G398" s="10"/>
      <c r="H398" s="11"/>
      <c r="I398" s="11"/>
      <c r="J398" s="10">
        <f>IF($D398="","",IF(AND($H398&lt;&gt;"",$I398&lt;&gt;""),"débit ET crédit",IF(AND($H398="",$I398=""),"montant manquant",IF(ISNA(MATCH($D398,'Plan comptable'!$H:$H,0)),"compte hors plan",IF(AND($A398&lt;&gt;"",YEAR($A398)&lt;&gt;Exercice),"hors exercice","")))))</f>
      </c>
    </row>
    <row r="399">
      <c r="A399" s="13"/>
      <c r="B399" s="10"/>
      <c r="C399" s="9"/>
      <c r="D399" s="20"/>
      <c r="E399" s="9">
        <f>IF($D399="","",IFERROR(VLOOKUP($D399,'Plan comptable'!$H:$I,2,FALSE),"compte hors plan"))</f>
      </c>
      <c r="F399" s="9"/>
      <c r="G399" s="10"/>
      <c r="H399" s="11"/>
      <c r="I399" s="11"/>
      <c r="J399" s="10">
        <f>IF($D399="","",IF(AND($H399&lt;&gt;"",$I399&lt;&gt;""),"débit ET crédit",IF(AND($H399="",$I399=""),"montant manquant",IF(ISNA(MATCH($D399,'Plan comptable'!$H:$H,0)),"compte hors plan",IF(AND($A399&lt;&gt;"",YEAR($A399)&lt;&gt;Exercice),"hors exercice","")))))</f>
      </c>
    </row>
    <row r="400">
      <c r="A400" s="13"/>
      <c r="B400" s="10"/>
      <c r="C400" s="9"/>
      <c r="D400" s="20"/>
      <c r="E400" s="9">
        <f>IF($D400="","",IFERROR(VLOOKUP($D400,'Plan comptable'!$H:$I,2,FALSE),"compte hors plan"))</f>
      </c>
      <c r="F400" s="9"/>
      <c r="G400" s="10"/>
      <c r="H400" s="11"/>
      <c r="I400" s="11"/>
      <c r="J400" s="10">
        <f>IF($D400="","",IF(AND($H400&lt;&gt;"",$I400&lt;&gt;""),"débit ET crédit",IF(AND($H400="",$I400=""),"montant manquant",IF(ISNA(MATCH($D400,'Plan comptable'!$H:$H,0)),"compte hors plan",IF(AND($A400&lt;&gt;"",YEAR($A400)&lt;&gt;Exercice),"hors exercice","")))))</f>
      </c>
    </row>
    <row r="401">
      <c r="A401" s="13"/>
      <c r="B401" s="10"/>
      <c r="C401" s="9"/>
      <c r="D401" s="20"/>
      <c r="E401" s="9">
        <f>IF($D401="","",IFERROR(VLOOKUP($D401,'Plan comptable'!$H:$I,2,FALSE),"compte hors plan"))</f>
      </c>
      <c r="F401" s="9"/>
      <c r="G401" s="10"/>
      <c r="H401" s="11"/>
      <c r="I401" s="11"/>
      <c r="J401" s="10">
        <f>IF($D401="","",IF(AND($H401&lt;&gt;"",$I401&lt;&gt;""),"débit ET crédit",IF(AND($H401="",$I401=""),"montant manquant",IF(ISNA(MATCH($D401,'Plan comptable'!$H:$H,0)),"compte hors plan",IF(AND($A401&lt;&gt;"",YEAR($A401)&lt;&gt;Exercice),"hors exercice","")))))</f>
      </c>
    </row>
    <row r="402">
      <c r="A402" s="13"/>
      <c r="B402" s="10"/>
      <c r="C402" s="9"/>
      <c r="D402" s="20"/>
      <c r="E402" s="9">
        <f>IF($D402="","",IFERROR(VLOOKUP($D402,'Plan comptable'!$H:$I,2,FALSE),"compte hors plan"))</f>
      </c>
      <c r="F402" s="9"/>
      <c r="G402" s="10"/>
      <c r="H402" s="11"/>
      <c r="I402" s="11"/>
      <c r="J402" s="10">
        <f>IF($D402="","",IF(AND($H402&lt;&gt;"",$I402&lt;&gt;""),"débit ET crédit",IF(AND($H402="",$I402=""),"montant manquant",IF(ISNA(MATCH($D402,'Plan comptable'!$H:$H,0)),"compte hors plan",IF(AND($A402&lt;&gt;"",YEAR($A402)&lt;&gt;Exercice),"hors exercice","")))))</f>
      </c>
    </row>
    <row r="403">
      <c r="A403" s="13"/>
      <c r="B403" s="10"/>
      <c r="C403" s="9"/>
      <c r="D403" s="20"/>
      <c r="E403" s="9">
        <f>IF($D403="","",IFERROR(VLOOKUP($D403,'Plan comptable'!$H:$I,2,FALSE),"compte hors plan"))</f>
      </c>
      <c r="F403" s="9"/>
      <c r="G403" s="10"/>
      <c r="H403" s="11"/>
      <c r="I403" s="11"/>
      <c r="J403" s="10">
        <f>IF($D403="","",IF(AND($H403&lt;&gt;"",$I403&lt;&gt;""),"débit ET crédit",IF(AND($H403="",$I403=""),"montant manquant",IF(ISNA(MATCH($D403,'Plan comptable'!$H:$H,0)),"compte hors plan",IF(AND($A403&lt;&gt;"",YEAR($A403)&lt;&gt;Exercice),"hors exercice","")))))</f>
      </c>
    </row>
    <row r="404">
      <c r="A404" s="13"/>
      <c r="B404" s="10"/>
      <c r="C404" s="9"/>
      <c r="D404" s="20"/>
      <c r="E404" s="9">
        <f>IF($D404="","",IFERROR(VLOOKUP($D404,'Plan comptable'!$H:$I,2,FALSE),"compte hors plan"))</f>
      </c>
      <c r="F404" s="9"/>
      <c r="G404" s="10"/>
      <c r="H404" s="11"/>
      <c r="I404" s="11"/>
      <c r="J404" s="10">
        <f>IF($D404="","",IF(AND($H404&lt;&gt;"",$I404&lt;&gt;""),"débit ET crédit",IF(AND($H404="",$I404=""),"montant manquant",IF(ISNA(MATCH($D404,'Plan comptable'!$H:$H,0)),"compte hors plan",IF(AND($A404&lt;&gt;"",YEAR($A404)&lt;&gt;Exercice),"hors exercice","")))))</f>
      </c>
    </row>
    <row r="405">
      <c r="A405" s="13"/>
      <c r="B405" s="10"/>
      <c r="C405" s="9"/>
      <c r="D405" s="20"/>
      <c r="E405" s="9">
        <f>IF($D405="","",IFERROR(VLOOKUP($D405,'Plan comptable'!$H:$I,2,FALSE),"compte hors plan"))</f>
      </c>
      <c r="F405" s="9"/>
      <c r="G405" s="10"/>
      <c r="H405" s="11"/>
      <c r="I405" s="11"/>
      <c r="J405" s="10">
        <f>IF($D405="","",IF(AND($H405&lt;&gt;"",$I405&lt;&gt;""),"débit ET crédit",IF(AND($H405="",$I405=""),"montant manquant",IF(ISNA(MATCH($D405,'Plan comptable'!$H:$H,0)),"compte hors plan",IF(AND($A405&lt;&gt;"",YEAR($A405)&lt;&gt;Exercice),"hors exercice","")))))</f>
      </c>
    </row>
    <row r="406">
      <c r="A406" s="13"/>
      <c r="B406" s="10"/>
      <c r="C406" s="9"/>
      <c r="D406" s="20"/>
      <c r="E406" s="9">
        <f>IF($D406="","",IFERROR(VLOOKUP($D406,'Plan comptable'!$H:$I,2,FALSE),"compte hors plan"))</f>
      </c>
      <c r="F406" s="9"/>
      <c r="G406" s="10"/>
      <c r="H406" s="11"/>
      <c r="I406" s="11"/>
      <c r="J406" s="10">
        <f>IF($D406="","",IF(AND($H406&lt;&gt;"",$I406&lt;&gt;""),"débit ET crédit",IF(AND($H406="",$I406=""),"montant manquant",IF(ISNA(MATCH($D406,'Plan comptable'!$H:$H,0)),"compte hors plan",IF(AND($A406&lt;&gt;"",YEAR($A406)&lt;&gt;Exercice),"hors exercice","")))))</f>
      </c>
    </row>
    <row r="407">
      <c r="A407" s="13"/>
      <c r="B407" s="10"/>
      <c r="C407" s="9"/>
      <c r="D407" s="20"/>
      <c r="E407" s="9">
        <f>IF($D407="","",IFERROR(VLOOKUP($D407,'Plan comptable'!$H:$I,2,FALSE),"compte hors plan"))</f>
      </c>
      <c r="F407" s="9"/>
      <c r="G407" s="10"/>
      <c r="H407" s="11"/>
      <c r="I407" s="11"/>
      <c r="J407" s="10">
        <f>IF($D407="","",IF(AND($H407&lt;&gt;"",$I407&lt;&gt;""),"débit ET crédit",IF(AND($H407="",$I407=""),"montant manquant",IF(ISNA(MATCH($D407,'Plan comptable'!$H:$H,0)),"compte hors plan",IF(AND($A407&lt;&gt;"",YEAR($A407)&lt;&gt;Exercice),"hors exercice","")))))</f>
      </c>
    </row>
    <row r="408">
      <c r="A408" s="13"/>
      <c r="B408" s="10"/>
      <c r="C408" s="9"/>
      <c r="D408" s="20"/>
      <c r="E408" s="9">
        <f>IF($D408="","",IFERROR(VLOOKUP($D408,'Plan comptable'!$H:$I,2,FALSE),"compte hors plan"))</f>
      </c>
      <c r="F408" s="9"/>
      <c r="G408" s="10"/>
      <c r="H408" s="11"/>
      <c r="I408" s="11"/>
      <c r="J408" s="10">
        <f>IF($D408="","",IF(AND($H408&lt;&gt;"",$I408&lt;&gt;""),"débit ET crédit",IF(AND($H408="",$I408=""),"montant manquant",IF(ISNA(MATCH($D408,'Plan comptable'!$H:$H,0)),"compte hors plan",IF(AND($A408&lt;&gt;"",YEAR($A408)&lt;&gt;Exercice),"hors exercice","")))))</f>
      </c>
    </row>
    <row r="409">
      <c r="A409" s="13"/>
      <c r="B409" s="10"/>
      <c r="C409" s="9"/>
      <c r="D409" s="20"/>
      <c r="E409" s="9">
        <f>IF($D409="","",IFERROR(VLOOKUP($D409,'Plan comptable'!$H:$I,2,FALSE),"compte hors plan"))</f>
      </c>
      <c r="F409" s="9"/>
      <c r="G409" s="10"/>
      <c r="H409" s="11"/>
      <c r="I409" s="11"/>
      <c r="J409" s="10">
        <f>IF($D409="","",IF(AND($H409&lt;&gt;"",$I409&lt;&gt;""),"débit ET crédit",IF(AND($H409="",$I409=""),"montant manquant",IF(ISNA(MATCH($D409,'Plan comptable'!$H:$H,0)),"compte hors plan",IF(AND($A409&lt;&gt;"",YEAR($A409)&lt;&gt;Exercice),"hors exercice","")))))</f>
      </c>
    </row>
    <row r="410">
      <c r="A410" s="13"/>
      <c r="B410" s="10"/>
      <c r="C410" s="9"/>
      <c r="D410" s="20"/>
      <c r="E410" s="9">
        <f>IF($D410="","",IFERROR(VLOOKUP($D410,'Plan comptable'!$H:$I,2,FALSE),"compte hors plan"))</f>
      </c>
      <c r="F410" s="9"/>
      <c r="G410" s="10"/>
      <c r="H410" s="11"/>
      <c r="I410" s="11"/>
      <c r="J410" s="10">
        <f>IF($D410="","",IF(AND($H410&lt;&gt;"",$I410&lt;&gt;""),"débit ET crédit",IF(AND($H410="",$I410=""),"montant manquant",IF(ISNA(MATCH($D410,'Plan comptable'!$H:$H,0)),"compte hors plan",IF(AND($A410&lt;&gt;"",YEAR($A410)&lt;&gt;Exercice),"hors exercice","")))))</f>
      </c>
    </row>
    <row r="411">
      <c r="A411" s="13"/>
      <c r="B411" s="10"/>
      <c r="C411" s="9"/>
      <c r="D411" s="20"/>
      <c r="E411" s="9">
        <f>IF($D411="","",IFERROR(VLOOKUP($D411,'Plan comptable'!$H:$I,2,FALSE),"compte hors plan"))</f>
      </c>
      <c r="F411" s="9"/>
      <c r="G411" s="10"/>
      <c r="H411" s="11"/>
      <c r="I411" s="11"/>
      <c r="J411" s="10">
        <f>IF($D411="","",IF(AND($H411&lt;&gt;"",$I411&lt;&gt;""),"débit ET crédit",IF(AND($H411="",$I411=""),"montant manquant",IF(ISNA(MATCH($D411,'Plan comptable'!$H:$H,0)),"compte hors plan",IF(AND($A411&lt;&gt;"",YEAR($A411)&lt;&gt;Exercice),"hors exercice","")))))</f>
      </c>
    </row>
    <row r="412">
      <c r="A412" s="13"/>
      <c r="B412" s="10"/>
      <c r="C412" s="9"/>
      <c r="D412" s="20"/>
      <c r="E412" s="9">
        <f>IF($D412="","",IFERROR(VLOOKUP($D412,'Plan comptable'!$H:$I,2,FALSE),"compte hors plan"))</f>
      </c>
      <c r="F412" s="9"/>
      <c r="G412" s="10"/>
      <c r="H412" s="11"/>
      <c r="I412" s="11"/>
      <c r="J412" s="10">
        <f>IF($D412="","",IF(AND($H412&lt;&gt;"",$I412&lt;&gt;""),"débit ET crédit",IF(AND($H412="",$I412=""),"montant manquant",IF(ISNA(MATCH($D412,'Plan comptable'!$H:$H,0)),"compte hors plan",IF(AND($A412&lt;&gt;"",YEAR($A412)&lt;&gt;Exercice),"hors exercice","")))))</f>
      </c>
    </row>
    <row r="413">
      <c r="A413" s="13"/>
      <c r="B413" s="10"/>
      <c r="C413" s="9"/>
      <c r="D413" s="20"/>
      <c r="E413" s="9">
        <f>IF($D413="","",IFERROR(VLOOKUP($D413,'Plan comptable'!$H:$I,2,FALSE),"compte hors plan"))</f>
      </c>
      <c r="F413" s="9"/>
      <c r="G413" s="10"/>
      <c r="H413" s="11"/>
      <c r="I413" s="11"/>
      <c r="J413" s="10">
        <f>IF($D413="","",IF(AND($H413&lt;&gt;"",$I413&lt;&gt;""),"débit ET crédit",IF(AND($H413="",$I413=""),"montant manquant",IF(ISNA(MATCH($D413,'Plan comptable'!$H:$H,0)),"compte hors plan",IF(AND($A413&lt;&gt;"",YEAR($A413)&lt;&gt;Exercice),"hors exercice","")))))</f>
      </c>
    </row>
    <row r="414">
      <c r="A414" s="13"/>
      <c r="B414" s="10"/>
      <c r="C414" s="9"/>
      <c r="D414" s="20"/>
      <c r="E414" s="9">
        <f>IF($D414="","",IFERROR(VLOOKUP($D414,'Plan comptable'!$H:$I,2,FALSE),"compte hors plan"))</f>
      </c>
      <c r="F414" s="9"/>
      <c r="G414" s="10"/>
      <c r="H414" s="11"/>
      <c r="I414" s="11"/>
      <c r="J414" s="10">
        <f>IF($D414="","",IF(AND($H414&lt;&gt;"",$I414&lt;&gt;""),"débit ET crédit",IF(AND($H414="",$I414=""),"montant manquant",IF(ISNA(MATCH($D414,'Plan comptable'!$H:$H,0)),"compte hors plan",IF(AND($A414&lt;&gt;"",YEAR($A414)&lt;&gt;Exercice),"hors exercice","")))))</f>
      </c>
    </row>
    <row r="415">
      <c r="A415" s="13"/>
      <c r="B415" s="10"/>
      <c r="C415" s="9"/>
      <c r="D415" s="20"/>
      <c r="E415" s="9">
        <f>IF($D415="","",IFERROR(VLOOKUP($D415,'Plan comptable'!$H:$I,2,FALSE),"compte hors plan"))</f>
      </c>
      <c r="F415" s="9"/>
      <c r="G415" s="10"/>
      <c r="H415" s="11"/>
      <c r="I415" s="11"/>
      <c r="J415" s="10">
        <f>IF($D415="","",IF(AND($H415&lt;&gt;"",$I415&lt;&gt;""),"débit ET crédit",IF(AND($H415="",$I415=""),"montant manquant",IF(ISNA(MATCH($D415,'Plan comptable'!$H:$H,0)),"compte hors plan",IF(AND($A415&lt;&gt;"",YEAR($A415)&lt;&gt;Exercice),"hors exercice","")))))</f>
      </c>
    </row>
    <row r="416">
      <c r="A416" s="13"/>
      <c r="B416" s="10"/>
      <c r="C416" s="9"/>
      <c r="D416" s="20"/>
      <c r="E416" s="9">
        <f>IF($D416="","",IFERROR(VLOOKUP($D416,'Plan comptable'!$H:$I,2,FALSE),"compte hors plan"))</f>
      </c>
      <c r="F416" s="9"/>
      <c r="G416" s="10"/>
      <c r="H416" s="11"/>
      <c r="I416" s="11"/>
      <c r="J416" s="10">
        <f>IF($D416="","",IF(AND($H416&lt;&gt;"",$I416&lt;&gt;""),"débit ET crédit",IF(AND($H416="",$I416=""),"montant manquant",IF(ISNA(MATCH($D416,'Plan comptable'!$H:$H,0)),"compte hors plan",IF(AND($A416&lt;&gt;"",YEAR($A416)&lt;&gt;Exercice),"hors exercice","")))))</f>
      </c>
    </row>
    <row r="417">
      <c r="A417" s="13"/>
      <c r="B417" s="10"/>
      <c r="C417" s="9"/>
      <c r="D417" s="20"/>
      <c r="E417" s="9">
        <f>IF($D417="","",IFERROR(VLOOKUP($D417,'Plan comptable'!$H:$I,2,FALSE),"compte hors plan"))</f>
      </c>
      <c r="F417" s="9"/>
      <c r="G417" s="10"/>
      <c r="H417" s="11"/>
      <c r="I417" s="11"/>
      <c r="J417" s="10">
        <f>IF($D417="","",IF(AND($H417&lt;&gt;"",$I417&lt;&gt;""),"débit ET crédit",IF(AND($H417="",$I417=""),"montant manquant",IF(ISNA(MATCH($D417,'Plan comptable'!$H:$H,0)),"compte hors plan",IF(AND($A417&lt;&gt;"",YEAR($A417)&lt;&gt;Exercice),"hors exercice","")))))</f>
      </c>
    </row>
    <row r="418">
      <c r="A418" s="13"/>
      <c r="B418" s="10"/>
      <c r="C418" s="9"/>
      <c r="D418" s="20"/>
      <c r="E418" s="9">
        <f>IF($D418="","",IFERROR(VLOOKUP($D418,'Plan comptable'!$H:$I,2,FALSE),"compte hors plan"))</f>
      </c>
      <c r="F418" s="9"/>
      <c r="G418" s="10"/>
      <c r="H418" s="11"/>
      <c r="I418" s="11"/>
      <c r="J418" s="10">
        <f>IF($D418="","",IF(AND($H418&lt;&gt;"",$I418&lt;&gt;""),"débit ET crédit",IF(AND($H418="",$I418=""),"montant manquant",IF(ISNA(MATCH($D418,'Plan comptable'!$H:$H,0)),"compte hors plan",IF(AND($A418&lt;&gt;"",YEAR($A418)&lt;&gt;Exercice),"hors exercice","")))))</f>
      </c>
    </row>
    <row r="419">
      <c r="A419" s="13"/>
      <c r="B419" s="10"/>
      <c r="C419" s="9"/>
      <c r="D419" s="20"/>
      <c r="E419" s="9">
        <f>IF($D419="","",IFERROR(VLOOKUP($D419,'Plan comptable'!$H:$I,2,FALSE),"compte hors plan"))</f>
      </c>
      <c r="F419" s="9"/>
      <c r="G419" s="10"/>
      <c r="H419" s="11"/>
      <c r="I419" s="11"/>
      <c r="J419" s="10">
        <f>IF($D419="","",IF(AND($H419&lt;&gt;"",$I419&lt;&gt;""),"débit ET crédit",IF(AND($H419="",$I419=""),"montant manquant",IF(ISNA(MATCH($D419,'Plan comptable'!$H:$H,0)),"compte hors plan",IF(AND($A419&lt;&gt;"",YEAR($A419)&lt;&gt;Exercice),"hors exercice","")))))</f>
      </c>
    </row>
    <row r="420">
      <c r="A420" s="13"/>
      <c r="B420" s="10"/>
      <c r="C420" s="9"/>
      <c r="D420" s="20"/>
      <c r="E420" s="9">
        <f>IF($D420="","",IFERROR(VLOOKUP($D420,'Plan comptable'!$H:$I,2,FALSE),"compte hors plan"))</f>
      </c>
      <c r="F420" s="9"/>
      <c r="G420" s="10"/>
      <c r="H420" s="11"/>
      <c r="I420" s="11"/>
      <c r="J420" s="10">
        <f>IF($D420="","",IF(AND($H420&lt;&gt;"",$I420&lt;&gt;""),"débit ET crédit",IF(AND($H420="",$I420=""),"montant manquant",IF(ISNA(MATCH($D420,'Plan comptable'!$H:$H,0)),"compte hors plan",IF(AND($A420&lt;&gt;"",YEAR($A420)&lt;&gt;Exercice),"hors exercice","")))))</f>
      </c>
    </row>
    <row r="421">
      <c r="A421" s="13"/>
      <c r="B421" s="10"/>
      <c r="C421" s="9"/>
      <c r="D421" s="20"/>
      <c r="E421" s="9">
        <f>IF($D421="","",IFERROR(VLOOKUP($D421,'Plan comptable'!$H:$I,2,FALSE),"compte hors plan"))</f>
      </c>
      <c r="F421" s="9"/>
      <c r="G421" s="10"/>
      <c r="H421" s="11"/>
      <c r="I421" s="11"/>
      <c r="J421" s="10">
        <f>IF($D421="","",IF(AND($H421&lt;&gt;"",$I421&lt;&gt;""),"débit ET crédit",IF(AND($H421="",$I421=""),"montant manquant",IF(ISNA(MATCH($D421,'Plan comptable'!$H:$H,0)),"compte hors plan",IF(AND($A421&lt;&gt;"",YEAR($A421)&lt;&gt;Exercice),"hors exercice","")))))</f>
      </c>
    </row>
    <row r="422">
      <c r="A422" s="13"/>
      <c r="B422" s="10"/>
      <c r="C422" s="9"/>
      <c r="D422" s="20"/>
      <c r="E422" s="9">
        <f>IF($D422="","",IFERROR(VLOOKUP($D422,'Plan comptable'!$H:$I,2,FALSE),"compte hors plan"))</f>
      </c>
      <c r="F422" s="9"/>
      <c r="G422" s="10"/>
      <c r="H422" s="11"/>
      <c r="I422" s="11"/>
      <c r="J422" s="10">
        <f>IF($D422="","",IF(AND($H422&lt;&gt;"",$I422&lt;&gt;""),"débit ET crédit",IF(AND($H422="",$I422=""),"montant manquant",IF(ISNA(MATCH($D422,'Plan comptable'!$H:$H,0)),"compte hors plan",IF(AND($A422&lt;&gt;"",YEAR($A422)&lt;&gt;Exercice),"hors exercice","")))))</f>
      </c>
    </row>
    <row r="423">
      <c r="A423" s="13"/>
      <c r="B423" s="10"/>
      <c r="C423" s="9"/>
      <c r="D423" s="20"/>
      <c r="E423" s="9">
        <f>IF($D423="","",IFERROR(VLOOKUP($D423,'Plan comptable'!$H:$I,2,FALSE),"compte hors plan"))</f>
      </c>
      <c r="F423" s="9"/>
      <c r="G423" s="10"/>
      <c r="H423" s="11"/>
      <c r="I423" s="11"/>
      <c r="J423" s="10">
        <f>IF($D423="","",IF(AND($H423&lt;&gt;"",$I423&lt;&gt;""),"débit ET crédit",IF(AND($H423="",$I423=""),"montant manquant",IF(ISNA(MATCH($D423,'Plan comptable'!$H:$H,0)),"compte hors plan",IF(AND($A423&lt;&gt;"",YEAR($A423)&lt;&gt;Exercice),"hors exercice","")))))</f>
      </c>
    </row>
    <row r="424">
      <c r="A424" s="13"/>
      <c r="B424" s="10"/>
      <c r="C424" s="9"/>
      <c r="D424" s="20"/>
      <c r="E424" s="9">
        <f>IF($D424="","",IFERROR(VLOOKUP($D424,'Plan comptable'!$H:$I,2,FALSE),"compte hors plan"))</f>
      </c>
      <c r="F424" s="9"/>
      <c r="G424" s="10"/>
      <c r="H424" s="11"/>
      <c r="I424" s="11"/>
      <c r="J424" s="10">
        <f>IF($D424="","",IF(AND($H424&lt;&gt;"",$I424&lt;&gt;""),"débit ET crédit",IF(AND($H424="",$I424=""),"montant manquant",IF(ISNA(MATCH($D424,'Plan comptable'!$H:$H,0)),"compte hors plan",IF(AND($A424&lt;&gt;"",YEAR($A424)&lt;&gt;Exercice),"hors exercice","")))))</f>
      </c>
    </row>
    <row r="425">
      <c r="A425" s="13"/>
      <c r="B425" s="10"/>
      <c r="C425" s="9"/>
      <c r="D425" s="20"/>
      <c r="E425" s="9">
        <f>IF($D425="","",IFERROR(VLOOKUP($D425,'Plan comptable'!$H:$I,2,FALSE),"compte hors plan"))</f>
      </c>
      <c r="F425" s="9"/>
      <c r="G425" s="10"/>
      <c r="H425" s="11"/>
      <c r="I425" s="11"/>
      <c r="J425" s="10">
        <f>IF($D425="","",IF(AND($H425&lt;&gt;"",$I425&lt;&gt;""),"débit ET crédit",IF(AND($H425="",$I425=""),"montant manquant",IF(ISNA(MATCH($D425,'Plan comptable'!$H:$H,0)),"compte hors plan",IF(AND($A425&lt;&gt;"",YEAR($A425)&lt;&gt;Exercice),"hors exercice","")))))</f>
      </c>
    </row>
    <row r="426">
      <c r="A426" s="13"/>
      <c r="B426" s="10"/>
      <c r="C426" s="9"/>
      <c r="D426" s="20"/>
      <c r="E426" s="9">
        <f>IF($D426="","",IFERROR(VLOOKUP($D426,'Plan comptable'!$H:$I,2,FALSE),"compte hors plan"))</f>
      </c>
      <c r="F426" s="9"/>
      <c r="G426" s="10"/>
      <c r="H426" s="11"/>
      <c r="I426" s="11"/>
      <c r="J426" s="10">
        <f>IF($D426="","",IF(AND($H426&lt;&gt;"",$I426&lt;&gt;""),"débit ET crédit",IF(AND($H426="",$I426=""),"montant manquant",IF(ISNA(MATCH($D426,'Plan comptable'!$H:$H,0)),"compte hors plan",IF(AND($A426&lt;&gt;"",YEAR($A426)&lt;&gt;Exercice),"hors exercice","")))))</f>
      </c>
    </row>
    <row r="427">
      <c r="A427" s="13"/>
      <c r="B427" s="10"/>
      <c r="C427" s="9"/>
      <c r="D427" s="20"/>
      <c r="E427" s="9">
        <f>IF($D427="","",IFERROR(VLOOKUP($D427,'Plan comptable'!$H:$I,2,FALSE),"compte hors plan"))</f>
      </c>
      <c r="F427" s="9"/>
      <c r="G427" s="10"/>
      <c r="H427" s="11"/>
      <c r="I427" s="11"/>
      <c r="J427" s="10">
        <f>IF($D427="","",IF(AND($H427&lt;&gt;"",$I427&lt;&gt;""),"débit ET crédit",IF(AND($H427="",$I427=""),"montant manquant",IF(ISNA(MATCH($D427,'Plan comptable'!$H:$H,0)),"compte hors plan",IF(AND($A427&lt;&gt;"",YEAR($A427)&lt;&gt;Exercice),"hors exercice","")))))</f>
      </c>
    </row>
    <row r="428">
      <c r="A428" s="13"/>
      <c r="B428" s="10"/>
      <c r="C428" s="9"/>
      <c r="D428" s="20"/>
      <c r="E428" s="9">
        <f>IF($D428="","",IFERROR(VLOOKUP($D428,'Plan comptable'!$H:$I,2,FALSE),"compte hors plan"))</f>
      </c>
      <c r="F428" s="9"/>
      <c r="G428" s="10"/>
      <c r="H428" s="11"/>
      <c r="I428" s="11"/>
      <c r="J428" s="10">
        <f>IF($D428="","",IF(AND($H428&lt;&gt;"",$I428&lt;&gt;""),"débit ET crédit",IF(AND($H428="",$I428=""),"montant manquant",IF(ISNA(MATCH($D428,'Plan comptable'!$H:$H,0)),"compte hors plan",IF(AND($A428&lt;&gt;"",YEAR($A428)&lt;&gt;Exercice),"hors exercice","")))))</f>
      </c>
    </row>
    <row r="429">
      <c r="A429" s="13"/>
      <c r="B429" s="10"/>
      <c r="C429" s="9"/>
      <c r="D429" s="20"/>
      <c r="E429" s="9">
        <f>IF($D429="","",IFERROR(VLOOKUP($D429,'Plan comptable'!$H:$I,2,FALSE),"compte hors plan"))</f>
      </c>
      <c r="F429" s="9"/>
      <c r="G429" s="10"/>
      <c r="H429" s="11"/>
      <c r="I429" s="11"/>
      <c r="J429" s="10">
        <f>IF($D429="","",IF(AND($H429&lt;&gt;"",$I429&lt;&gt;""),"débit ET crédit",IF(AND($H429="",$I429=""),"montant manquant",IF(ISNA(MATCH($D429,'Plan comptable'!$H:$H,0)),"compte hors plan",IF(AND($A429&lt;&gt;"",YEAR($A429)&lt;&gt;Exercice),"hors exercice","")))))</f>
      </c>
    </row>
    <row r="430">
      <c r="A430" s="13"/>
      <c r="B430" s="10"/>
      <c r="C430" s="9"/>
      <c r="D430" s="20"/>
      <c r="E430" s="9">
        <f>IF($D430="","",IFERROR(VLOOKUP($D430,'Plan comptable'!$H:$I,2,FALSE),"compte hors plan"))</f>
      </c>
      <c r="F430" s="9"/>
      <c r="G430" s="10"/>
      <c r="H430" s="11"/>
      <c r="I430" s="11"/>
      <c r="J430" s="10">
        <f>IF($D430="","",IF(AND($H430&lt;&gt;"",$I430&lt;&gt;""),"débit ET crédit",IF(AND($H430="",$I430=""),"montant manquant",IF(ISNA(MATCH($D430,'Plan comptable'!$H:$H,0)),"compte hors plan",IF(AND($A430&lt;&gt;"",YEAR($A430)&lt;&gt;Exercice),"hors exercice","")))))</f>
      </c>
    </row>
    <row r="431">
      <c r="A431" s="13"/>
      <c r="B431" s="10"/>
      <c r="C431" s="9"/>
      <c r="D431" s="20"/>
      <c r="E431" s="9">
        <f>IF($D431="","",IFERROR(VLOOKUP($D431,'Plan comptable'!$H:$I,2,FALSE),"compte hors plan"))</f>
      </c>
      <c r="F431" s="9"/>
      <c r="G431" s="10"/>
      <c r="H431" s="11"/>
      <c r="I431" s="11"/>
      <c r="J431" s="10">
        <f>IF($D431="","",IF(AND($H431&lt;&gt;"",$I431&lt;&gt;""),"débit ET crédit",IF(AND($H431="",$I431=""),"montant manquant",IF(ISNA(MATCH($D431,'Plan comptable'!$H:$H,0)),"compte hors plan",IF(AND($A431&lt;&gt;"",YEAR($A431)&lt;&gt;Exercice),"hors exercice","")))))</f>
      </c>
    </row>
    <row r="432">
      <c r="A432" s="13"/>
      <c r="B432" s="10"/>
      <c r="C432" s="9"/>
      <c r="D432" s="20"/>
      <c r="E432" s="9">
        <f>IF($D432="","",IFERROR(VLOOKUP($D432,'Plan comptable'!$H:$I,2,FALSE),"compte hors plan"))</f>
      </c>
      <c r="F432" s="9"/>
      <c r="G432" s="10"/>
      <c r="H432" s="11"/>
      <c r="I432" s="11"/>
      <c r="J432" s="10">
        <f>IF($D432="","",IF(AND($H432&lt;&gt;"",$I432&lt;&gt;""),"débit ET crédit",IF(AND($H432="",$I432=""),"montant manquant",IF(ISNA(MATCH($D432,'Plan comptable'!$H:$H,0)),"compte hors plan",IF(AND($A432&lt;&gt;"",YEAR($A432)&lt;&gt;Exercice),"hors exercice","")))))</f>
      </c>
    </row>
    <row r="433">
      <c r="A433" s="13"/>
      <c r="B433" s="10"/>
      <c r="C433" s="9"/>
      <c r="D433" s="20"/>
      <c r="E433" s="9">
        <f>IF($D433="","",IFERROR(VLOOKUP($D433,'Plan comptable'!$H:$I,2,FALSE),"compte hors plan"))</f>
      </c>
      <c r="F433" s="9"/>
      <c r="G433" s="10"/>
      <c r="H433" s="11"/>
      <c r="I433" s="11"/>
      <c r="J433" s="10">
        <f>IF($D433="","",IF(AND($H433&lt;&gt;"",$I433&lt;&gt;""),"débit ET crédit",IF(AND($H433="",$I433=""),"montant manquant",IF(ISNA(MATCH($D433,'Plan comptable'!$H:$H,0)),"compte hors plan",IF(AND($A433&lt;&gt;"",YEAR($A433)&lt;&gt;Exercice),"hors exercice","")))))</f>
      </c>
    </row>
    <row r="434">
      <c r="A434" s="13"/>
      <c r="B434" s="10"/>
      <c r="C434" s="9"/>
      <c r="D434" s="20"/>
      <c r="E434" s="9">
        <f>IF($D434="","",IFERROR(VLOOKUP($D434,'Plan comptable'!$H:$I,2,FALSE),"compte hors plan"))</f>
      </c>
      <c r="F434" s="9"/>
      <c r="G434" s="10"/>
      <c r="H434" s="11"/>
      <c r="I434" s="11"/>
      <c r="J434" s="10">
        <f>IF($D434="","",IF(AND($H434&lt;&gt;"",$I434&lt;&gt;""),"débit ET crédit",IF(AND($H434="",$I434=""),"montant manquant",IF(ISNA(MATCH($D434,'Plan comptable'!$H:$H,0)),"compte hors plan",IF(AND($A434&lt;&gt;"",YEAR($A434)&lt;&gt;Exercice),"hors exercice","")))))</f>
      </c>
    </row>
    <row r="435">
      <c r="A435" s="13"/>
      <c r="B435" s="10"/>
      <c r="C435" s="9"/>
      <c r="D435" s="20"/>
      <c r="E435" s="9">
        <f>IF($D435="","",IFERROR(VLOOKUP($D435,'Plan comptable'!$H:$I,2,FALSE),"compte hors plan"))</f>
      </c>
      <c r="F435" s="9"/>
      <c r="G435" s="10"/>
      <c r="H435" s="11"/>
      <c r="I435" s="11"/>
      <c r="J435" s="10">
        <f>IF($D435="","",IF(AND($H435&lt;&gt;"",$I435&lt;&gt;""),"débit ET crédit",IF(AND($H435="",$I435=""),"montant manquant",IF(ISNA(MATCH($D435,'Plan comptable'!$H:$H,0)),"compte hors plan",IF(AND($A435&lt;&gt;"",YEAR($A435)&lt;&gt;Exercice),"hors exercice","")))))</f>
      </c>
    </row>
    <row r="436">
      <c r="A436" s="13"/>
      <c r="B436" s="10"/>
      <c r="C436" s="9"/>
      <c r="D436" s="20"/>
      <c r="E436" s="9">
        <f>IF($D436="","",IFERROR(VLOOKUP($D436,'Plan comptable'!$H:$I,2,FALSE),"compte hors plan"))</f>
      </c>
      <c r="F436" s="9"/>
      <c r="G436" s="10"/>
      <c r="H436" s="11"/>
      <c r="I436" s="11"/>
      <c r="J436" s="10">
        <f>IF($D436="","",IF(AND($H436&lt;&gt;"",$I436&lt;&gt;""),"débit ET crédit",IF(AND($H436="",$I436=""),"montant manquant",IF(ISNA(MATCH($D436,'Plan comptable'!$H:$H,0)),"compte hors plan",IF(AND($A436&lt;&gt;"",YEAR($A436)&lt;&gt;Exercice),"hors exercice","")))))</f>
      </c>
    </row>
    <row r="437">
      <c r="A437" s="13"/>
      <c r="B437" s="10"/>
      <c r="C437" s="9"/>
      <c r="D437" s="20"/>
      <c r="E437" s="9">
        <f>IF($D437="","",IFERROR(VLOOKUP($D437,'Plan comptable'!$H:$I,2,FALSE),"compte hors plan"))</f>
      </c>
      <c r="F437" s="9"/>
      <c r="G437" s="10"/>
      <c r="H437" s="11"/>
      <c r="I437" s="11"/>
      <c r="J437" s="10">
        <f>IF($D437="","",IF(AND($H437&lt;&gt;"",$I437&lt;&gt;""),"débit ET crédit",IF(AND($H437="",$I437=""),"montant manquant",IF(ISNA(MATCH($D437,'Plan comptable'!$H:$H,0)),"compte hors plan",IF(AND($A437&lt;&gt;"",YEAR($A437)&lt;&gt;Exercice),"hors exercice","")))))</f>
      </c>
    </row>
    <row r="438">
      <c r="A438" s="13"/>
      <c r="B438" s="10"/>
      <c r="C438" s="9"/>
      <c r="D438" s="20"/>
      <c r="E438" s="9">
        <f>IF($D438="","",IFERROR(VLOOKUP($D438,'Plan comptable'!$H:$I,2,FALSE),"compte hors plan"))</f>
      </c>
      <c r="F438" s="9"/>
      <c r="G438" s="10"/>
      <c r="H438" s="11"/>
      <c r="I438" s="11"/>
      <c r="J438" s="10">
        <f>IF($D438="","",IF(AND($H438&lt;&gt;"",$I438&lt;&gt;""),"débit ET crédit",IF(AND($H438="",$I438=""),"montant manquant",IF(ISNA(MATCH($D438,'Plan comptable'!$H:$H,0)),"compte hors plan",IF(AND($A438&lt;&gt;"",YEAR($A438)&lt;&gt;Exercice),"hors exercice","")))))</f>
      </c>
    </row>
    <row r="439">
      <c r="A439" s="13"/>
      <c r="B439" s="10"/>
      <c r="C439" s="9"/>
      <c r="D439" s="20"/>
      <c r="E439" s="9">
        <f>IF($D439="","",IFERROR(VLOOKUP($D439,'Plan comptable'!$H:$I,2,FALSE),"compte hors plan"))</f>
      </c>
      <c r="F439" s="9"/>
      <c r="G439" s="10"/>
      <c r="H439" s="11"/>
      <c r="I439" s="11"/>
      <c r="J439" s="10">
        <f>IF($D439="","",IF(AND($H439&lt;&gt;"",$I439&lt;&gt;""),"débit ET crédit",IF(AND($H439="",$I439=""),"montant manquant",IF(ISNA(MATCH($D439,'Plan comptable'!$H:$H,0)),"compte hors plan",IF(AND($A439&lt;&gt;"",YEAR($A439)&lt;&gt;Exercice),"hors exercice","")))))</f>
      </c>
    </row>
    <row r="440">
      <c r="A440" s="13"/>
      <c r="B440" s="10"/>
      <c r="C440" s="9"/>
      <c r="D440" s="20"/>
      <c r="E440" s="9">
        <f>IF($D440="","",IFERROR(VLOOKUP($D440,'Plan comptable'!$H:$I,2,FALSE),"compte hors plan"))</f>
      </c>
      <c r="F440" s="9"/>
      <c r="G440" s="10"/>
      <c r="H440" s="11"/>
      <c r="I440" s="11"/>
      <c r="J440" s="10">
        <f>IF($D440="","",IF(AND($H440&lt;&gt;"",$I440&lt;&gt;""),"débit ET crédit",IF(AND($H440="",$I440=""),"montant manquant",IF(ISNA(MATCH($D440,'Plan comptable'!$H:$H,0)),"compte hors plan",IF(AND($A440&lt;&gt;"",YEAR($A440)&lt;&gt;Exercice),"hors exercice","")))))</f>
      </c>
    </row>
    <row r="441">
      <c r="A441" s="13"/>
      <c r="B441" s="10"/>
      <c r="C441" s="9"/>
      <c r="D441" s="20"/>
      <c r="E441" s="9">
        <f>IF($D441="","",IFERROR(VLOOKUP($D441,'Plan comptable'!$H:$I,2,FALSE),"compte hors plan"))</f>
      </c>
      <c r="F441" s="9"/>
      <c r="G441" s="10"/>
      <c r="H441" s="11"/>
      <c r="I441" s="11"/>
      <c r="J441" s="10">
        <f>IF($D441="","",IF(AND($H441&lt;&gt;"",$I441&lt;&gt;""),"débit ET crédit",IF(AND($H441="",$I441=""),"montant manquant",IF(ISNA(MATCH($D441,'Plan comptable'!$H:$H,0)),"compte hors plan",IF(AND($A441&lt;&gt;"",YEAR($A441)&lt;&gt;Exercice),"hors exercice","")))))</f>
      </c>
    </row>
    <row r="442">
      <c r="A442" s="13"/>
      <c r="B442" s="10"/>
      <c r="C442" s="9"/>
      <c r="D442" s="20"/>
      <c r="E442" s="9">
        <f>IF($D442="","",IFERROR(VLOOKUP($D442,'Plan comptable'!$H:$I,2,FALSE),"compte hors plan"))</f>
      </c>
      <c r="F442" s="9"/>
      <c r="G442" s="10"/>
      <c r="H442" s="11"/>
      <c r="I442" s="11"/>
      <c r="J442" s="10">
        <f>IF($D442="","",IF(AND($H442&lt;&gt;"",$I442&lt;&gt;""),"débit ET crédit",IF(AND($H442="",$I442=""),"montant manquant",IF(ISNA(MATCH($D442,'Plan comptable'!$H:$H,0)),"compte hors plan",IF(AND($A442&lt;&gt;"",YEAR($A442)&lt;&gt;Exercice),"hors exercice","")))))</f>
      </c>
    </row>
    <row r="443">
      <c r="A443" s="13"/>
      <c r="B443" s="10"/>
      <c r="C443" s="9"/>
      <c r="D443" s="20"/>
      <c r="E443" s="9">
        <f>IF($D443="","",IFERROR(VLOOKUP($D443,'Plan comptable'!$H:$I,2,FALSE),"compte hors plan"))</f>
      </c>
      <c r="F443" s="9"/>
      <c r="G443" s="10"/>
      <c r="H443" s="11"/>
      <c r="I443" s="11"/>
      <c r="J443" s="10">
        <f>IF($D443="","",IF(AND($H443&lt;&gt;"",$I443&lt;&gt;""),"débit ET crédit",IF(AND($H443="",$I443=""),"montant manquant",IF(ISNA(MATCH($D443,'Plan comptable'!$H:$H,0)),"compte hors plan",IF(AND($A443&lt;&gt;"",YEAR($A443)&lt;&gt;Exercice),"hors exercice","")))))</f>
      </c>
    </row>
    <row r="444">
      <c r="A444" s="13"/>
      <c r="B444" s="10"/>
      <c r="C444" s="9"/>
      <c r="D444" s="20"/>
      <c r="E444" s="9">
        <f>IF($D444="","",IFERROR(VLOOKUP($D444,'Plan comptable'!$H:$I,2,FALSE),"compte hors plan"))</f>
      </c>
      <c r="F444" s="9"/>
      <c r="G444" s="10"/>
      <c r="H444" s="11"/>
      <c r="I444" s="11"/>
      <c r="J444" s="10">
        <f>IF($D444="","",IF(AND($H444&lt;&gt;"",$I444&lt;&gt;""),"débit ET crédit",IF(AND($H444="",$I444=""),"montant manquant",IF(ISNA(MATCH($D444,'Plan comptable'!$H:$H,0)),"compte hors plan",IF(AND($A444&lt;&gt;"",YEAR($A444)&lt;&gt;Exercice),"hors exercice","")))))</f>
      </c>
    </row>
    <row r="445">
      <c r="A445" s="13"/>
      <c r="B445" s="10"/>
      <c r="C445" s="9"/>
      <c r="D445" s="20"/>
      <c r="E445" s="9">
        <f>IF($D445="","",IFERROR(VLOOKUP($D445,'Plan comptable'!$H:$I,2,FALSE),"compte hors plan"))</f>
      </c>
      <c r="F445" s="9"/>
      <c r="G445" s="10"/>
      <c r="H445" s="11"/>
      <c r="I445" s="11"/>
      <c r="J445" s="10">
        <f>IF($D445="","",IF(AND($H445&lt;&gt;"",$I445&lt;&gt;""),"débit ET crédit",IF(AND($H445="",$I445=""),"montant manquant",IF(ISNA(MATCH($D445,'Plan comptable'!$H:$H,0)),"compte hors plan",IF(AND($A445&lt;&gt;"",YEAR($A445)&lt;&gt;Exercice),"hors exercice","")))))</f>
      </c>
    </row>
    <row r="446">
      <c r="A446" s="13"/>
      <c r="B446" s="10"/>
      <c r="C446" s="9"/>
      <c r="D446" s="20"/>
      <c r="E446" s="9">
        <f>IF($D446="","",IFERROR(VLOOKUP($D446,'Plan comptable'!$H:$I,2,FALSE),"compte hors plan"))</f>
      </c>
      <c r="F446" s="9"/>
      <c r="G446" s="10"/>
      <c r="H446" s="11"/>
      <c r="I446" s="11"/>
      <c r="J446" s="10">
        <f>IF($D446="","",IF(AND($H446&lt;&gt;"",$I446&lt;&gt;""),"débit ET crédit",IF(AND($H446="",$I446=""),"montant manquant",IF(ISNA(MATCH($D446,'Plan comptable'!$H:$H,0)),"compte hors plan",IF(AND($A446&lt;&gt;"",YEAR($A446)&lt;&gt;Exercice),"hors exercice","")))))</f>
      </c>
    </row>
    <row r="447">
      <c r="A447" s="13"/>
      <c r="B447" s="10"/>
      <c r="C447" s="9"/>
      <c r="D447" s="20"/>
      <c r="E447" s="9">
        <f>IF($D447="","",IFERROR(VLOOKUP($D447,'Plan comptable'!$H:$I,2,FALSE),"compte hors plan"))</f>
      </c>
      <c r="F447" s="9"/>
      <c r="G447" s="10"/>
      <c r="H447" s="11"/>
      <c r="I447" s="11"/>
      <c r="J447" s="10">
        <f>IF($D447="","",IF(AND($H447&lt;&gt;"",$I447&lt;&gt;""),"débit ET crédit",IF(AND($H447="",$I447=""),"montant manquant",IF(ISNA(MATCH($D447,'Plan comptable'!$H:$H,0)),"compte hors plan",IF(AND($A447&lt;&gt;"",YEAR($A447)&lt;&gt;Exercice),"hors exercice","")))))</f>
      </c>
    </row>
    <row r="448">
      <c r="A448" s="13"/>
      <c r="B448" s="10"/>
      <c r="C448" s="9"/>
      <c r="D448" s="20"/>
      <c r="E448" s="9">
        <f>IF($D448="","",IFERROR(VLOOKUP($D448,'Plan comptable'!$H:$I,2,FALSE),"compte hors plan"))</f>
      </c>
      <c r="F448" s="9"/>
      <c r="G448" s="10"/>
      <c r="H448" s="11"/>
      <c r="I448" s="11"/>
      <c r="J448" s="10">
        <f>IF($D448="","",IF(AND($H448&lt;&gt;"",$I448&lt;&gt;""),"débit ET crédit",IF(AND($H448="",$I448=""),"montant manquant",IF(ISNA(MATCH($D448,'Plan comptable'!$H:$H,0)),"compte hors plan",IF(AND($A448&lt;&gt;"",YEAR($A448)&lt;&gt;Exercice),"hors exercice","")))))</f>
      </c>
    </row>
    <row r="449">
      <c r="A449" s="13"/>
      <c r="B449" s="10"/>
      <c r="C449" s="9"/>
      <c r="D449" s="20"/>
      <c r="E449" s="9">
        <f>IF($D449="","",IFERROR(VLOOKUP($D449,'Plan comptable'!$H:$I,2,FALSE),"compte hors plan"))</f>
      </c>
      <c r="F449" s="9"/>
      <c r="G449" s="10"/>
      <c r="H449" s="11"/>
      <c r="I449" s="11"/>
      <c r="J449" s="10">
        <f>IF($D449="","",IF(AND($H449&lt;&gt;"",$I449&lt;&gt;""),"débit ET crédit",IF(AND($H449="",$I449=""),"montant manquant",IF(ISNA(MATCH($D449,'Plan comptable'!$H:$H,0)),"compte hors plan",IF(AND($A449&lt;&gt;"",YEAR($A449)&lt;&gt;Exercice),"hors exercice","")))))</f>
      </c>
    </row>
    <row r="450">
      <c r="A450" s="13"/>
      <c r="B450" s="10"/>
      <c r="C450" s="9"/>
      <c r="D450" s="20"/>
      <c r="E450" s="9">
        <f>IF($D450="","",IFERROR(VLOOKUP($D450,'Plan comptable'!$H:$I,2,FALSE),"compte hors plan"))</f>
      </c>
      <c r="F450" s="9"/>
      <c r="G450" s="10"/>
      <c r="H450" s="11"/>
      <c r="I450" s="11"/>
      <c r="J450" s="10">
        <f>IF($D450="","",IF(AND($H450&lt;&gt;"",$I450&lt;&gt;""),"débit ET crédit",IF(AND($H450="",$I450=""),"montant manquant",IF(ISNA(MATCH($D450,'Plan comptable'!$H:$H,0)),"compte hors plan",IF(AND($A450&lt;&gt;"",YEAR($A450)&lt;&gt;Exercice),"hors exercice","")))))</f>
      </c>
    </row>
    <row r="451">
      <c r="A451" s="13"/>
      <c r="B451" s="10"/>
      <c r="C451" s="9"/>
      <c r="D451" s="20"/>
      <c r="E451" s="9">
        <f>IF($D451="","",IFERROR(VLOOKUP($D451,'Plan comptable'!$H:$I,2,FALSE),"compte hors plan"))</f>
      </c>
      <c r="F451" s="9"/>
      <c r="G451" s="10"/>
      <c r="H451" s="11"/>
      <c r="I451" s="11"/>
      <c r="J451" s="10">
        <f>IF($D451="","",IF(AND($H451&lt;&gt;"",$I451&lt;&gt;""),"débit ET crédit",IF(AND($H451="",$I451=""),"montant manquant",IF(ISNA(MATCH($D451,'Plan comptable'!$H:$H,0)),"compte hors plan",IF(AND($A451&lt;&gt;"",YEAR($A451)&lt;&gt;Exercice),"hors exercice","")))))</f>
      </c>
    </row>
    <row r="452">
      <c r="A452" s="13"/>
      <c r="B452" s="10"/>
      <c r="C452" s="9"/>
      <c r="D452" s="20"/>
      <c r="E452" s="9">
        <f>IF($D452="","",IFERROR(VLOOKUP($D452,'Plan comptable'!$H:$I,2,FALSE),"compte hors plan"))</f>
      </c>
      <c r="F452" s="9"/>
      <c r="G452" s="10"/>
      <c r="H452" s="11"/>
      <c r="I452" s="11"/>
      <c r="J452" s="10">
        <f>IF($D452="","",IF(AND($H452&lt;&gt;"",$I452&lt;&gt;""),"débit ET crédit",IF(AND($H452="",$I452=""),"montant manquant",IF(ISNA(MATCH($D452,'Plan comptable'!$H:$H,0)),"compte hors plan",IF(AND($A452&lt;&gt;"",YEAR($A452)&lt;&gt;Exercice),"hors exercice","")))))</f>
      </c>
    </row>
    <row r="453">
      <c r="A453" s="13"/>
      <c r="B453" s="10"/>
      <c r="C453" s="9"/>
      <c r="D453" s="20"/>
      <c r="E453" s="9">
        <f>IF($D453="","",IFERROR(VLOOKUP($D453,'Plan comptable'!$H:$I,2,FALSE),"compte hors plan"))</f>
      </c>
      <c r="F453" s="9"/>
      <c r="G453" s="10"/>
      <c r="H453" s="11"/>
      <c r="I453" s="11"/>
      <c r="J453" s="10">
        <f>IF($D453="","",IF(AND($H453&lt;&gt;"",$I453&lt;&gt;""),"débit ET crédit",IF(AND($H453="",$I453=""),"montant manquant",IF(ISNA(MATCH($D453,'Plan comptable'!$H:$H,0)),"compte hors plan",IF(AND($A453&lt;&gt;"",YEAR($A453)&lt;&gt;Exercice),"hors exercice","")))))</f>
      </c>
    </row>
    <row r="454">
      <c r="A454" s="13"/>
      <c r="B454" s="10"/>
      <c r="C454" s="9"/>
      <c r="D454" s="20"/>
      <c r="E454" s="9">
        <f>IF($D454="","",IFERROR(VLOOKUP($D454,'Plan comptable'!$H:$I,2,FALSE),"compte hors plan"))</f>
      </c>
      <c r="F454" s="9"/>
      <c r="G454" s="10"/>
      <c r="H454" s="11"/>
      <c r="I454" s="11"/>
      <c r="J454" s="10">
        <f>IF($D454="","",IF(AND($H454&lt;&gt;"",$I454&lt;&gt;""),"débit ET crédit",IF(AND($H454="",$I454=""),"montant manquant",IF(ISNA(MATCH($D454,'Plan comptable'!$H:$H,0)),"compte hors plan",IF(AND($A454&lt;&gt;"",YEAR($A454)&lt;&gt;Exercice),"hors exercice","")))))</f>
      </c>
    </row>
    <row r="455">
      <c r="A455" s="13"/>
      <c r="B455" s="10"/>
      <c r="C455" s="9"/>
      <c r="D455" s="20"/>
      <c r="E455" s="9">
        <f>IF($D455="","",IFERROR(VLOOKUP($D455,'Plan comptable'!$H:$I,2,FALSE),"compte hors plan"))</f>
      </c>
      <c r="F455" s="9"/>
      <c r="G455" s="10"/>
      <c r="H455" s="11"/>
      <c r="I455" s="11"/>
      <c r="J455" s="10">
        <f>IF($D455="","",IF(AND($H455&lt;&gt;"",$I455&lt;&gt;""),"débit ET crédit",IF(AND($H455="",$I455=""),"montant manquant",IF(ISNA(MATCH($D455,'Plan comptable'!$H:$H,0)),"compte hors plan",IF(AND($A455&lt;&gt;"",YEAR($A455)&lt;&gt;Exercice),"hors exercice","")))))</f>
      </c>
    </row>
    <row r="456">
      <c r="A456" s="13"/>
      <c r="B456" s="10"/>
      <c r="C456" s="9"/>
      <c r="D456" s="20"/>
      <c r="E456" s="9">
        <f>IF($D456="","",IFERROR(VLOOKUP($D456,'Plan comptable'!$H:$I,2,FALSE),"compte hors plan"))</f>
      </c>
      <c r="F456" s="9"/>
      <c r="G456" s="10"/>
      <c r="H456" s="11"/>
      <c r="I456" s="11"/>
      <c r="J456" s="10">
        <f>IF($D456="","",IF(AND($H456&lt;&gt;"",$I456&lt;&gt;""),"débit ET crédit",IF(AND($H456="",$I456=""),"montant manquant",IF(ISNA(MATCH($D456,'Plan comptable'!$H:$H,0)),"compte hors plan",IF(AND($A456&lt;&gt;"",YEAR($A456)&lt;&gt;Exercice),"hors exercice","")))))</f>
      </c>
    </row>
    <row r="457">
      <c r="A457" s="13"/>
      <c r="B457" s="10"/>
      <c r="C457" s="9"/>
      <c r="D457" s="20"/>
      <c r="E457" s="9">
        <f>IF($D457="","",IFERROR(VLOOKUP($D457,'Plan comptable'!$H:$I,2,FALSE),"compte hors plan"))</f>
      </c>
      <c r="F457" s="9"/>
      <c r="G457" s="10"/>
      <c r="H457" s="11"/>
      <c r="I457" s="11"/>
      <c r="J457" s="10">
        <f>IF($D457="","",IF(AND($H457&lt;&gt;"",$I457&lt;&gt;""),"débit ET crédit",IF(AND($H457="",$I457=""),"montant manquant",IF(ISNA(MATCH($D457,'Plan comptable'!$H:$H,0)),"compte hors plan",IF(AND($A457&lt;&gt;"",YEAR($A457)&lt;&gt;Exercice),"hors exercice","")))))</f>
      </c>
    </row>
    <row r="458">
      <c r="A458" s="13"/>
      <c r="B458" s="10"/>
      <c r="C458" s="9"/>
      <c r="D458" s="20"/>
      <c r="E458" s="9">
        <f>IF($D458="","",IFERROR(VLOOKUP($D458,'Plan comptable'!$H:$I,2,FALSE),"compte hors plan"))</f>
      </c>
      <c r="F458" s="9"/>
      <c r="G458" s="10"/>
      <c r="H458" s="11"/>
      <c r="I458" s="11"/>
      <c r="J458" s="10">
        <f>IF($D458="","",IF(AND($H458&lt;&gt;"",$I458&lt;&gt;""),"débit ET crédit",IF(AND($H458="",$I458=""),"montant manquant",IF(ISNA(MATCH($D458,'Plan comptable'!$H:$H,0)),"compte hors plan",IF(AND($A458&lt;&gt;"",YEAR($A458)&lt;&gt;Exercice),"hors exercice","")))))</f>
      </c>
    </row>
    <row r="459">
      <c r="A459" s="13"/>
      <c r="B459" s="10"/>
      <c r="C459" s="9"/>
      <c r="D459" s="20"/>
      <c r="E459" s="9">
        <f>IF($D459="","",IFERROR(VLOOKUP($D459,'Plan comptable'!$H:$I,2,FALSE),"compte hors plan"))</f>
      </c>
      <c r="F459" s="9"/>
      <c r="G459" s="10"/>
      <c r="H459" s="11"/>
      <c r="I459" s="11"/>
      <c r="J459" s="10">
        <f>IF($D459="","",IF(AND($H459&lt;&gt;"",$I459&lt;&gt;""),"débit ET crédit",IF(AND($H459="",$I459=""),"montant manquant",IF(ISNA(MATCH($D459,'Plan comptable'!$H:$H,0)),"compte hors plan",IF(AND($A459&lt;&gt;"",YEAR($A459)&lt;&gt;Exercice),"hors exercice","")))))</f>
      </c>
    </row>
    <row r="460">
      <c r="A460" s="13"/>
      <c r="B460" s="10"/>
      <c r="C460" s="9"/>
      <c r="D460" s="20"/>
      <c r="E460" s="9">
        <f>IF($D460="","",IFERROR(VLOOKUP($D460,'Plan comptable'!$H:$I,2,FALSE),"compte hors plan"))</f>
      </c>
      <c r="F460" s="9"/>
      <c r="G460" s="10"/>
      <c r="H460" s="11"/>
      <c r="I460" s="11"/>
      <c r="J460" s="10">
        <f>IF($D460="","",IF(AND($H460&lt;&gt;"",$I460&lt;&gt;""),"débit ET crédit",IF(AND($H460="",$I460=""),"montant manquant",IF(ISNA(MATCH($D460,'Plan comptable'!$H:$H,0)),"compte hors plan",IF(AND($A460&lt;&gt;"",YEAR($A460)&lt;&gt;Exercice),"hors exercice","")))))</f>
      </c>
    </row>
    <row r="461">
      <c r="A461" s="13"/>
      <c r="B461" s="10"/>
      <c r="C461" s="9"/>
      <c r="D461" s="20"/>
      <c r="E461" s="9">
        <f>IF($D461="","",IFERROR(VLOOKUP($D461,'Plan comptable'!$H:$I,2,FALSE),"compte hors plan"))</f>
      </c>
      <c r="F461" s="9"/>
      <c r="G461" s="10"/>
      <c r="H461" s="11"/>
      <c r="I461" s="11"/>
      <c r="J461" s="10">
        <f>IF($D461="","",IF(AND($H461&lt;&gt;"",$I461&lt;&gt;""),"débit ET crédit",IF(AND($H461="",$I461=""),"montant manquant",IF(ISNA(MATCH($D461,'Plan comptable'!$H:$H,0)),"compte hors plan",IF(AND($A461&lt;&gt;"",YEAR($A461)&lt;&gt;Exercice),"hors exercice","")))))</f>
      </c>
    </row>
    <row r="462">
      <c r="A462" s="13"/>
      <c r="B462" s="10"/>
      <c r="C462" s="9"/>
      <c r="D462" s="20"/>
      <c r="E462" s="9">
        <f>IF($D462="","",IFERROR(VLOOKUP($D462,'Plan comptable'!$H:$I,2,FALSE),"compte hors plan"))</f>
      </c>
      <c r="F462" s="9"/>
      <c r="G462" s="10"/>
      <c r="H462" s="11"/>
      <c r="I462" s="11"/>
      <c r="J462" s="10">
        <f>IF($D462="","",IF(AND($H462&lt;&gt;"",$I462&lt;&gt;""),"débit ET crédit",IF(AND($H462="",$I462=""),"montant manquant",IF(ISNA(MATCH($D462,'Plan comptable'!$H:$H,0)),"compte hors plan",IF(AND($A462&lt;&gt;"",YEAR($A462)&lt;&gt;Exercice),"hors exercice","")))))</f>
      </c>
    </row>
    <row r="463">
      <c r="A463" s="13"/>
      <c r="B463" s="10"/>
      <c r="C463" s="9"/>
      <c r="D463" s="20"/>
      <c r="E463" s="9">
        <f>IF($D463="","",IFERROR(VLOOKUP($D463,'Plan comptable'!$H:$I,2,FALSE),"compte hors plan"))</f>
      </c>
      <c r="F463" s="9"/>
      <c r="G463" s="10"/>
      <c r="H463" s="11"/>
      <c r="I463" s="11"/>
      <c r="J463" s="10">
        <f>IF($D463="","",IF(AND($H463&lt;&gt;"",$I463&lt;&gt;""),"débit ET crédit",IF(AND($H463="",$I463=""),"montant manquant",IF(ISNA(MATCH($D463,'Plan comptable'!$H:$H,0)),"compte hors plan",IF(AND($A463&lt;&gt;"",YEAR($A463)&lt;&gt;Exercice),"hors exercice","")))))</f>
      </c>
    </row>
    <row r="464">
      <c r="A464" s="13"/>
      <c r="B464" s="10"/>
      <c r="C464" s="9"/>
      <c r="D464" s="20"/>
      <c r="E464" s="9">
        <f>IF($D464="","",IFERROR(VLOOKUP($D464,'Plan comptable'!$H:$I,2,FALSE),"compte hors plan"))</f>
      </c>
      <c r="F464" s="9"/>
      <c r="G464" s="10"/>
      <c r="H464" s="11"/>
      <c r="I464" s="11"/>
      <c r="J464" s="10">
        <f>IF($D464="","",IF(AND($H464&lt;&gt;"",$I464&lt;&gt;""),"débit ET crédit",IF(AND($H464="",$I464=""),"montant manquant",IF(ISNA(MATCH($D464,'Plan comptable'!$H:$H,0)),"compte hors plan",IF(AND($A464&lt;&gt;"",YEAR($A464)&lt;&gt;Exercice),"hors exercice","")))))</f>
      </c>
    </row>
    <row r="465">
      <c r="A465" s="13"/>
      <c r="B465" s="10"/>
      <c r="C465" s="9"/>
      <c r="D465" s="20"/>
      <c r="E465" s="9">
        <f>IF($D465="","",IFERROR(VLOOKUP($D465,'Plan comptable'!$H:$I,2,FALSE),"compte hors plan"))</f>
      </c>
      <c r="F465" s="9"/>
      <c r="G465" s="10"/>
      <c r="H465" s="11"/>
      <c r="I465" s="11"/>
      <c r="J465" s="10">
        <f>IF($D465="","",IF(AND($H465&lt;&gt;"",$I465&lt;&gt;""),"débit ET crédit",IF(AND($H465="",$I465=""),"montant manquant",IF(ISNA(MATCH($D465,'Plan comptable'!$H:$H,0)),"compte hors plan",IF(AND($A465&lt;&gt;"",YEAR($A465)&lt;&gt;Exercice),"hors exercice","")))))</f>
      </c>
    </row>
    <row r="466">
      <c r="A466" s="13"/>
      <c r="B466" s="10"/>
      <c r="C466" s="9"/>
      <c r="D466" s="20"/>
      <c r="E466" s="9">
        <f>IF($D466="","",IFERROR(VLOOKUP($D466,'Plan comptable'!$H:$I,2,FALSE),"compte hors plan"))</f>
      </c>
      <c r="F466" s="9"/>
      <c r="G466" s="10"/>
      <c r="H466" s="11"/>
      <c r="I466" s="11"/>
      <c r="J466" s="10">
        <f>IF($D466="","",IF(AND($H466&lt;&gt;"",$I466&lt;&gt;""),"débit ET crédit",IF(AND($H466="",$I466=""),"montant manquant",IF(ISNA(MATCH($D466,'Plan comptable'!$H:$H,0)),"compte hors plan",IF(AND($A466&lt;&gt;"",YEAR($A466)&lt;&gt;Exercice),"hors exercice","")))))</f>
      </c>
    </row>
    <row r="467">
      <c r="A467" s="13"/>
      <c r="B467" s="10"/>
      <c r="C467" s="9"/>
      <c r="D467" s="20"/>
      <c r="E467" s="9">
        <f>IF($D467="","",IFERROR(VLOOKUP($D467,'Plan comptable'!$H:$I,2,FALSE),"compte hors plan"))</f>
      </c>
      <c r="F467" s="9"/>
      <c r="G467" s="10"/>
      <c r="H467" s="11"/>
      <c r="I467" s="11"/>
      <c r="J467" s="10">
        <f>IF($D467="","",IF(AND($H467&lt;&gt;"",$I467&lt;&gt;""),"débit ET crédit",IF(AND($H467="",$I467=""),"montant manquant",IF(ISNA(MATCH($D467,'Plan comptable'!$H:$H,0)),"compte hors plan",IF(AND($A467&lt;&gt;"",YEAR($A467)&lt;&gt;Exercice),"hors exercice","")))))</f>
      </c>
    </row>
    <row r="468">
      <c r="A468" s="13"/>
      <c r="B468" s="10"/>
      <c r="C468" s="9"/>
      <c r="D468" s="20"/>
      <c r="E468" s="9">
        <f>IF($D468="","",IFERROR(VLOOKUP($D468,'Plan comptable'!$H:$I,2,FALSE),"compte hors plan"))</f>
      </c>
      <c r="F468" s="9"/>
      <c r="G468" s="10"/>
      <c r="H468" s="11"/>
      <c r="I468" s="11"/>
      <c r="J468" s="10">
        <f>IF($D468="","",IF(AND($H468&lt;&gt;"",$I468&lt;&gt;""),"débit ET crédit",IF(AND($H468="",$I468=""),"montant manquant",IF(ISNA(MATCH($D468,'Plan comptable'!$H:$H,0)),"compte hors plan",IF(AND($A468&lt;&gt;"",YEAR($A468)&lt;&gt;Exercice),"hors exercice","")))))</f>
      </c>
    </row>
    <row r="469">
      <c r="A469" s="13"/>
      <c r="B469" s="10"/>
      <c r="C469" s="9"/>
      <c r="D469" s="20"/>
      <c r="E469" s="9">
        <f>IF($D469="","",IFERROR(VLOOKUP($D469,'Plan comptable'!$H:$I,2,FALSE),"compte hors plan"))</f>
      </c>
      <c r="F469" s="9"/>
      <c r="G469" s="10"/>
      <c r="H469" s="11"/>
      <c r="I469" s="11"/>
      <c r="J469" s="10">
        <f>IF($D469="","",IF(AND($H469&lt;&gt;"",$I469&lt;&gt;""),"débit ET crédit",IF(AND($H469="",$I469=""),"montant manquant",IF(ISNA(MATCH($D469,'Plan comptable'!$H:$H,0)),"compte hors plan",IF(AND($A469&lt;&gt;"",YEAR($A469)&lt;&gt;Exercice),"hors exercice","")))))</f>
      </c>
    </row>
    <row r="470">
      <c r="A470" s="13"/>
      <c r="B470" s="10"/>
      <c r="C470" s="9"/>
      <c r="D470" s="20"/>
      <c r="E470" s="9">
        <f>IF($D470="","",IFERROR(VLOOKUP($D470,'Plan comptable'!$H:$I,2,FALSE),"compte hors plan"))</f>
      </c>
      <c r="F470" s="9"/>
      <c r="G470" s="10"/>
      <c r="H470" s="11"/>
      <c r="I470" s="11"/>
      <c r="J470" s="10">
        <f>IF($D470="","",IF(AND($H470&lt;&gt;"",$I470&lt;&gt;""),"débit ET crédit",IF(AND($H470="",$I470=""),"montant manquant",IF(ISNA(MATCH($D470,'Plan comptable'!$H:$H,0)),"compte hors plan",IF(AND($A470&lt;&gt;"",YEAR($A470)&lt;&gt;Exercice),"hors exercice","")))))</f>
      </c>
    </row>
    <row r="471">
      <c r="A471" s="13"/>
      <c r="B471" s="10"/>
      <c r="C471" s="9"/>
      <c r="D471" s="20"/>
      <c r="E471" s="9">
        <f>IF($D471="","",IFERROR(VLOOKUP($D471,'Plan comptable'!$H:$I,2,FALSE),"compte hors plan"))</f>
      </c>
      <c r="F471" s="9"/>
      <c r="G471" s="10"/>
      <c r="H471" s="11"/>
      <c r="I471" s="11"/>
      <c r="J471" s="10">
        <f>IF($D471="","",IF(AND($H471&lt;&gt;"",$I471&lt;&gt;""),"débit ET crédit",IF(AND($H471="",$I471=""),"montant manquant",IF(ISNA(MATCH($D471,'Plan comptable'!$H:$H,0)),"compte hors plan",IF(AND($A471&lt;&gt;"",YEAR($A471)&lt;&gt;Exercice),"hors exercice","")))))</f>
      </c>
    </row>
    <row r="472">
      <c r="A472" s="13"/>
      <c r="B472" s="10"/>
      <c r="C472" s="9"/>
      <c r="D472" s="20"/>
      <c r="E472" s="9">
        <f>IF($D472="","",IFERROR(VLOOKUP($D472,'Plan comptable'!$H:$I,2,FALSE),"compte hors plan"))</f>
      </c>
      <c r="F472" s="9"/>
      <c r="G472" s="10"/>
      <c r="H472" s="11"/>
      <c r="I472" s="11"/>
      <c r="J472" s="10">
        <f>IF($D472="","",IF(AND($H472&lt;&gt;"",$I472&lt;&gt;""),"débit ET crédit",IF(AND($H472="",$I472=""),"montant manquant",IF(ISNA(MATCH($D472,'Plan comptable'!$H:$H,0)),"compte hors plan",IF(AND($A472&lt;&gt;"",YEAR($A472)&lt;&gt;Exercice),"hors exercice","")))))</f>
      </c>
    </row>
    <row r="473">
      <c r="A473" s="13"/>
      <c r="B473" s="10"/>
      <c r="C473" s="9"/>
      <c r="D473" s="20"/>
      <c r="E473" s="9">
        <f>IF($D473="","",IFERROR(VLOOKUP($D473,'Plan comptable'!$H:$I,2,FALSE),"compte hors plan"))</f>
      </c>
      <c r="F473" s="9"/>
      <c r="G473" s="10"/>
      <c r="H473" s="11"/>
      <c r="I473" s="11"/>
      <c r="J473" s="10">
        <f>IF($D473="","",IF(AND($H473&lt;&gt;"",$I473&lt;&gt;""),"débit ET crédit",IF(AND($H473="",$I473=""),"montant manquant",IF(ISNA(MATCH($D473,'Plan comptable'!$H:$H,0)),"compte hors plan",IF(AND($A473&lt;&gt;"",YEAR($A473)&lt;&gt;Exercice),"hors exercice","")))))</f>
      </c>
    </row>
    <row r="474">
      <c r="A474" s="13"/>
      <c r="B474" s="10"/>
      <c r="C474" s="9"/>
      <c r="D474" s="20"/>
      <c r="E474" s="9">
        <f>IF($D474="","",IFERROR(VLOOKUP($D474,'Plan comptable'!$H:$I,2,FALSE),"compte hors plan"))</f>
      </c>
      <c r="F474" s="9"/>
      <c r="G474" s="10"/>
      <c r="H474" s="11"/>
      <c r="I474" s="11"/>
      <c r="J474" s="10">
        <f>IF($D474="","",IF(AND($H474&lt;&gt;"",$I474&lt;&gt;""),"débit ET crédit",IF(AND($H474="",$I474=""),"montant manquant",IF(ISNA(MATCH($D474,'Plan comptable'!$H:$H,0)),"compte hors plan",IF(AND($A474&lt;&gt;"",YEAR($A474)&lt;&gt;Exercice),"hors exercice","")))))</f>
      </c>
    </row>
    <row r="475">
      <c r="A475" s="13"/>
      <c r="B475" s="10"/>
      <c r="C475" s="9"/>
      <c r="D475" s="20"/>
      <c r="E475" s="9">
        <f>IF($D475="","",IFERROR(VLOOKUP($D475,'Plan comptable'!$H:$I,2,FALSE),"compte hors plan"))</f>
      </c>
      <c r="F475" s="9"/>
      <c r="G475" s="10"/>
      <c r="H475" s="11"/>
      <c r="I475" s="11"/>
      <c r="J475" s="10">
        <f>IF($D475="","",IF(AND($H475&lt;&gt;"",$I475&lt;&gt;""),"débit ET crédit",IF(AND($H475="",$I475=""),"montant manquant",IF(ISNA(MATCH($D475,'Plan comptable'!$H:$H,0)),"compte hors plan",IF(AND($A475&lt;&gt;"",YEAR($A475)&lt;&gt;Exercice),"hors exercice","")))))</f>
      </c>
    </row>
    <row r="476">
      <c r="A476" s="13"/>
      <c r="B476" s="10"/>
      <c r="C476" s="9"/>
      <c r="D476" s="20"/>
      <c r="E476" s="9">
        <f>IF($D476="","",IFERROR(VLOOKUP($D476,'Plan comptable'!$H:$I,2,FALSE),"compte hors plan"))</f>
      </c>
      <c r="F476" s="9"/>
      <c r="G476" s="10"/>
      <c r="H476" s="11"/>
      <c r="I476" s="11"/>
      <c r="J476" s="10">
        <f>IF($D476="","",IF(AND($H476&lt;&gt;"",$I476&lt;&gt;""),"débit ET crédit",IF(AND($H476="",$I476=""),"montant manquant",IF(ISNA(MATCH($D476,'Plan comptable'!$H:$H,0)),"compte hors plan",IF(AND($A476&lt;&gt;"",YEAR($A476)&lt;&gt;Exercice),"hors exercice","")))))</f>
      </c>
    </row>
    <row r="477">
      <c r="A477" s="13"/>
      <c r="B477" s="10"/>
      <c r="C477" s="9"/>
      <c r="D477" s="20"/>
      <c r="E477" s="9">
        <f>IF($D477="","",IFERROR(VLOOKUP($D477,'Plan comptable'!$H:$I,2,FALSE),"compte hors plan"))</f>
      </c>
      <c r="F477" s="9"/>
      <c r="G477" s="10"/>
      <c r="H477" s="11"/>
      <c r="I477" s="11"/>
      <c r="J477" s="10">
        <f>IF($D477="","",IF(AND($H477&lt;&gt;"",$I477&lt;&gt;""),"débit ET crédit",IF(AND($H477="",$I477=""),"montant manquant",IF(ISNA(MATCH($D477,'Plan comptable'!$H:$H,0)),"compte hors plan",IF(AND($A477&lt;&gt;"",YEAR($A477)&lt;&gt;Exercice),"hors exercice","")))))</f>
      </c>
    </row>
    <row r="478">
      <c r="A478" s="13"/>
      <c r="B478" s="10"/>
      <c r="C478" s="9"/>
      <c r="D478" s="20"/>
      <c r="E478" s="9">
        <f>IF($D478="","",IFERROR(VLOOKUP($D478,'Plan comptable'!$H:$I,2,FALSE),"compte hors plan"))</f>
      </c>
      <c r="F478" s="9"/>
      <c r="G478" s="10"/>
      <c r="H478" s="11"/>
      <c r="I478" s="11"/>
      <c r="J478" s="10">
        <f>IF($D478="","",IF(AND($H478&lt;&gt;"",$I478&lt;&gt;""),"débit ET crédit",IF(AND($H478="",$I478=""),"montant manquant",IF(ISNA(MATCH($D478,'Plan comptable'!$H:$H,0)),"compte hors plan",IF(AND($A478&lt;&gt;"",YEAR($A478)&lt;&gt;Exercice),"hors exercice","")))))</f>
      </c>
    </row>
    <row r="479">
      <c r="A479" s="13"/>
      <c r="B479" s="10"/>
      <c r="C479" s="9"/>
      <c r="D479" s="20"/>
      <c r="E479" s="9">
        <f>IF($D479="","",IFERROR(VLOOKUP($D479,'Plan comptable'!$H:$I,2,FALSE),"compte hors plan"))</f>
      </c>
      <c r="F479" s="9"/>
      <c r="G479" s="10"/>
      <c r="H479" s="11"/>
      <c r="I479" s="11"/>
      <c r="J479" s="10">
        <f>IF($D479="","",IF(AND($H479&lt;&gt;"",$I479&lt;&gt;""),"débit ET crédit",IF(AND($H479="",$I479=""),"montant manquant",IF(ISNA(MATCH($D479,'Plan comptable'!$H:$H,0)),"compte hors plan",IF(AND($A479&lt;&gt;"",YEAR($A479)&lt;&gt;Exercice),"hors exercice","")))))</f>
      </c>
    </row>
    <row r="480">
      <c r="A480" s="13"/>
      <c r="B480" s="10"/>
      <c r="C480" s="9"/>
      <c r="D480" s="20"/>
      <c r="E480" s="9">
        <f>IF($D480="","",IFERROR(VLOOKUP($D480,'Plan comptable'!$H:$I,2,FALSE),"compte hors plan"))</f>
      </c>
      <c r="F480" s="9"/>
      <c r="G480" s="10"/>
      <c r="H480" s="11"/>
      <c r="I480" s="11"/>
      <c r="J480" s="10">
        <f>IF($D480="","",IF(AND($H480&lt;&gt;"",$I480&lt;&gt;""),"débit ET crédit",IF(AND($H480="",$I480=""),"montant manquant",IF(ISNA(MATCH($D480,'Plan comptable'!$H:$H,0)),"compte hors plan",IF(AND($A480&lt;&gt;"",YEAR($A480)&lt;&gt;Exercice),"hors exercice","")))))</f>
      </c>
    </row>
    <row r="481">
      <c r="A481" s="13"/>
      <c r="B481" s="10"/>
      <c r="C481" s="9"/>
      <c r="D481" s="20"/>
      <c r="E481" s="9">
        <f>IF($D481="","",IFERROR(VLOOKUP($D481,'Plan comptable'!$H:$I,2,FALSE),"compte hors plan"))</f>
      </c>
      <c r="F481" s="9"/>
      <c r="G481" s="10"/>
      <c r="H481" s="11"/>
      <c r="I481" s="11"/>
      <c r="J481" s="10">
        <f>IF($D481="","",IF(AND($H481&lt;&gt;"",$I481&lt;&gt;""),"débit ET crédit",IF(AND($H481="",$I481=""),"montant manquant",IF(ISNA(MATCH($D481,'Plan comptable'!$H:$H,0)),"compte hors plan",IF(AND($A481&lt;&gt;"",YEAR($A481)&lt;&gt;Exercice),"hors exercice","")))))</f>
      </c>
    </row>
    <row r="482">
      <c r="A482" s="13"/>
      <c r="B482" s="10"/>
      <c r="C482" s="9"/>
      <c r="D482" s="20"/>
      <c r="E482" s="9">
        <f>IF($D482="","",IFERROR(VLOOKUP($D482,'Plan comptable'!$H:$I,2,FALSE),"compte hors plan"))</f>
      </c>
      <c r="F482" s="9"/>
      <c r="G482" s="10"/>
      <c r="H482" s="11"/>
      <c r="I482" s="11"/>
      <c r="J482" s="10">
        <f>IF($D482="","",IF(AND($H482&lt;&gt;"",$I482&lt;&gt;""),"débit ET crédit",IF(AND($H482="",$I482=""),"montant manquant",IF(ISNA(MATCH($D482,'Plan comptable'!$H:$H,0)),"compte hors plan",IF(AND($A482&lt;&gt;"",YEAR($A482)&lt;&gt;Exercice),"hors exercice","")))))</f>
      </c>
    </row>
    <row r="483">
      <c r="A483" s="13"/>
      <c r="B483" s="10"/>
      <c r="C483" s="9"/>
      <c r="D483" s="20"/>
      <c r="E483" s="9">
        <f>IF($D483="","",IFERROR(VLOOKUP($D483,'Plan comptable'!$H:$I,2,FALSE),"compte hors plan"))</f>
      </c>
      <c r="F483" s="9"/>
      <c r="G483" s="10"/>
      <c r="H483" s="11"/>
      <c r="I483" s="11"/>
      <c r="J483" s="10">
        <f>IF($D483="","",IF(AND($H483&lt;&gt;"",$I483&lt;&gt;""),"débit ET crédit",IF(AND($H483="",$I483=""),"montant manquant",IF(ISNA(MATCH($D483,'Plan comptable'!$H:$H,0)),"compte hors plan",IF(AND($A483&lt;&gt;"",YEAR($A483)&lt;&gt;Exercice),"hors exercice","")))))</f>
      </c>
    </row>
    <row r="484">
      <c r="A484" s="13"/>
      <c r="B484" s="10"/>
      <c r="C484" s="9"/>
      <c r="D484" s="20"/>
      <c r="E484" s="9">
        <f>IF($D484="","",IFERROR(VLOOKUP($D484,'Plan comptable'!$H:$I,2,FALSE),"compte hors plan"))</f>
      </c>
      <c r="F484" s="9"/>
      <c r="G484" s="10"/>
      <c r="H484" s="11"/>
      <c r="I484" s="11"/>
      <c r="J484" s="10">
        <f>IF($D484="","",IF(AND($H484&lt;&gt;"",$I484&lt;&gt;""),"débit ET crédit",IF(AND($H484="",$I484=""),"montant manquant",IF(ISNA(MATCH($D484,'Plan comptable'!$H:$H,0)),"compte hors plan",IF(AND($A484&lt;&gt;"",YEAR($A484)&lt;&gt;Exercice),"hors exercice","")))))</f>
      </c>
    </row>
    <row r="485">
      <c r="A485" s="13"/>
      <c r="B485" s="10"/>
      <c r="C485" s="9"/>
      <c r="D485" s="20"/>
      <c r="E485" s="9">
        <f>IF($D485="","",IFERROR(VLOOKUP($D485,'Plan comptable'!$H:$I,2,FALSE),"compte hors plan"))</f>
      </c>
      <c r="F485" s="9"/>
      <c r="G485" s="10"/>
      <c r="H485" s="11"/>
      <c r="I485" s="11"/>
      <c r="J485" s="10">
        <f>IF($D485="","",IF(AND($H485&lt;&gt;"",$I485&lt;&gt;""),"débit ET crédit",IF(AND($H485="",$I485=""),"montant manquant",IF(ISNA(MATCH($D485,'Plan comptable'!$H:$H,0)),"compte hors plan",IF(AND($A485&lt;&gt;"",YEAR($A485)&lt;&gt;Exercice),"hors exercice","")))))</f>
      </c>
    </row>
    <row r="486">
      <c r="A486" s="13"/>
      <c r="B486" s="10"/>
      <c r="C486" s="9"/>
      <c r="D486" s="20"/>
      <c r="E486" s="9">
        <f>IF($D486="","",IFERROR(VLOOKUP($D486,'Plan comptable'!$H:$I,2,FALSE),"compte hors plan"))</f>
      </c>
      <c r="F486" s="9"/>
      <c r="G486" s="10"/>
      <c r="H486" s="11"/>
      <c r="I486" s="11"/>
      <c r="J486" s="10">
        <f>IF($D486="","",IF(AND($H486&lt;&gt;"",$I486&lt;&gt;""),"débit ET crédit",IF(AND($H486="",$I486=""),"montant manquant",IF(ISNA(MATCH($D486,'Plan comptable'!$H:$H,0)),"compte hors plan",IF(AND($A486&lt;&gt;"",YEAR($A486)&lt;&gt;Exercice),"hors exercice","")))))</f>
      </c>
    </row>
    <row r="487">
      <c r="A487" s="13"/>
      <c r="B487" s="10"/>
      <c r="C487" s="9"/>
      <c r="D487" s="20"/>
      <c r="E487" s="9">
        <f>IF($D487="","",IFERROR(VLOOKUP($D487,'Plan comptable'!$H:$I,2,FALSE),"compte hors plan"))</f>
      </c>
      <c r="F487" s="9"/>
      <c r="G487" s="10"/>
      <c r="H487" s="11"/>
      <c r="I487" s="11"/>
      <c r="J487" s="10">
        <f>IF($D487="","",IF(AND($H487&lt;&gt;"",$I487&lt;&gt;""),"débit ET crédit",IF(AND($H487="",$I487=""),"montant manquant",IF(ISNA(MATCH($D487,'Plan comptable'!$H:$H,0)),"compte hors plan",IF(AND($A487&lt;&gt;"",YEAR($A487)&lt;&gt;Exercice),"hors exercice","")))))</f>
      </c>
    </row>
    <row r="488">
      <c r="A488" s="13"/>
      <c r="B488" s="10"/>
      <c r="C488" s="9"/>
      <c r="D488" s="20"/>
      <c r="E488" s="9">
        <f>IF($D488="","",IFERROR(VLOOKUP($D488,'Plan comptable'!$H:$I,2,FALSE),"compte hors plan"))</f>
      </c>
      <c r="F488" s="9"/>
      <c r="G488" s="10"/>
      <c r="H488" s="11"/>
      <c r="I488" s="11"/>
      <c r="J488" s="10">
        <f>IF($D488="","",IF(AND($H488&lt;&gt;"",$I488&lt;&gt;""),"débit ET crédit",IF(AND($H488="",$I488=""),"montant manquant",IF(ISNA(MATCH($D488,'Plan comptable'!$H:$H,0)),"compte hors plan",IF(AND($A488&lt;&gt;"",YEAR($A488)&lt;&gt;Exercice),"hors exercice","")))))</f>
      </c>
    </row>
    <row r="489">
      <c r="A489" s="13"/>
      <c r="B489" s="10"/>
      <c r="C489" s="9"/>
      <c r="D489" s="20"/>
      <c r="E489" s="9">
        <f>IF($D489="","",IFERROR(VLOOKUP($D489,'Plan comptable'!$H:$I,2,FALSE),"compte hors plan"))</f>
      </c>
      <c r="F489" s="9"/>
      <c r="G489" s="10"/>
      <c r="H489" s="11"/>
      <c r="I489" s="11"/>
      <c r="J489" s="10">
        <f>IF($D489="","",IF(AND($H489&lt;&gt;"",$I489&lt;&gt;""),"débit ET crédit",IF(AND($H489="",$I489=""),"montant manquant",IF(ISNA(MATCH($D489,'Plan comptable'!$H:$H,0)),"compte hors plan",IF(AND($A489&lt;&gt;"",YEAR($A489)&lt;&gt;Exercice),"hors exercice","")))))</f>
      </c>
    </row>
    <row r="490">
      <c r="A490" s="13"/>
      <c r="B490" s="10"/>
      <c r="C490" s="9"/>
      <c r="D490" s="20"/>
      <c r="E490" s="9">
        <f>IF($D490="","",IFERROR(VLOOKUP($D490,'Plan comptable'!$H:$I,2,FALSE),"compte hors plan"))</f>
      </c>
      <c r="F490" s="9"/>
      <c r="G490" s="10"/>
      <c r="H490" s="11"/>
      <c r="I490" s="11"/>
      <c r="J490" s="10">
        <f>IF($D490="","",IF(AND($H490&lt;&gt;"",$I490&lt;&gt;""),"débit ET crédit",IF(AND($H490="",$I490=""),"montant manquant",IF(ISNA(MATCH($D490,'Plan comptable'!$H:$H,0)),"compte hors plan",IF(AND($A490&lt;&gt;"",YEAR($A490)&lt;&gt;Exercice),"hors exercice","")))))</f>
      </c>
    </row>
    <row r="491">
      <c r="A491" s="13"/>
      <c r="B491" s="10"/>
      <c r="C491" s="9"/>
      <c r="D491" s="20"/>
      <c r="E491" s="9">
        <f>IF($D491="","",IFERROR(VLOOKUP($D491,'Plan comptable'!$H:$I,2,FALSE),"compte hors plan"))</f>
      </c>
      <c r="F491" s="9"/>
      <c r="G491" s="10"/>
      <c r="H491" s="11"/>
      <c r="I491" s="11"/>
      <c r="J491" s="10">
        <f>IF($D491="","",IF(AND($H491&lt;&gt;"",$I491&lt;&gt;""),"débit ET crédit",IF(AND($H491="",$I491=""),"montant manquant",IF(ISNA(MATCH($D491,'Plan comptable'!$H:$H,0)),"compte hors plan",IF(AND($A491&lt;&gt;"",YEAR($A491)&lt;&gt;Exercice),"hors exercice","")))))</f>
      </c>
    </row>
    <row r="492">
      <c r="A492" s="13"/>
      <c r="B492" s="10"/>
      <c r="C492" s="9"/>
      <c r="D492" s="20"/>
      <c r="E492" s="9">
        <f>IF($D492="","",IFERROR(VLOOKUP($D492,'Plan comptable'!$H:$I,2,FALSE),"compte hors plan"))</f>
      </c>
      <c r="F492" s="9"/>
      <c r="G492" s="10"/>
      <c r="H492" s="11"/>
      <c r="I492" s="11"/>
      <c r="J492" s="10">
        <f>IF($D492="","",IF(AND($H492&lt;&gt;"",$I492&lt;&gt;""),"débit ET crédit",IF(AND($H492="",$I492=""),"montant manquant",IF(ISNA(MATCH($D492,'Plan comptable'!$H:$H,0)),"compte hors plan",IF(AND($A492&lt;&gt;"",YEAR($A492)&lt;&gt;Exercice),"hors exercice","")))))</f>
      </c>
    </row>
    <row r="493">
      <c r="A493" s="13"/>
      <c r="B493" s="10"/>
      <c r="C493" s="9"/>
      <c r="D493" s="20"/>
      <c r="E493" s="9">
        <f>IF($D493="","",IFERROR(VLOOKUP($D493,'Plan comptable'!$H:$I,2,FALSE),"compte hors plan"))</f>
      </c>
      <c r="F493" s="9"/>
      <c r="G493" s="10"/>
      <c r="H493" s="11"/>
      <c r="I493" s="11"/>
      <c r="J493" s="10">
        <f>IF($D493="","",IF(AND($H493&lt;&gt;"",$I493&lt;&gt;""),"débit ET crédit",IF(AND($H493="",$I493=""),"montant manquant",IF(ISNA(MATCH($D493,'Plan comptable'!$H:$H,0)),"compte hors plan",IF(AND($A493&lt;&gt;"",YEAR($A493)&lt;&gt;Exercice),"hors exercice","")))))</f>
      </c>
    </row>
    <row r="494">
      <c r="A494" s="13"/>
      <c r="B494" s="10"/>
      <c r="C494" s="9"/>
      <c r="D494" s="20"/>
      <c r="E494" s="9">
        <f>IF($D494="","",IFERROR(VLOOKUP($D494,'Plan comptable'!$H:$I,2,FALSE),"compte hors plan"))</f>
      </c>
      <c r="F494" s="9"/>
      <c r="G494" s="10"/>
      <c r="H494" s="11"/>
      <c r="I494" s="11"/>
      <c r="J494" s="10">
        <f>IF($D494="","",IF(AND($H494&lt;&gt;"",$I494&lt;&gt;""),"débit ET crédit",IF(AND($H494="",$I494=""),"montant manquant",IF(ISNA(MATCH($D494,'Plan comptable'!$H:$H,0)),"compte hors plan",IF(AND($A494&lt;&gt;"",YEAR($A494)&lt;&gt;Exercice),"hors exercice","")))))</f>
      </c>
    </row>
    <row r="495">
      <c r="A495" s="13"/>
      <c r="B495" s="10"/>
      <c r="C495" s="9"/>
      <c r="D495" s="20"/>
      <c r="E495" s="9">
        <f>IF($D495="","",IFERROR(VLOOKUP($D495,'Plan comptable'!$H:$I,2,FALSE),"compte hors plan"))</f>
      </c>
      <c r="F495" s="9"/>
      <c r="G495" s="10"/>
      <c r="H495" s="11"/>
      <c r="I495" s="11"/>
      <c r="J495" s="10">
        <f>IF($D495="","",IF(AND($H495&lt;&gt;"",$I495&lt;&gt;""),"débit ET crédit",IF(AND($H495="",$I495=""),"montant manquant",IF(ISNA(MATCH($D495,'Plan comptable'!$H:$H,0)),"compte hors plan",IF(AND($A495&lt;&gt;"",YEAR($A495)&lt;&gt;Exercice),"hors exercice","")))))</f>
      </c>
    </row>
    <row r="496">
      <c r="A496" s="13"/>
      <c r="B496" s="10"/>
      <c r="C496" s="9"/>
      <c r="D496" s="20"/>
      <c r="E496" s="9">
        <f>IF($D496="","",IFERROR(VLOOKUP($D496,'Plan comptable'!$H:$I,2,FALSE),"compte hors plan"))</f>
      </c>
      <c r="F496" s="9"/>
      <c r="G496" s="10"/>
      <c r="H496" s="11"/>
      <c r="I496" s="11"/>
      <c r="J496" s="10">
        <f>IF($D496="","",IF(AND($H496&lt;&gt;"",$I496&lt;&gt;""),"débit ET crédit",IF(AND($H496="",$I496=""),"montant manquant",IF(ISNA(MATCH($D496,'Plan comptable'!$H:$H,0)),"compte hors plan",IF(AND($A496&lt;&gt;"",YEAR($A496)&lt;&gt;Exercice),"hors exercice","")))))</f>
      </c>
    </row>
    <row r="497">
      <c r="A497" s="13"/>
      <c r="B497" s="10"/>
      <c r="C497" s="9"/>
      <c r="D497" s="20"/>
      <c r="E497" s="9">
        <f>IF($D497="","",IFERROR(VLOOKUP($D497,'Plan comptable'!$H:$I,2,FALSE),"compte hors plan"))</f>
      </c>
      <c r="F497" s="9"/>
      <c r="G497" s="10"/>
      <c r="H497" s="11"/>
      <c r="I497" s="11"/>
      <c r="J497" s="10">
        <f>IF($D497="","",IF(AND($H497&lt;&gt;"",$I497&lt;&gt;""),"débit ET crédit",IF(AND($H497="",$I497=""),"montant manquant",IF(ISNA(MATCH($D497,'Plan comptable'!$H:$H,0)),"compte hors plan",IF(AND($A497&lt;&gt;"",YEAR($A497)&lt;&gt;Exercice),"hors exercice","")))))</f>
      </c>
    </row>
    <row r="498">
      <c r="A498" s="13"/>
      <c r="B498" s="10"/>
      <c r="C498" s="9"/>
      <c r="D498" s="20"/>
      <c r="E498" s="9">
        <f>IF($D498="","",IFERROR(VLOOKUP($D498,'Plan comptable'!$H:$I,2,FALSE),"compte hors plan"))</f>
      </c>
      <c r="F498" s="9"/>
      <c r="G498" s="10"/>
      <c r="H498" s="11"/>
      <c r="I498" s="11"/>
      <c r="J498" s="10">
        <f>IF($D498="","",IF(AND($H498&lt;&gt;"",$I498&lt;&gt;""),"débit ET crédit",IF(AND($H498="",$I498=""),"montant manquant",IF(ISNA(MATCH($D498,'Plan comptable'!$H:$H,0)),"compte hors plan",IF(AND($A498&lt;&gt;"",YEAR($A498)&lt;&gt;Exercice),"hors exercice","")))))</f>
      </c>
    </row>
    <row r="499">
      <c r="A499" s="13"/>
      <c r="B499" s="10"/>
      <c r="C499" s="9"/>
      <c r="D499" s="20"/>
      <c r="E499" s="9">
        <f>IF($D499="","",IFERROR(VLOOKUP($D499,'Plan comptable'!$H:$I,2,FALSE),"compte hors plan"))</f>
      </c>
      <c r="F499" s="9"/>
      <c r="G499" s="10"/>
      <c r="H499" s="11"/>
      <c r="I499" s="11"/>
      <c r="J499" s="10">
        <f>IF($D499="","",IF(AND($H499&lt;&gt;"",$I499&lt;&gt;""),"débit ET crédit",IF(AND($H499="",$I499=""),"montant manquant",IF(ISNA(MATCH($D499,'Plan comptable'!$H:$H,0)),"compte hors plan",IF(AND($A499&lt;&gt;"",YEAR($A499)&lt;&gt;Exercice),"hors exercice","")))))</f>
      </c>
    </row>
    <row r="500">
      <c r="A500" s="13"/>
      <c r="B500" s="10"/>
      <c r="C500" s="9"/>
      <c r="D500" s="20"/>
      <c r="E500" s="9">
        <f>IF($D500="","",IFERROR(VLOOKUP($D500,'Plan comptable'!$H:$I,2,FALSE),"compte hors plan"))</f>
      </c>
      <c r="F500" s="9"/>
      <c r="G500" s="10"/>
      <c r="H500" s="11"/>
      <c r="I500" s="11"/>
      <c r="J500" s="10">
        <f>IF($D500="","",IF(AND($H500&lt;&gt;"",$I500&lt;&gt;""),"débit ET crédit",IF(AND($H500="",$I500=""),"montant manquant",IF(ISNA(MATCH($D500,'Plan comptable'!$H:$H,0)),"compte hors plan",IF(AND($A500&lt;&gt;"",YEAR($A500)&lt;&gt;Exercice),"hors exercice","")))))</f>
      </c>
    </row>
    <row r="501">
      <c r="A501" s="13"/>
      <c r="B501" s="10"/>
      <c r="C501" s="9"/>
      <c r="D501" s="20"/>
      <c r="E501" s="9">
        <f>IF($D501="","",IFERROR(VLOOKUP($D501,'Plan comptable'!$H:$I,2,FALSE),"compte hors plan"))</f>
      </c>
      <c r="F501" s="9"/>
      <c r="G501" s="10"/>
      <c r="H501" s="11"/>
      <c r="I501" s="11"/>
      <c r="J501" s="10">
        <f>IF($D501="","",IF(AND($H501&lt;&gt;"",$I501&lt;&gt;""),"débit ET crédit",IF(AND($H501="",$I501=""),"montant manquant",IF(ISNA(MATCH($D501,'Plan comptable'!$H:$H,0)),"compte hors plan",IF(AND($A501&lt;&gt;"",YEAR($A501)&lt;&gt;Exercice),"hors exercice","")))))</f>
      </c>
    </row>
    <row r="502">
      <c r="A502" s="13"/>
      <c r="B502" s="10"/>
      <c r="C502" s="9"/>
      <c r="D502" s="20"/>
      <c r="E502" s="9">
        <f>IF($D502="","",IFERROR(VLOOKUP($D502,'Plan comptable'!$H:$I,2,FALSE),"compte hors plan"))</f>
      </c>
      <c r="F502" s="9"/>
      <c r="G502" s="10"/>
      <c r="H502" s="11"/>
      <c r="I502" s="11"/>
      <c r="J502" s="10">
        <f>IF($D502="","",IF(AND($H502&lt;&gt;"",$I502&lt;&gt;""),"débit ET crédit",IF(AND($H502="",$I502=""),"montant manquant",IF(ISNA(MATCH($D502,'Plan comptable'!$H:$H,0)),"compte hors plan",IF(AND($A502&lt;&gt;"",YEAR($A502)&lt;&gt;Exercice),"hors exercice","")))))</f>
      </c>
    </row>
    <row r="503">
      <c r="A503" s="13"/>
      <c r="B503" s="10"/>
      <c r="C503" s="9"/>
      <c r="D503" s="20"/>
      <c r="E503" s="9">
        <f>IF($D503="","",IFERROR(VLOOKUP($D503,'Plan comptable'!$H:$I,2,FALSE),"compte hors plan"))</f>
      </c>
      <c r="F503" s="9"/>
      <c r="G503" s="10"/>
      <c r="H503" s="11"/>
      <c r="I503" s="11"/>
      <c r="J503" s="10">
        <f>IF($D503="","",IF(AND($H503&lt;&gt;"",$I503&lt;&gt;""),"débit ET crédit",IF(AND($H503="",$I503=""),"montant manquant",IF(ISNA(MATCH($D503,'Plan comptable'!$H:$H,0)),"compte hors plan",IF(AND($A503&lt;&gt;"",YEAR($A503)&lt;&gt;Exercice),"hors exercice","")))))</f>
      </c>
    </row>
    <row r="504">
      <c r="A504" s="13"/>
      <c r="B504" s="10"/>
      <c r="C504" s="9"/>
      <c r="D504" s="20"/>
      <c r="E504" s="9">
        <f>IF($D504="","",IFERROR(VLOOKUP($D504,'Plan comptable'!$H:$I,2,FALSE),"compte hors plan"))</f>
      </c>
      <c r="F504" s="9"/>
      <c r="G504" s="10"/>
      <c r="H504" s="11"/>
      <c r="I504" s="11"/>
      <c r="J504" s="10">
        <f>IF($D504="","",IF(AND($H504&lt;&gt;"",$I504&lt;&gt;""),"débit ET crédit",IF(AND($H504="",$I504=""),"montant manquant",IF(ISNA(MATCH($D504,'Plan comptable'!$H:$H,0)),"compte hors plan",IF(AND($A504&lt;&gt;"",YEAR($A504)&lt;&gt;Exercice),"hors exercice","")))))</f>
      </c>
    </row>
    <row r="505">
      <c r="A505" s="13"/>
      <c r="B505" s="10"/>
      <c r="C505" s="9"/>
      <c r="D505" s="20"/>
      <c r="E505" s="9">
        <f>IF($D505="","",IFERROR(VLOOKUP($D505,'Plan comptable'!$H:$I,2,FALSE),"compte hors plan"))</f>
      </c>
      <c r="F505" s="9"/>
      <c r="G505" s="10"/>
      <c r="H505" s="11"/>
      <c r="I505" s="11"/>
      <c r="J505" s="10">
        <f>IF($D505="","",IF(AND($H505&lt;&gt;"",$I505&lt;&gt;""),"débit ET crédit",IF(AND($H505="",$I505=""),"montant manquant",IF(ISNA(MATCH($D505,'Plan comptable'!$H:$H,0)),"compte hors plan",IF(AND($A505&lt;&gt;"",YEAR($A505)&lt;&gt;Exercice),"hors exercice","")))))</f>
      </c>
    </row>
    <row r="506">
      <c r="A506" s="13"/>
      <c r="B506" s="10"/>
      <c r="C506" s="9"/>
      <c r="D506" s="20"/>
      <c r="E506" s="9">
        <f>IF($D506="","",IFERROR(VLOOKUP($D506,'Plan comptable'!$H:$I,2,FALSE),"compte hors plan"))</f>
      </c>
      <c r="F506" s="9"/>
      <c r="G506" s="10"/>
      <c r="H506" s="11"/>
      <c r="I506" s="11"/>
      <c r="J506" s="10">
        <f>IF($D506="","",IF(AND($H506&lt;&gt;"",$I506&lt;&gt;""),"débit ET crédit",IF(AND($H506="",$I506=""),"montant manquant",IF(ISNA(MATCH($D506,'Plan comptable'!$H:$H,0)),"compte hors plan",IF(AND($A506&lt;&gt;"",YEAR($A506)&lt;&gt;Exercice),"hors exercice","")))))</f>
      </c>
    </row>
    <row r="507">
      <c r="A507" s="13"/>
      <c r="B507" s="10"/>
      <c r="C507" s="9"/>
      <c r="D507" s="20"/>
      <c r="E507" s="9">
        <f>IF($D507="","",IFERROR(VLOOKUP($D507,'Plan comptable'!$H:$I,2,FALSE),"compte hors plan"))</f>
      </c>
      <c r="F507" s="9"/>
      <c r="G507" s="10"/>
      <c r="H507" s="11"/>
      <c r="I507" s="11"/>
      <c r="J507" s="10">
        <f>IF($D507="","",IF(AND($H507&lt;&gt;"",$I507&lt;&gt;""),"débit ET crédit",IF(AND($H507="",$I507=""),"montant manquant",IF(ISNA(MATCH($D507,'Plan comptable'!$H:$H,0)),"compte hors plan",IF(AND($A507&lt;&gt;"",YEAR($A507)&lt;&gt;Exercice),"hors exercice","")))))</f>
      </c>
    </row>
    <row r="508">
      <c r="A508" s="13"/>
      <c r="B508" s="10"/>
      <c r="C508" s="9"/>
      <c r="D508" s="20"/>
      <c r="E508" s="9">
        <f>IF($D508="","",IFERROR(VLOOKUP($D508,'Plan comptable'!$H:$I,2,FALSE),"compte hors plan"))</f>
      </c>
      <c r="F508" s="9"/>
      <c r="G508" s="10"/>
      <c r="H508" s="11"/>
      <c r="I508" s="11"/>
      <c r="J508" s="10">
        <f>IF($D508="","",IF(AND($H508&lt;&gt;"",$I508&lt;&gt;""),"débit ET crédit",IF(AND($H508="",$I508=""),"montant manquant",IF(ISNA(MATCH($D508,'Plan comptable'!$H:$H,0)),"compte hors plan",IF(AND($A508&lt;&gt;"",YEAR($A508)&lt;&gt;Exercice),"hors exercice","")))))</f>
      </c>
    </row>
    <row r="509">
      <c r="A509" s="13"/>
      <c r="B509" s="10"/>
      <c r="C509" s="9"/>
      <c r="D509" s="20"/>
      <c r="E509" s="9">
        <f>IF($D509="","",IFERROR(VLOOKUP($D509,'Plan comptable'!$H:$I,2,FALSE),"compte hors plan"))</f>
      </c>
      <c r="F509" s="9"/>
      <c r="G509" s="10"/>
      <c r="H509" s="11"/>
      <c r="I509" s="11"/>
      <c r="J509" s="10">
        <f>IF($D509="","",IF(AND($H509&lt;&gt;"",$I509&lt;&gt;""),"débit ET crédit",IF(AND($H509="",$I509=""),"montant manquant",IF(ISNA(MATCH($D509,'Plan comptable'!$H:$H,0)),"compte hors plan",IF(AND($A509&lt;&gt;"",YEAR($A509)&lt;&gt;Exercice),"hors exercice","")))))</f>
      </c>
    </row>
    <row r="510">
      <c r="A510" s="13"/>
      <c r="B510" s="10"/>
      <c r="C510" s="9"/>
      <c r="D510" s="20"/>
      <c r="E510" s="9">
        <f>IF($D510="","",IFERROR(VLOOKUP($D510,'Plan comptable'!$H:$I,2,FALSE),"compte hors plan"))</f>
      </c>
      <c r="F510" s="9"/>
      <c r="G510" s="10"/>
      <c r="H510" s="11"/>
      <c r="I510" s="11"/>
      <c r="J510" s="10">
        <f>IF($D510="","",IF(AND($H510&lt;&gt;"",$I510&lt;&gt;""),"débit ET crédit",IF(AND($H510="",$I510=""),"montant manquant",IF(ISNA(MATCH($D510,'Plan comptable'!$H:$H,0)),"compte hors plan",IF(AND($A510&lt;&gt;"",YEAR($A510)&lt;&gt;Exercice),"hors exercice","")))))</f>
      </c>
    </row>
    <row r="511">
      <c r="A511" s="13"/>
      <c r="B511" s="10"/>
      <c r="C511" s="9"/>
      <c r="D511" s="20"/>
      <c r="E511" s="9">
        <f>IF($D511="","",IFERROR(VLOOKUP($D511,'Plan comptable'!$H:$I,2,FALSE),"compte hors plan"))</f>
      </c>
      <c r="F511" s="9"/>
      <c r="G511" s="10"/>
      <c r="H511" s="11"/>
      <c r="I511" s="11"/>
      <c r="J511" s="10">
        <f>IF($D511="","",IF(AND($H511&lt;&gt;"",$I511&lt;&gt;""),"débit ET crédit",IF(AND($H511="",$I511=""),"montant manquant",IF(ISNA(MATCH($D511,'Plan comptable'!$H:$H,0)),"compte hors plan",IF(AND($A511&lt;&gt;"",YEAR($A511)&lt;&gt;Exercice),"hors exercice","")))))</f>
      </c>
    </row>
    <row r="512">
      <c r="A512" s="13"/>
      <c r="B512" s="10"/>
      <c r="C512" s="9"/>
      <c r="D512" s="20"/>
      <c r="E512" s="9">
        <f>IF($D512="","",IFERROR(VLOOKUP($D512,'Plan comptable'!$H:$I,2,FALSE),"compte hors plan"))</f>
      </c>
      <c r="F512" s="9"/>
      <c r="G512" s="10"/>
      <c r="H512" s="11"/>
      <c r="I512" s="11"/>
      <c r="J512" s="10">
        <f>IF($D512="","",IF(AND($H512&lt;&gt;"",$I512&lt;&gt;""),"débit ET crédit",IF(AND($H512="",$I512=""),"montant manquant",IF(ISNA(MATCH($D512,'Plan comptable'!$H:$H,0)),"compte hors plan",IF(AND($A512&lt;&gt;"",YEAR($A512)&lt;&gt;Exercice),"hors exercice","")))))</f>
      </c>
    </row>
    <row r="513">
      <c r="A513" s="13"/>
      <c r="B513" s="10"/>
      <c r="C513" s="9"/>
      <c r="D513" s="20"/>
      <c r="E513" s="9">
        <f>IF($D513="","",IFERROR(VLOOKUP($D513,'Plan comptable'!$H:$I,2,FALSE),"compte hors plan"))</f>
      </c>
      <c r="F513" s="9"/>
      <c r="G513" s="10"/>
      <c r="H513" s="11"/>
      <c r="I513" s="11"/>
      <c r="J513" s="10">
        <f>IF($D513="","",IF(AND($H513&lt;&gt;"",$I513&lt;&gt;""),"débit ET crédit",IF(AND($H513="",$I513=""),"montant manquant",IF(ISNA(MATCH($D513,'Plan comptable'!$H:$H,0)),"compte hors plan",IF(AND($A513&lt;&gt;"",YEAR($A513)&lt;&gt;Exercice),"hors exercice","")))))</f>
      </c>
    </row>
    <row r="514">
      <c r="A514" s="13"/>
      <c r="B514" s="10"/>
      <c r="C514" s="9"/>
      <c r="D514" s="20"/>
      <c r="E514" s="9">
        <f>IF($D514="","",IFERROR(VLOOKUP($D514,'Plan comptable'!$H:$I,2,FALSE),"compte hors plan"))</f>
      </c>
      <c r="F514" s="9"/>
      <c r="G514" s="10"/>
      <c r="H514" s="11"/>
      <c r="I514" s="11"/>
      <c r="J514" s="10">
        <f>IF($D514="","",IF(AND($H514&lt;&gt;"",$I514&lt;&gt;""),"débit ET crédit",IF(AND($H514="",$I514=""),"montant manquant",IF(ISNA(MATCH($D514,'Plan comptable'!$H:$H,0)),"compte hors plan",IF(AND($A514&lt;&gt;"",YEAR($A514)&lt;&gt;Exercice),"hors exercice","")))))</f>
      </c>
    </row>
    <row r="515">
      <c r="A515" s="13"/>
      <c r="B515" s="10"/>
      <c r="C515" s="9"/>
      <c r="D515" s="20"/>
      <c r="E515" s="9">
        <f>IF($D515="","",IFERROR(VLOOKUP($D515,'Plan comptable'!$H:$I,2,FALSE),"compte hors plan"))</f>
      </c>
      <c r="F515" s="9"/>
      <c r="G515" s="10"/>
      <c r="H515" s="11"/>
      <c r="I515" s="11"/>
      <c r="J515" s="10">
        <f>IF($D515="","",IF(AND($H515&lt;&gt;"",$I515&lt;&gt;""),"débit ET crédit",IF(AND($H515="",$I515=""),"montant manquant",IF(ISNA(MATCH($D515,'Plan comptable'!$H:$H,0)),"compte hors plan",IF(AND($A515&lt;&gt;"",YEAR($A515)&lt;&gt;Exercice),"hors exercice","")))))</f>
      </c>
    </row>
    <row r="516">
      <c r="A516" s="13"/>
      <c r="B516" s="10"/>
      <c r="C516" s="9"/>
      <c r="D516" s="20"/>
      <c r="E516" s="9">
        <f>IF($D516="","",IFERROR(VLOOKUP($D516,'Plan comptable'!$H:$I,2,FALSE),"compte hors plan"))</f>
      </c>
      <c r="F516" s="9"/>
      <c r="G516" s="10"/>
      <c r="H516" s="11"/>
      <c r="I516" s="11"/>
      <c r="J516" s="10">
        <f>IF($D516="","",IF(AND($H516&lt;&gt;"",$I516&lt;&gt;""),"débit ET crédit",IF(AND($H516="",$I516=""),"montant manquant",IF(ISNA(MATCH($D516,'Plan comptable'!$H:$H,0)),"compte hors plan",IF(AND($A516&lt;&gt;"",YEAR($A516)&lt;&gt;Exercice),"hors exercice","")))))</f>
      </c>
    </row>
    <row r="517">
      <c r="A517" s="13"/>
      <c r="B517" s="10"/>
      <c r="C517" s="9"/>
      <c r="D517" s="20"/>
      <c r="E517" s="9">
        <f>IF($D517="","",IFERROR(VLOOKUP($D517,'Plan comptable'!$H:$I,2,FALSE),"compte hors plan"))</f>
      </c>
      <c r="F517" s="9"/>
      <c r="G517" s="10"/>
      <c r="H517" s="11"/>
      <c r="I517" s="11"/>
      <c r="J517" s="10">
        <f>IF($D517="","",IF(AND($H517&lt;&gt;"",$I517&lt;&gt;""),"débit ET crédit",IF(AND($H517="",$I517=""),"montant manquant",IF(ISNA(MATCH($D517,'Plan comptable'!$H:$H,0)),"compte hors plan",IF(AND($A517&lt;&gt;"",YEAR($A517)&lt;&gt;Exercice),"hors exercice","")))))</f>
      </c>
    </row>
    <row r="518">
      <c r="A518" s="13"/>
      <c r="B518" s="10"/>
      <c r="C518" s="9"/>
      <c r="D518" s="20"/>
      <c r="E518" s="9">
        <f>IF($D518="","",IFERROR(VLOOKUP($D518,'Plan comptable'!$H:$I,2,FALSE),"compte hors plan"))</f>
      </c>
      <c r="F518" s="9"/>
      <c r="G518" s="10"/>
      <c r="H518" s="11"/>
      <c r="I518" s="11"/>
      <c r="J518" s="10">
        <f>IF($D518="","",IF(AND($H518&lt;&gt;"",$I518&lt;&gt;""),"débit ET crédit",IF(AND($H518="",$I518=""),"montant manquant",IF(ISNA(MATCH($D518,'Plan comptable'!$H:$H,0)),"compte hors plan",IF(AND($A518&lt;&gt;"",YEAR($A518)&lt;&gt;Exercice),"hors exercice","")))))</f>
      </c>
    </row>
    <row r="519">
      <c r="A519" s="13"/>
      <c r="B519" s="10"/>
      <c r="C519" s="9"/>
      <c r="D519" s="20"/>
      <c r="E519" s="9">
        <f>IF($D519="","",IFERROR(VLOOKUP($D519,'Plan comptable'!$H:$I,2,FALSE),"compte hors plan"))</f>
      </c>
      <c r="F519" s="9"/>
      <c r="G519" s="10"/>
      <c r="H519" s="11"/>
      <c r="I519" s="11"/>
      <c r="J519" s="10">
        <f>IF($D519="","",IF(AND($H519&lt;&gt;"",$I519&lt;&gt;""),"débit ET crédit",IF(AND($H519="",$I519=""),"montant manquant",IF(ISNA(MATCH($D519,'Plan comptable'!$H:$H,0)),"compte hors plan",IF(AND($A519&lt;&gt;"",YEAR($A519)&lt;&gt;Exercice),"hors exercice","")))))</f>
      </c>
    </row>
    <row r="520">
      <c r="A520" s="13"/>
      <c r="B520" s="10"/>
      <c r="C520" s="9"/>
      <c r="D520" s="20"/>
      <c r="E520" s="9">
        <f>IF($D520="","",IFERROR(VLOOKUP($D520,'Plan comptable'!$H:$I,2,FALSE),"compte hors plan"))</f>
      </c>
      <c r="F520" s="9"/>
      <c r="G520" s="10"/>
      <c r="H520" s="11"/>
      <c r="I520" s="11"/>
      <c r="J520" s="10">
        <f>IF($D520="","",IF(AND($H520&lt;&gt;"",$I520&lt;&gt;""),"débit ET crédit",IF(AND($H520="",$I520=""),"montant manquant",IF(ISNA(MATCH($D520,'Plan comptable'!$H:$H,0)),"compte hors plan",IF(AND($A520&lt;&gt;"",YEAR($A520)&lt;&gt;Exercice),"hors exercice","")))))</f>
      </c>
    </row>
    <row r="521">
      <c r="A521" s="13"/>
      <c r="B521" s="10"/>
      <c r="C521" s="9"/>
      <c r="D521" s="20"/>
      <c r="E521" s="9">
        <f>IF($D521="","",IFERROR(VLOOKUP($D521,'Plan comptable'!$H:$I,2,FALSE),"compte hors plan"))</f>
      </c>
      <c r="F521" s="9"/>
      <c r="G521" s="10"/>
      <c r="H521" s="11"/>
      <c r="I521" s="11"/>
      <c r="J521" s="10">
        <f>IF($D521="","",IF(AND($H521&lt;&gt;"",$I521&lt;&gt;""),"débit ET crédit",IF(AND($H521="",$I521=""),"montant manquant",IF(ISNA(MATCH($D521,'Plan comptable'!$H:$H,0)),"compte hors plan",IF(AND($A521&lt;&gt;"",YEAR($A521)&lt;&gt;Exercice),"hors exercice","")))))</f>
      </c>
    </row>
    <row r="522">
      <c r="A522" s="13"/>
      <c r="B522" s="10"/>
      <c r="C522" s="9"/>
      <c r="D522" s="20"/>
      <c r="E522" s="9">
        <f>IF($D522="","",IFERROR(VLOOKUP($D522,'Plan comptable'!$H:$I,2,FALSE),"compte hors plan"))</f>
      </c>
      <c r="F522" s="9"/>
      <c r="G522" s="10"/>
      <c r="H522" s="11"/>
      <c r="I522" s="11"/>
      <c r="J522" s="10">
        <f>IF($D522="","",IF(AND($H522&lt;&gt;"",$I522&lt;&gt;""),"débit ET crédit",IF(AND($H522="",$I522=""),"montant manquant",IF(ISNA(MATCH($D522,'Plan comptable'!$H:$H,0)),"compte hors plan",IF(AND($A522&lt;&gt;"",YEAR($A522)&lt;&gt;Exercice),"hors exercice","")))))</f>
      </c>
    </row>
    <row r="523">
      <c r="A523" s="13"/>
      <c r="B523" s="10"/>
      <c r="C523" s="9"/>
      <c r="D523" s="20"/>
      <c r="E523" s="9">
        <f>IF($D523="","",IFERROR(VLOOKUP($D523,'Plan comptable'!$H:$I,2,FALSE),"compte hors plan"))</f>
      </c>
      <c r="F523" s="9"/>
      <c r="G523" s="10"/>
      <c r="H523" s="11"/>
      <c r="I523" s="11"/>
      <c r="J523" s="10">
        <f>IF($D523="","",IF(AND($H523&lt;&gt;"",$I523&lt;&gt;""),"débit ET crédit",IF(AND($H523="",$I523=""),"montant manquant",IF(ISNA(MATCH($D523,'Plan comptable'!$H:$H,0)),"compte hors plan",IF(AND($A523&lt;&gt;"",YEAR($A523)&lt;&gt;Exercice),"hors exercice","")))))</f>
      </c>
    </row>
    <row r="524">
      <c r="A524" s="13"/>
      <c r="B524" s="10"/>
      <c r="C524" s="9"/>
      <c r="D524" s="20"/>
      <c r="E524" s="9">
        <f>IF($D524="","",IFERROR(VLOOKUP($D524,'Plan comptable'!$H:$I,2,FALSE),"compte hors plan"))</f>
      </c>
      <c r="F524" s="9"/>
      <c r="G524" s="10"/>
      <c r="H524" s="11"/>
      <c r="I524" s="11"/>
      <c r="J524" s="10">
        <f>IF($D524="","",IF(AND($H524&lt;&gt;"",$I524&lt;&gt;""),"débit ET crédit",IF(AND($H524="",$I524=""),"montant manquant",IF(ISNA(MATCH($D524,'Plan comptable'!$H:$H,0)),"compte hors plan",IF(AND($A524&lt;&gt;"",YEAR($A524)&lt;&gt;Exercice),"hors exercice","")))))</f>
      </c>
    </row>
    <row r="525">
      <c r="A525" s="13"/>
      <c r="B525" s="10"/>
      <c r="C525" s="9"/>
      <c r="D525" s="20"/>
      <c r="E525" s="9">
        <f>IF($D525="","",IFERROR(VLOOKUP($D525,'Plan comptable'!$H:$I,2,FALSE),"compte hors plan"))</f>
      </c>
      <c r="F525" s="9"/>
      <c r="G525" s="10"/>
      <c r="H525" s="11"/>
      <c r="I525" s="11"/>
      <c r="J525" s="10">
        <f>IF($D525="","",IF(AND($H525&lt;&gt;"",$I525&lt;&gt;""),"débit ET crédit",IF(AND($H525="",$I525=""),"montant manquant",IF(ISNA(MATCH($D525,'Plan comptable'!$H:$H,0)),"compte hors plan",IF(AND($A525&lt;&gt;"",YEAR($A525)&lt;&gt;Exercice),"hors exercice","")))))</f>
      </c>
    </row>
    <row r="526">
      <c r="A526" s="13"/>
      <c r="B526" s="10"/>
      <c r="C526" s="9"/>
      <c r="D526" s="20"/>
      <c r="E526" s="9">
        <f>IF($D526="","",IFERROR(VLOOKUP($D526,'Plan comptable'!$H:$I,2,FALSE),"compte hors plan"))</f>
      </c>
      <c r="F526" s="9"/>
      <c r="G526" s="10"/>
      <c r="H526" s="11"/>
      <c r="I526" s="11"/>
      <c r="J526" s="10">
        <f>IF($D526="","",IF(AND($H526&lt;&gt;"",$I526&lt;&gt;""),"débit ET crédit",IF(AND($H526="",$I526=""),"montant manquant",IF(ISNA(MATCH($D526,'Plan comptable'!$H:$H,0)),"compte hors plan",IF(AND($A526&lt;&gt;"",YEAR($A526)&lt;&gt;Exercice),"hors exercice","")))))</f>
      </c>
    </row>
    <row r="527">
      <c r="A527" s="13"/>
      <c r="B527" s="10"/>
      <c r="C527" s="9"/>
      <c r="D527" s="20"/>
      <c r="E527" s="9">
        <f>IF($D527="","",IFERROR(VLOOKUP($D527,'Plan comptable'!$H:$I,2,FALSE),"compte hors plan"))</f>
      </c>
      <c r="F527" s="9"/>
      <c r="G527" s="10"/>
      <c r="H527" s="11"/>
      <c r="I527" s="11"/>
      <c r="J527" s="10">
        <f>IF($D527="","",IF(AND($H527&lt;&gt;"",$I527&lt;&gt;""),"débit ET crédit",IF(AND($H527="",$I527=""),"montant manquant",IF(ISNA(MATCH($D527,'Plan comptable'!$H:$H,0)),"compte hors plan",IF(AND($A527&lt;&gt;"",YEAR($A527)&lt;&gt;Exercice),"hors exercice","")))))</f>
      </c>
    </row>
    <row r="528">
      <c r="A528" s="13"/>
      <c r="B528" s="10"/>
      <c r="C528" s="9"/>
      <c r="D528" s="20"/>
      <c r="E528" s="9">
        <f>IF($D528="","",IFERROR(VLOOKUP($D528,'Plan comptable'!$H:$I,2,FALSE),"compte hors plan"))</f>
      </c>
      <c r="F528" s="9"/>
      <c r="G528" s="10"/>
      <c r="H528" s="11"/>
      <c r="I528" s="11"/>
      <c r="J528" s="10">
        <f>IF($D528="","",IF(AND($H528&lt;&gt;"",$I528&lt;&gt;""),"débit ET crédit",IF(AND($H528="",$I528=""),"montant manquant",IF(ISNA(MATCH($D528,'Plan comptable'!$H:$H,0)),"compte hors plan",IF(AND($A528&lt;&gt;"",YEAR($A528)&lt;&gt;Exercice),"hors exercice","")))))</f>
      </c>
    </row>
    <row r="529">
      <c r="A529" s="13"/>
      <c r="B529" s="10"/>
      <c r="C529" s="9"/>
      <c r="D529" s="20"/>
      <c r="E529" s="9">
        <f>IF($D529="","",IFERROR(VLOOKUP($D529,'Plan comptable'!$H:$I,2,FALSE),"compte hors plan"))</f>
      </c>
      <c r="F529" s="9"/>
      <c r="G529" s="10"/>
      <c r="H529" s="11"/>
      <c r="I529" s="11"/>
      <c r="J529" s="10">
        <f>IF($D529="","",IF(AND($H529&lt;&gt;"",$I529&lt;&gt;""),"débit ET crédit",IF(AND($H529="",$I529=""),"montant manquant",IF(ISNA(MATCH($D529,'Plan comptable'!$H:$H,0)),"compte hors plan",IF(AND($A529&lt;&gt;"",YEAR($A529)&lt;&gt;Exercice),"hors exercice","")))))</f>
      </c>
    </row>
    <row r="530">
      <c r="A530" s="13"/>
      <c r="B530" s="10"/>
      <c r="C530" s="9"/>
      <c r="D530" s="20"/>
      <c r="E530" s="9">
        <f>IF($D530="","",IFERROR(VLOOKUP($D530,'Plan comptable'!$H:$I,2,FALSE),"compte hors plan"))</f>
      </c>
      <c r="F530" s="9"/>
      <c r="G530" s="10"/>
      <c r="H530" s="11"/>
      <c r="I530" s="11"/>
      <c r="J530" s="10">
        <f>IF($D530="","",IF(AND($H530&lt;&gt;"",$I530&lt;&gt;""),"débit ET crédit",IF(AND($H530="",$I530=""),"montant manquant",IF(ISNA(MATCH($D530,'Plan comptable'!$H:$H,0)),"compte hors plan",IF(AND($A530&lt;&gt;"",YEAR($A530)&lt;&gt;Exercice),"hors exercice","")))))</f>
      </c>
    </row>
    <row r="531">
      <c r="A531" s="13"/>
      <c r="B531" s="10"/>
      <c r="C531" s="9"/>
      <c r="D531" s="20"/>
      <c r="E531" s="9">
        <f>IF($D531="","",IFERROR(VLOOKUP($D531,'Plan comptable'!$H:$I,2,FALSE),"compte hors plan"))</f>
      </c>
      <c r="F531" s="9"/>
      <c r="G531" s="10"/>
      <c r="H531" s="11"/>
      <c r="I531" s="11"/>
      <c r="J531" s="10">
        <f>IF($D531="","",IF(AND($H531&lt;&gt;"",$I531&lt;&gt;""),"débit ET crédit",IF(AND($H531="",$I531=""),"montant manquant",IF(ISNA(MATCH($D531,'Plan comptable'!$H:$H,0)),"compte hors plan",IF(AND($A531&lt;&gt;"",YEAR($A531)&lt;&gt;Exercice),"hors exercice","")))))</f>
      </c>
    </row>
    <row r="532">
      <c r="A532" s="13"/>
      <c r="B532" s="10"/>
      <c r="C532" s="9"/>
      <c r="D532" s="20"/>
      <c r="E532" s="9">
        <f>IF($D532="","",IFERROR(VLOOKUP($D532,'Plan comptable'!$H:$I,2,FALSE),"compte hors plan"))</f>
      </c>
      <c r="F532" s="9"/>
      <c r="G532" s="10"/>
      <c r="H532" s="11"/>
      <c r="I532" s="11"/>
      <c r="J532" s="10">
        <f>IF($D532="","",IF(AND($H532&lt;&gt;"",$I532&lt;&gt;""),"débit ET crédit",IF(AND($H532="",$I532=""),"montant manquant",IF(ISNA(MATCH($D532,'Plan comptable'!$H:$H,0)),"compte hors plan",IF(AND($A532&lt;&gt;"",YEAR($A532)&lt;&gt;Exercice),"hors exercice","")))))</f>
      </c>
    </row>
    <row r="533">
      <c r="A533" s="13"/>
      <c r="B533" s="10"/>
      <c r="C533" s="9"/>
      <c r="D533" s="20"/>
      <c r="E533" s="9">
        <f>IF($D533="","",IFERROR(VLOOKUP($D533,'Plan comptable'!$H:$I,2,FALSE),"compte hors plan"))</f>
      </c>
      <c r="F533" s="9"/>
      <c r="G533" s="10"/>
      <c r="H533" s="11"/>
      <c r="I533" s="11"/>
      <c r="J533" s="10">
        <f>IF($D533="","",IF(AND($H533&lt;&gt;"",$I533&lt;&gt;""),"débit ET crédit",IF(AND($H533="",$I533=""),"montant manquant",IF(ISNA(MATCH($D533,'Plan comptable'!$H:$H,0)),"compte hors plan",IF(AND($A533&lt;&gt;"",YEAR($A533)&lt;&gt;Exercice),"hors exercice","")))))</f>
      </c>
    </row>
    <row r="534">
      <c r="A534" s="13"/>
      <c r="B534" s="10"/>
      <c r="C534" s="9"/>
      <c r="D534" s="20"/>
      <c r="E534" s="9">
        <f>IF($D534="","",IFERROR(VLOOKUP($D534,'Plan comptable'!$H:$I,2,FALSE),"compte hors plan"))</f>
      </c>
      <c r="F534" s="9"/>
      <c r="G534" s="10"/>
      <c r="H534" s="11"/>
      <c r="I534" s="11"/>
      <c r="J534" s="10">
        <f>IF($D534="","",IF(AND($H534&lt;&gt;"",$I534&lt;&gt;""),"débit ET crédit",IF(AND($H534="",$I534=""),"montant manquant",IF(ISNA(MATCH($D534,'Plan comptable'!$H:$H,0)),"compte hors plan",IF(AND($A534&lt;&gt;"",YEAR($A534)&lt;&gt;Exercice),"hors exercice","")))))</f>
      </c>
    </row>
    <row r="535">
      <c r="A535" s="13"/>
      <c r="B535" s="10"/>
      <c r="C535" s="9"/>
      <c r="D535" s="20"/>
      <c r="E535" s="9">
        <f>IF($D535="","",IFERROR(VLOOKUP($D535,'Plan comptable'!$H:$I,2,FALSE),"compte hors plan"))</f>
      </c>
      <c r="F535" s="9"/>
      <c r="G535" s="10"/>
      <c r="H535" s="11"/>
      <c r="I535" s="11"/>
      <c r="J535" s="10">
        <f>IF($D535="","",IF(AND($H535&lt;&gt;"",$I535&lt;&gt;""),"débit ET crédit",IF(AND($H535="",$I535=""),"montant manquant",IF(ISNA(MATCH($D535,'Plan comptable'!$H:$H,0)),"compte hors plan",IF(AND($A535&lt;&gt;"",YEAR($A535)&lt;&gt;Exercice),"hors exercice","")))))</f>
      </c>
    </row>
    <row r="536">
      <c r="A536" s="13"/>
      <c r="B536" s="10"/>
      <c r="C536" s="9"/>
      <c r="D536" s="20"/>
      <c r="E536" s="9">
        <f>IF($D536="","",IFERROR(VLOOKUP($D536,'Plan comptable'!$H:$I,2,FALSE),"compte hors plan"))</f>
      </c>
      <c r="F536" s="9"/>
      <c r="G536" s="10"/>
      <c r="H536" s="11"/>
      <c r="I536" s="11"/>
      <c r="J536" s="10">
        <f>IF($D536="","",IF(AND($H536&lt;&gt;"",$I536&lt;&gt;""),"débit ET crédit",IF(AND($H536="",$I536=""),"montant manquant",IF(ISNA(MATCH($D536,'Plan comptable'!$H:$H,0)),"compte hors plan",IF(AND($A536&lt;&gt;"",YEAR($A536)&lt;&gt;Exercice),"hors exercice","")))))</f>
      </c>
    </row>
    <row r="537">
      <c r="A537" s="13"/>
      <c r="B537" s="10"/>
      <c r="C537" s="9"/>
      <c r="D537" s="20"/>
      <c r="E537" s="9">
        <f>IF($D537="","",IFERROR(VLOOKUP($D537,'Plan comptable'!$H:$I,2,FALSE),"compte hors plan"))</f>
      </c>
      <c r="F537" s="9"/>
      <c r="G537" s="10"/>
      <c r="H537" s="11"/>
      <c r="I537" s="11"/>
      <c r="J537" s="10">
        <f>IF($D537="","",IF(AND($H537&lt;&gt;"",$I537&lt;&gt;""),"débit ET crédit",IF(AND($H537="",$I537=""),"montant manquant",IF(ISNA(MATCH($D537,'Plan comptable'!$H:$H,0)),"compte hors plan",IF(AND($A537&lt;&gt;"",YEAR($A537)&lt;&gt;Exercice),"hors exercice","")))))</f>
      </c>
    </row>
    <row r="538">
      <c r="A538" s="13"/>
      <c r="B538" s="10"/>
      <c r="C538" s="9"/>
      <c r="D538" s="20"/>
      <c r="E538" s="9">
        <f>IF($D538="","",IFERROR(VLOOKUP($D538,'Plan comptable'!$H:$I,2,FALSE),"compte hors plan"))</f>
      </c>
      <c r="F538" s="9"/>
      <c r="G538" s="10"/>
      <c r="H538" s="11"/>
      <c r="I538" s="11"/>
      <c r="J538" s="10">
        <f>IF($D538="","",IF(AND($H538&lt;&gt;"",$I538&lt;&gt;""),"débit ET crédit",IF(AND($H538="",$I538=""),"montant manquant",IF(ISNA(MATCH($D538,'Plan comptable'!$H:$H,0)),"compte hors plan",IF(AND($A538&lt;&gt;"",YEAR($A538)&lt;&gt;Exercice),"hors exercice","")))))</f>
      </c>
    </row>
    <row r="539">
      <c r="A539" s="13"/>
      <c r="B539" s="10"/>
      <c r="C539" s="9"/>
      <c r="D539" s="20"/>
      <c r="E539" s="9">
        <f>IF($D539="","",IFERROR(VLOOKUP($D539,'Plan comptable'!$H:$I,2,FALSE),"compte hors plan"))</f>
      </c>
      <c r="F539" s="9"/>
      <c r="G539" s="10"/>
      <c r="H539" s="11"/>
      <c r="I539" s="11"/>
      <c r="J539" s="10">
        <f>IF($D539="","",IF(AND($H539&lt;&gt;"",$I539&lt;&gt;""),"débit ET crédit",IF(AND($H539="",$I539=""),"montant manquant",IF(ISNA(MATCH($D539,'Plan comptable'!$H:$H,0)),"compte hors plan",IF(AND($A539&lt;&gt;"",YEAR($A539)&lt;&gt;Exercice),"hors exercice","")))))</f>
      </c>
    </row>
    <row r="540">
      <c r="A540" s="13"/>
      <c r="B540" s="10"/>
      <c r="C540" s="9"/>
      <c r="D540" s="20"/>
      <c r="E540" s="9">
        <f>IF($D540="","",IFERROR(VLOOKUP($D540,'Plan comptable'!$H:$I,2,FALSE),"compte hors plan"))</f>
      </c>
      <c r="F540" s="9"/>
      <c r="G540" s="10"/>
      <c r="H540" s="11"/>
      <c r="I540" s="11"/>
      <c r="J540" s="10">
        <f>IF($D540="","",IF(AND($H540&lt;&gt;"",$I540&lt;&gt;""),"débit ET crédit",IF(AND($H540="",$I540=""),"montant manquant",IF(ISNA(MATCH($D540,'Plan comptable'!$H:$H,0)),"compte hors plan",IF(AND($A540&lt;&gt;"",YEAR($A540)&lt;&gt;Exercice),"hors exercice","")))))</f>
      </c>
    </row>
    <row r="541">
      <c r="A541" s="13"/>
      <c r="B541" s="10"/>
      <c r="C541" s="9"/>
      <c r="D541" s="20"/>
      <c r="E541" s="9">
        <f>IF($D541="","",IFERROR(VLOOKUP($D541,'Plan comptable'!$H:$I,2,FALSE),"compte hors plan"))</f>
      </c>
      <c r="F541" s="9"/>
      <c r="G541" s="10"/>
      <c r="H541" s="11"/>
      <c r="I541" s="11"/>
      <c r="J541" s="10">
        <f>IF($D541="","",IF(AND($H541&lt;&gt;"",$I541&lt;&gt;""),"débit ET crédit",IF(AND($H541="",$I541=""),"montant manquant",IF(ISNA(MATCH($D541,'Plan comptable'!$H:$H,0)),"compte hors plan",IF(AND($A541&lt;&gt;"",YEAR($A541)&lt;&gt;Exercice),"hors exercice","")))))</f>
      </c>
    </row>
    <row r="542">
      <c r="A542" s="13"/>
      <c r="B542" s="10"/>
      <c r="C542" s="9"/>
      <c r="D542" s="20"/>
      <c r="E542" s="9">
        <f>IF($D542="","",IFERROR(VLOOKUP($D542,'Plan comptable'!$H:$I,2,FALSE),"compte hors plan"))</f>
      </c>
      <c r="F542" s="9"/>
      <c r="G542" s="10"/>
      <c r="H542" s="11"/>
      <c r="I542" s="11"/>
      <c r="J542" s="10">
        <f>IF($D542="","",IF(AND($H542&lt;&gt;"",$I542&lt;&gt;""),"débit ET crédit",IF(AND($H542="",$I542=""),"montant manquant",IF(ISNA(MATCH($D542,'Plan comptable'!$H:$H,0)),"compte hors plan",IF(AND($A542&lt;&gt;"",YEAR($A542)&lt;&gt;Exercice),"hors exercice","")))))</f>
      </c>
    </row>
    <row r="543">
      <c r="A543" s="13"/>
      <c r="B543" s="10"/>
      <c r="C543" s="9"/>
      <c r="D543" s="20"/>
      <c r="E543" s="9">
        <f>IF($D543="","",IFERROR(VLOOKUP($D543,'Plan comptable'!$H:$I,2,FALSE),"compte hors plan"))</f>
      </c>
      <c r="F543" s="9"/>
      <c r="G543" s="10"/>
      <c r="H543" s="11"/>
      <c r="I543" s="11"/>
      <c r="J543" s="10">
        <f>IF($D543="","",IF(AND($H543&lt;&gt;"",$I543&lt;&gt;""),"débit ET crédit",IF(AND($H543="",$I543=""),"montant manquant",IF(ISNA(MATCH($D543,'Plan comptable'!$H:$H,0)),"compte hors plan",IF(AND($A543&lt;&gt;"",YEAR($A543)&lt;&gt;Exercice),"hors exercice","")))))</f>
      </c>
    </row>
    <row r="544">
      <c r="A544" s="13"/>
      <c r="B544" s="10"/>
      <c r="C544" s="9"/>
      <c r="D544" s="20"/>
      <c r="E544" s="9">
        <f>IF($D544="","",IFERROR(VLOOKUP($D544,'Plan comptable'!$H:$I,2,FALSE),"compte hors plan"))</f>
      </c>
      <c r="F544" s="9"/>
      <c r="G544" s="10"/>
      <c r="H544" s="11"/>
      <c r="I544" s="11"/>
      <c r="J544" s="10">
        <f>IF($D544="","",IF(AND($H544&lt;&gt;"",$I544&lt;&gt;""),"débit ET crédit",IF(AND($H544="",$I544=""),"montant manquant",IF(ISNA(MATCH($D544,'Plan comptable'!$H:$H,0)),"compte hors plan",IF(AND($A544&lt;&gt;"",YEAR($A544)&lt;&gt;Exercice),"hors exercice","")))))</f>
      </c>
    </row>
    <row r="545">
      <c r="A545" s="13"/>
      <c r="B545" s="10"/>
      <c r="C545" s="9"/>
      <c r="D545" s="20"/>
      <c r="E545" s="9">
        <f>IF($D545="","",IFERROR(VLOOKUP($D545,'Plan comptable'!$H:$I,2,FALSE),"compte hors plan"))</f>
      </c>
      <c r="F545" s="9"/>
      <c r="G545" s="10"/>
      <c r="H545" s="11"/>
      <c r="I545" s="11"/>
      <c r="J545" s="10">
        <f>IF($D545="","",IF(AND($H545&lt;&gt;"",$I545&lt;&gt;""),"débit ET crédit",IF(AND($H545="",$I545=""),"montant manquant",IF(ISNA(MATCH($D545,'Plan comptable'!$H:$H,0)),"compte hors plan",IF(AND($A545&lt;&gt;"",YEAR($A545)&lt;&gt;Exercice),"hors exercice","")))))</f>
      </c>
    </row>
    <row r="546">
      <c r="A546" s="13"/>
      <c r="B546" s="10"/>
      <c r="C546" s="9"/>
      <c r="D546" s="20"/>
      <c r="E546" s="9">
        <f>IF($D546="","",IFERROR(VLOOKUP($D546,'Plan comptable'!$H:$I,2,FALSE),"compte hors plan"))</f>
      </c>
      <c r="F546" s="9"/>
      <c r="G546" s="10"/>
      <c r="H546" s="11"/>
      <c r="I546" s="11"/>
      <c r="J546" s="10">
        <f>IF($D546="","",IF(AND($H546&lt;&gt;"",$I546&lt;&gt;""),"débit ET crédit",IF(AND($H546="",$I546=""),"montant manquant",IF(ISNA(MATCH($D546,'Plan comptable'!$H:$H,0)),"compte hors plan",IF(AND($A546&lt;&gt;"",YEAR($A546)&lt;&gt;Exercice),"hors exercice","")))))</f>
      </c>
    </row>
    <row r="547">
      <c r="A547" s="13"/>
      <c r="B547" s="10"/>
      <c r="C547" s="9"/>
      <c r="D547" s="20"/>
      <c r="E547" s="9">
        <f>IF($D547="","",IFERROR(VLOOKUP($D547,'Plan comptable'!$H:$I,2,FALSE),"compte hors plan"))</f>
      </c>
      <c r="F547" s="9"/>
      <c r="G547" s="10"/>
      <c r="H547" s="11"/>
      <c r="I547" s="11"/>
      <c r="J547" s="10">
        <f>IF($D547="","",IF(AND($H547&lt;&gt;"",$I547&lt;&gt;""),"débit ET crédit",IF(AND($H547="",$I547=""),"montant manquant",IF(ISNA(MATCH($D547,'Plan comptable'!$H:$H,0)),"compte hors plan",IF(AND($A547&lt;&gt;"",YEAR($A547)&lt;&gt;Exercice),"hors exercice","")))))</f>
      </c>
    </row>
    <row r="548">
      <c r="A548" s="13"/>
      <c r="B548" s="10"/>
      <c r="C548" s="9"/>
      <c r="D548" s="20"/>
      <c r="E548" s="9">
        <f>IF($D548="","",IFERROR(VLOOKUP($D548,'Plan comptable'!$H:$I,2,FALSE),"compte hors plan"))</f>
      </c>
      <c r="F548" s="9"/>
      <c r="G548" s="10"/>
      <c r="H548" s="11"/>
      <c r="I548" s="11"/>
      <c r="J548" s="10">
        <f>IF($D548="","",IF(AND($H548&lt;&gt;"",$I548&lt;&gt;""),"débit ET crédit",IF(AND($H548="",$I548=""),"montant manquant",IF(ISNA(MATCH($D548,'Plan comptable'!$H:$H,0)),"compte hors plan",IF(AND($A548&lt;&gt;"",YEAR($A548)&lt;&gt;Exercice),"hors exercice","")))))</f>
      </c>
    </row>
    <row r="549">
      <c r="A549" s="13"/>
      <c r="B549" s="10"/>
      <c r="C549" s="9"/>
      <c r="D549" s="20"/>
      <c r="E549" s="9">
        <f>IF($D549="","",IFERROR(VLOOKUP($D549,'Plan comptable'!$H:$I,2,FALSE),"compte hors plan"))</f>
      </c>
      <c r="F549" s="9"/>
      <c r="G549" s="10"/>
      <c r="H549" s="11"/>
      <c r="I549" s="11"/>
      <c r="J549" s="10">
        <f>IF($D549="","",IF(AND($H549&lt;&gt;"",$I549&lt;&gt;""),"débit ET crédit",IF(AND($H549="",$I549=""),"montant manquant",IF(ISNA(MATCH($D549,'Plan comptable'!$H:$H,0)),"compte hors plan",IF(AND($A549&lt;&gt;"",YEAR($A549)&lt;&gt;Exercice),"hors exercice","")))))</f>
      </c>
    </row>
    <row r="550">
      <c r="A550" s="13"/>
      <c r="B550" s="10"/>
      <c r="C550" s="9"/>
      <c r="D550" s="20"/>
      <c r="E550" s="9">
        <f>IF($D550="","",IFERROR(VLOOKUP($D550,'Plan comptable'!$H:$I,2,FALSE),"compte hors plan"))</f>
      </c>
      <c r="F550" s="9"/>
      <c r="G550" s="10"/>
      <c r="H550" s="11"/>
      <c r="I550" s="11"/>
      <c r="J550" s="10">
        <f>IF($D550="","",IF(AND($H550&lt;&gt;"",$I550&lt;&gt;""),"débit ET crédit",IF(AND($H550="",$I550=""),"montant manquant",IF(ISNA(MATCH($D550,'Plan comptable'!$H:$H,0)),"compte hors plan",IF(AND($A550&lt;&gt;"",YEAR($A550)&lt;&gt;Exercice),"hors exercice","")))))</f>
      </c>
    </row>
    <row r="551">
      <c r="A551" s="13"/>
      <c r="B551" s="10"/>
      <c r="C551" s="9"/>
      <c r="D551" s="20"/>
      <c r="E551" s="9">
        <f>IF($D551="","",IFERROR(VLOOKUP($D551,'Plan comptable'!$H:$I,2,FALSE),"compte hors plan"))</f>
      </c>
      <c r="F551" s="9"/>
      <c r="G551" s="10"/>
      <c r="H551" s="11"/>
      <c r="I551" s="11"/>
      <c r="J551" s="10">
        <f>IF($D551="","",IF(AND($H551&lt;&gt;"",$I551&lt;&gt;""),"débit ET crédit",IF(AND($H551="",$I551=""),"montant manquant",IF(ISNA(MATCH($D551,'Plan comptable'!$H:$H,0)),"compte hors plan",IF(AND($A551&lt;&gt;"",YEAR($A551)&lt;&gt;Exercice),"hors exercice","")))))</f>
      </c>
    </row>
    <row r="552">
      <c r="A552" s="13"/>
      <c r="B552" s="10"/>
      <c r="C552" s="9"/>
      <c r="D552" s="20"/>
      <c r="E552" s="9">
        <f>IF($D552="","",IFERROR(VLOOKUP($D552,'Plan comptable'!$H:$I,2,FALSE),"compte hors plan"))</f>
      </c>
      <c r="F552" s="9"/>
      <c r="G552" s="10"/>
      <c r="H552" s="11"/>
      <c r="I552" s="11"/>
      <c r="J552" s="10">
        <f>IF($D552="","",IF(AND($H552&lt;&gt;"",$I552&lt;&gt;""),"débit ET crédit",IF(AND($H552="",$I552=""),"montant manquant",IF(ISNA(MATCH($D552,'Plan comptable'!$H:$H,0)),"compte hors plan",IF(AND($A552&lt;&gt;"",YEAR($A552)&lt;&gt;Exercice),"hors exercice","")))))</f>
      </c>
    </row>
    <row r="553">
      <c r="A553" s="13"/>
      <c r="B553" s="10"/>
      <c r="C553" s="9"/>
      <c r="D553" s="20"/>
      <c r="E553" s="9">
        <f>IF($D553="","",IFERROR(VLOOKUP($D553,'Plan comptable'!$H:$I,2,FALSE),"compte hors plan"))</f>
      </c>
      <c r="F553" s="9"/>
      <c r="G553" s="10"/>
      <c r="H553" s="11"/>
      <c r="I553" s="11"/>
      <c r="J553" s="10">
        <f>IF($D553="","",IF(AND($H553&lt;&gt;"",$I553&lt;&gt;""),"débit ET crédit",IF(AND($H553="",$I553=""),"montant manquant",IF(ISNA(MATCH($D553,'Plan comptable'!$H:$H,0)),"compte hors plan",IF(AND($A553&lt;&gt;"",YEAR($A553)&lt;&gt;Exercice),"hors exercice","")))))</f>
      </c>
    </row>
    <row r="554">
      <c r="A554" s="13"/>
      <c r="B554" s="10"/>
      <c r="C554" s="9"/>
      <c r="D554" s="20"/>
      <c r="E554" s="9">
        <f>IF($D554="","",IFERROR(VLOOKUP($D554,'Plan comptable'!$H:$I,2,FALSE),"compte hors plan"))</f>
      </c>
      <c r="F554" s="9"/>
      <c r="G554" s="10"/>
      <c r="H554" s="11"/>
      <c r="I554" s="11"/>
      <c r="J554" s="10">
        <f>IF($D554="","",IF(AND($H554&lt;&gt;"",$I554&lt;&gt;""),"débit ET crédit",IF(AND($H554="",$I554=""),"montant manquant",IF(ISNA(MATCH($D554,'Plan comptable'!$H:$H,0)),"compte hors plan",IF(AND($A554&lt;&gt;"",YEAR($A554)&lt;&gt;Exercice),"hors exercice","")))))</f>
      </c>
    </row>
    <row r="555">
      <c r="A555" s="13"/>
      <c r="B555" s="10"/>
      <c r="C555" s="9"/>
      <c r="D555" s="20"/>
      <c r="E555" s="9">
        <f>IF($D555="","",IFERROR(VLOOKUP($D555,'Plan comptable'!$H:$I,2,FALSE),"compte hors plan"))</f>
      </c>
      <c r="F555" s="9"/>
      <c r="G555" s="10"/>
      <c r="H555" s="11"/>
      <c r="I555" s="11"/>
      <c r="J555" s="10">
        <f>IF($D555="","",IF(AND($H555&lt;&gt;"",$I555&lt;&gt;""),"débit ET crédit",IF(AND($H555="",$I555=""),"montant manquant",IF(ISNA(MATCH($D555,'Plan comptable'!$H:$H,0)),"compte hors plan",IF(AND($A555&lt;&gt;"",YEAR($A555)&lt;&gt;Exercice),"hors exercice","")))))</f>
      </c>
    </row>
    <row r="556">
      <c r="A556" s="13"/>
      <c r="B556" s="10"/>
      <c r="C556" s="9"/>
      <c r="D556" s="20"/>
      <c r="E556" s="9">
        <f>IF($D556="","",IFERROR(VLOOKUP($D556,'Plan comptable'!$H:$I,2,FALSE),"compte hors plan"))</f>
      </c>
      <c r="F556" s="9"/>
      <c r="G556" s="10"/>
      <c r="H556" s="11"/>
      <c r="I556" s="11"/>
      <c r="J556" s="10">
        <f>IF($D556="","",IF(AND($H556&lt;&gt;"",$I556&lt;&gt;""),"débit ET crédit",IF(AND($H556="",$I556=""),"montant manquant",IF(ISNA(MATCH($D556,'Plan comptable'!$H:$H,0)),"compte hors plan",IF(AND($A556&lt;&gt;"",YEAR($A556)&lt;&gt;Exercice),"hors exercice","")))))</f>
      </c>
    </row>
    <row r="557">
      <c r="A557" s="13"/>
      <c r="B557" s="10"/>
      <c r="C557" s="9"/>
      <c r="D557" s="20"/>
      <c r="E557" s="9">
        <f>IF($D557="","",IFERROR(VLOOKUP($D557,'Plan comptable'!$H:$I,2,FALSE),"compte hors plan"))</f>
      </c>
      <c r="F557" s="9"/>
      <c r="G557" s="10"/>
      <c r="H557" s="11"/>
      <c r="I557" s="11"/>
      <c r="J557" s="10">
        <f>IF($D557="","",IF(AND($H557&lt;&gt;"",$I557&lt;&gt;""),"débit ET crédit",IF(AND($H557="",$I557=""),"montant manquant",IF(ISNA(MATCH($D557,'Plan comptable'!$H:$H,0)),"compte hors plan",IF(AND($A557&lt;&gt;"",YEAR($A557)&lt;&gt;Exercice),"hors exercice","")))))</f>
      </c>
    </row>
    <row r="558">
      <c r="A558" s="13"/>
      <c r="B558" s="10"/>
      <c r="C558" s="9"/>
      <c r="D558" s="20"/>
      <c r="E558" s="9">
        <f>IF($D558="","",IFERROR(VLOOKUP($D558,'Plan comptable'!$H:$I,2,FALSE),"compte hors plan"))</f>
      </c>
      <c r="F558" s="9"/>
      <c r="G558" s="10"/>
      <c r="H558" s="11"/>
      <c r="I558" s="11"/>
      <c r="J558" s="10">
        <f>IF($D558="","",IF(AND($H558&lt;&gt;"",$I558&lt;&gt;""),"débit ET crédit",IF(AND($H558="",$I558=""),"montant manquant",IF(ISNA(MATCH($D558,'Plan comptable'!$H:$H,0)),"compte hors plan",IF(AND($A558&lt;&gt;"",YEAR($A558)&lt;&gt;Exercice),"hors exercice","")))))</f>
      </c>
    </row>
    <row r="559">
      <c r="A559" s="13"/>
      <c r="B559" s="10"/>
      <c r="C559" s="9"/>
      <c r="D559" s="20"/>
      <c r="E559" s="9">
        <f>IF($D559="","",IFERROR(VLOOKUP($D559,'Plan comptable'!$H:$I,2,FALSE),"compte hors plan"))</f>
      </c>
      <c r="F559" s="9"/>
      <c r="G559" s="10"/>
      <c r="H559" s="11"/>
      <c r="I559" s="11"/>
      <c r="J559" s="10">
        <f>IF($D559="","",IF(AND($H559&lt;&gt;"",$I559&lt;&gt;""),"débit ET crédit",IF(AND($H559="",$I559=""),"montant manquant",IF(ISNA(MATCH($D559,'Plan comptable'!$H:$H,0)),"compte hors plan",IF(AND($A559&lt;&gt;"",YEAR($A559)&lt;&gt;Exercice),"hors exercice","")))))</f>
      </c>
    </row>
    <row r="560">
      <c r="A560" s="13"/>
      <c r="B560" s="10"/>
      <c r="C560" s="9"/>
      <c r="D560" s="20"/>
      <c r="E560" s="9">
        <f>IF($D560="","",IFERROR(VLOOKUP($D560,'Plan comptable'!$H:$I,2,FALSE),"compte hors plan"))</f>
      </c>
      <c r="F560" s="9"/>
      <c r="G560" s="10"/>
      <c r="H560" s="11"/>
      <c r="I560" s="11"/>
      <c r="J560" s="10">
        <f>IF($D560="","",IF(AND($H560&lt;&gt;"",$I560&lt;&gt;""),"débit ET crédit",IF(AND($H560="",$I560=""),"montant manquant",IF(ISNA(MATCH($D560,'Plan comptable'!$H:$H,0)),"compte hors plan",IF(AND($A560&lt;&gt;"",YEAR($A560)&lt;&gt;Exercice),"hors exercice","")))))</f>
      </c>
    </row>
    <row r="561">
      <c r="A561" s="13"/>
      <c r="B561" s="10"/>
      <c r="C561" s="9"/>
      <c r="D561" s="20"/>
      <c r="E561" s="9">
        <f>IF($D561="","",IFERROR(VLOOKUP($D561,'Plan comptable'!$H:$I,2,FALSE),"compte hors plan"))</f>
      </c>
      <c r="F561" s="9"/>
      <c r="G561" s="10"/>
      <c r="H561" s="11"/>
      <c r="I561" s="11"/>
      <c r="J561" s="10">
        <f>IF($D561="","",IF(AND($H561&lt;&gt;"",$I561&lt;&gt;""),"débit ET crédit",IF(AND($H561="",$I561=""),"montant manquant",IF(ISNA(MATCH($D561,'Plan comptable'!$H:$H,0)),"compte hors plan",IF(AND($A561&lt;&gt;"",YEAR($A561)&lt;&gt;Exercice),"hors exercice","")))))</f>
      </c>
    </row>
    <row r="562">
      <c r="A562" s="13"/>
      <c r="B562" s="10"/>
      <c r="C562" s="9"/>
      <c r="D562" s="20"/>
      <c r="E562" s="9">
        <f>IF($D562="","",IFERROR(VLOOKUP($D562,'Plan comptable'!$H:$I,2,FALSE),"compte hors plan"))</f>
      </c>
      <c r="F562" s="9"/>
      <c r="G562" s="10"/>
      <c r="H562" s="11"/>
      <c r="I562" s="11"/>
      <c r="J562" s="10">
        <f>IF($D562="","",IF(AND($H562&lt;&gt;"",$I562&lt;&gt;""),"débit ET crédit",IF(AND($H562="",$I562=""),"montant manquant",IF(ISNA(MATCH($D562,'Plan comptable'!$H:$H,0)),"compte hors plan",IF(AND($A562&lt;&gt;"",YEAR($A562)&lt;&gt;Exercice),"hors exercice","")))))</f>
      </c>
    </row>
    <row r="563">
      <c r="A563" s="13"/>
      <c r="B563" s="10"/>
      <c r="C563" s="9"/>
      <c r="D563" s="20"/>
      <c r="E563" s="9">
        <f>IF($D563="","",IFERROR(VLOOKUP($D563,'Plan comptable'!$H:$I,2,FALSE),"compte hors plan"))</f>
      </c>
      <c r="F563" s="9"/>
      <c r="G563" s="10"/>
      <c r="H563" s="11"/>
      <c r="I563" s="11"/>
      <c r="J563" s="10">
        <f>IF($D563="","",IF(AND($H563&lt;&gt;"",$I563&lt;&gt;""),"débit ET crédit",IF(AND($H563="",$I563=""),"montant manquant",IF(ISNA(MATCH($D563,'Plan comptable'!$H:$H,0)),"compte hors plan",IF(AND($A563&lt;&gt;"",YEAR($A563)&lt;&gt;Exercice),"hors exercice","")))))</f>
      </c>
    </row>
    <row r="564">
      <c r="A564" s="13"/>
      <c r="B564" s="10"/>
      <c r="C564" s="9"/>
      <c r="D564" s="20"/>
      <c r="E564" s="9">
        <f>IF($D564="","",IFERROR(VLOOKUP($D564,'Plan comptable'!$H:$I,2,FALSE),"compte hors plan"))</f>
      </c>
      <c r="F564" s="9"/>
      <c r="G564" s="10"/>
      <c r="H564" s="11"/>
      <c r="I564" s="11"/>
      <c r="J564" s="10">
        <f>IF($D564="","",IF(AND($H564&lt;&gt;"",$I564&lt;&gt;""),"débit ET crédit",IF(AND($H564="",$I564=""),"montant manquant",IF(ISNA(MATCH($D564,'Plan comptable'!$H:$H,0)),"compte hors plan",IF(AND($A564&lt;&gt;"",YEAR($A564)&lt;&gt;Exercice),"hors exercice","")))))</f>
      </c>
    </row>
    <row r="565">
      <c r="A565" s="13"/>
      <c r="B565" s="10"/>
      <c r="C565" s="9"/>
      <c r="D565" s="20"/>
      <c r="E565" s="9">
        <f>IF($D565="","",IFERROR(VLOOKUP($D565,'Plan comptable'!$H:$I,2,FALSE),"compte hors plan"))</f>
      </c>
      <c r="F565" s="9"/>
      <c r="G565" s="10"/>
      <c r="H565" s="11"/>
      <c r="I565" s="11"/>
      <c r="J565" s="10">
        <f>IF($D565="","",IF(AND($H565&lt;&gt;"",$I565&lt;&gt;""),"débit ET crédit",IF(AND($H565="",$I565=""),"montant manquant",IF(ISNA(MATCH($D565,'Plan comptable'!$H:$H,0)),"compte hors plan",IF(AND($A565&lt;&gt;"",YEAR($A565)&lt;&gt;Exercice),"hors exercice","")))))</f>
      </c>
    </row>
    <row r="566">
      <c r="A566" s="13"/>
      <c r="B566" s="10"/>
      <c r="C566" s="9"/>
      <c r="D566" s="20"/>
      <c r="E566" s="9">
        <f>IF($D566="","",IFERROR(VLOOKUP($D566,'Plan comptable'!$H:$I,2,FALSE),"compte hors plan"))</f>
      </c>
      <c r="F566" s="9"/>
      <c r="G566" s="10"/>
      <c r="H566" s="11"/>
      <c r="I566" s="11"/>
      <c r="J566" s="10">
        <f>IF($D566="","",IF(AND($H566&lt;&gt;"",$I566&lt;&gt;""),"débit ET crédit",IF(AND($H566="",$I566=""),"montant manquant",IF(ISNA(MATCH($D566,'Plan comptable'!$H:$H,0)),"compte hors plan",IF(AND($A566&lt;&gt;"",YEAR($A566)&lt;&gt;Exercice),"hors exercice","")))))</f>
      </c>
    </row>
    <row r="567">
      <c r="A567" s="13"/>
      <c r="B567" s="10"/>
      <c r="C567" s="9"/>
      <c r="D567" s="20"/>
      <c r="E567" s="9">
        <f>IF($D567="","",IFERROR(VLOOKUP($D567,'Plan comptable'!$H:$I,2,FALSE),"compte hors plan"))</f>
      </c>
      <c r="F567" s="9"/>
      <c r="G567" s="10"/>
      <c r="H567" s="11"/>
      <c r="I567" s="11"/>
      <c r="J567" s="10">
        <f>IF($D567="","",IF(AND($H567&lt;&gt;"",$I567&lt;&gt;""),"débit ET crédit",IF(AND($H567="",$I567=""),"montant manquant",IF(ISNA(MATCH($D567,'Plan comptable'!$H:$H,0)),"compte hors plan",IF(AND($A567&lt;&gt;"",YEAR($A567)&lt;&gt;Exercice),"hors exercice","")))))</f>
      </c>
    </row>
    <row r="568">
      <c r="A568" s="13"/>
      <c r="B568" s="10"/>
      <c r="C568" s="9"/>
      <c r="D568" s="20"/>
      <c r="E568" s="9">
        <f>IF($D568="","",IFERROR(VLOOKUP($D568,'Plan comptable'!$H:$I,2,FALSE),"compte hors plan"))</f>
      </c>
      <c r="F568" s="9"/>
      <c r="G568" s="10"/>
      <c r="H568" s="11"/>
      <c r="I568" s="11"/>
      <c r="J568" s="10">
        <f>IF($D568="","",IF(AND($H568&lt;&gt;"",$I568&lt;&gt;""),"débit ET crédit",IF(AND($H568="",$I568=""),"montant manquant",IF(ISNA(MATCH($D568,'Plan comptable'!$H:$H,0)),"compte hors plan",IF(AND($A568&lt;&gt;"",YEAR($A568)&lt;&gt;Exercice),"hors exercice","")))))</f>
      </c>
    </row>
    <row r="569">
      <c r="A569" s="13"/>
      <c r="B569" s="10"/>
      <c r="C569" s="9"/>
      <c r="D569" s="20"/>
      <c r="E569" s="9">
        <f>IF($D569="","",IFERROR(VLOOKUP($D569,'Plan comptable'!$H:$I,2,FALSE),"compte hors plan"))</f>
      </c>
      <c r="F569" s="9"/>
      <c r="G569" s="10"/>
      <c r="H569" s="11"/>
      <c r="I569" s="11"/>
      <c r="J569" s="10">
        <f>IF($D569="","",IF(AND($H569&lt;&gt;"",$I569&lt;&gt;""),"débit ET crédit",IF(AND($H569="",$I569=""),"montant manquant",IF(ISNA(MATCH($D569,'Plan comptable'!$H:$H,0)),"compte hors plan",IF(AND($A569&lt;&gt;"",YEAR($A569)&lt;&gt;Exercice),"hors exercice","")))))</f>
      </c>
    </row>
    <row r="570">
      <c r="A570" s="13"/>
      <c r="B570" s="10"/>
      <c r="C570" s="9"/>
      <c r="D570" s="20"/>
      <c r="E570" s="9">
        <f>IF($D570="","",IFERROR(VLOOKUP($D570,'Plan comptable'!$H:$I,2,FALSE),"compte hors plan"))</f>
      </c>
      <c r="F570" s="9"/>
      <c r="G570" s="10"/>
      <c r="H570" s="11"/>
      <c r="I570" s="11"/>
      <c r="J570" s="10">
        <f>IF($D570="","",IF(AND($H570&lt;&gt;"",$I570&lt;&gt;""),"débit ET crédit",IF(AND($H570="",$I570=""),"montant manquant",IF(ISNA(MATCH($D570,'Plan comptable'!$H:$H,0)),"compte hors plan",IF(AND($A570&lt;&gt;"",YEAR($A570)&lt;&gt;Exercice),"hors exercice","")))))</f>
      </c>
    </row>
    <row r="571">
      <c r="A571" s="13"/>
      <c r="B571" s="10"/>
      <c r="C571" s="9"/>
      <c r="D571" s="20"/>
      <c r="E571" s="9">
        <f>IF($D571="","",IFERROR(VLOOKUP($D571,'Plan comptable'!$H:$I,2,FALSE),"compte hors plan"))</f>
      </c>
      <c r="F571" s="9"/>
      <c r="G571" s="10"/>
      <c r="H571" s="11"/>
      <c r="I571" s="11"/>
      <c r="J571" s="10">
        <f>IF($D571="","",IF(AND($H571&lt;&gt;"",$I571&lt;&gt;""),"débit ET crédit",IF(AND($H571="",$I571=""),"montant manquant",IF(ISNA(MATCH($D571,'Plan comptable'!$H:$H,0)),"compte hors plan",IF(AND($A571&lt;&gt;"",YEAR($A571)&lt;&gt;Exercice),"hors exercice","")))))</f>
      </c>
    </row>
    <row r="572">
      <c r="A572" s="13"/>
      <c r="B572" s="10"/>
      <c r="C572" s="9"/>
      <c r="D572" s="20"/>
      <c r="E572" s="9">
        <f>IF($D572="","",IFERROR(VLOOKUP($D572,'Plan comptable'!$H:$I,2,FALSE),"compte hors plan"))</f>
      </c>
      <c r="F572" s="9"/>
      <c r="G572" s="10"/>
      <c r="H572" s="11"/>
      <c r="I572" s="11"/>
      <c r="J572" s="10">
        <f>IF($D572="","",IF(AND($H572&lt;&gt;"",$I572&lt;&gt;""),"débit ET crédit",IF(AND($H572="",$I572=""),"montant manquant",IF(ISNA(MATCH($D572,'Plan comptable'!$H:$H,0)),"compte hors plan",IF(AND($A572&lt;&gt;"",YEAR($A572)&lt;&gt;Exercice),"hors exercice","")))))</f>
      </c>
    </row>
    <row r="573">
      <c r="A573" s="13"/>
      <c r="B573" s="10"/>
      <c r="C573" s="9"/>
      <c r="D573" s="20"/>
      <c r="E573" s="9">
        <f>IF($D573="","",IFERROR(VLOOKUP($D573,'Plan comptable'!$H:$I,2,FALSE),"compte hors plan"))</f>
      </c>
      <c r="F573" s="9"/>
      <c r="G573" s="10"/>
      <c r="H573" s="11"/>
      <c r="I573" s="11"/>
      <c r="J573" s="10">
        <f>IF($D573="","",IF(AND($H573&lt;&gt;"",$I573&lt;&gt;""),"débit ET crédit",IF(AND($H573="",$I573=""),"montant manquant",IF(ISNA(MATCH($D573,'Plan comptable'!$H:$H,0)),"compte hors plan",IF(AND($A573&lt;&gt;"",YEAR($A573)&lt;&gt;Exercice),"hors exercice","")))))</f>
      </c>
    </row>
    <row r="574">
      <c r="A574" s="13"/>
      <c r="B574" s="10"/>
      <c r="C574" s="9"/>
      <c r="D574" s="20"/>
      <c r="E574" s="9">
        <f>IF($D574="","",IFERROR(VLOOKUP($D574,'Plan comptable'!$H:$I,2,FALSE),"compte hors plan"))</f>
      </c>
      <c r="F574" s="9"/>
      <c r="G574" s="10"/>
      <c r="H574" s="11"/>
      <c r="I574" s="11"/>
      <c r="J574" s="10">
        <f>IF($D574="","",IF(AND($H574&lt;&gt;"",$I574&lt;&gt;""),"débit ET crédit",IF(AND($H574="",$I574=""),"montant manquant",IF(ISNA(MATCH($D574,'Plan comptable'!$H:$H,0)),"compte hors plan",IF(AND($A574&lt;&gt;"",YEAR($A574)&lt;&gt;Exercice),"hors exercice","")))))</f>
      </c>
    </row>
    <row r="575">
      <c r="A575" s="13"/>
      <c r="B575" s="10"/>
      <c r="C575" s="9"/>
      <c r="D575" s="20"/>
      <c r="E575" s="9">
        <f>IF($D575="","",IFERROR(VLOOKUP($D575,'Plan comptable'!$H:$I,2,FALSE),"compte hors plan"))</f>
      </c>
      <c r="F575" s="9"/>
      <c r="G575" s="10"/>
      <c r="H575" s="11"/>
      <c r="I575" s="11"/>
      <c r="J575" s="10">
        <f>IF($D575="","",IF(AND($H575&lt;&gt;"",$I575&lt;&gt;""),"débit ET crédit",IF(AND($H575="",$I575=""),"montant manquant",IF(ISNA(MATCH($D575,'Plan comptable'!$H:$H,0)),"compte hors plan",IF(AND($A575&lt;&gt;"",YEAR($A575)&lt;&gt;Exercice),"hors exercice","")))))</f>
      </c>
    </row>
    <row r="576">
      <c r="A576" s="13"/>
      <c r="B576" s="10"/>
      <c r="C576" s="9"/>
      <c r="D576" s="20"/>
      <c r="E576" s="9">
        <f>IF($D576="","",IFERROR(VLOOKUP($D576,'Plan comptable'!$H:$I,2,FALSE),"compte hors plan"))</f>
      </c>
      <c r="F576" s="9"/>
      <c r="G576" s="10"/>
      <c r="H576" s="11"/>
      <c r="I576" s="11"/>
      <c r="J576" s="10">
        <f>IF($D576="","",IF(AND($H576&lt;&gt;"",$I576&lt;&gt;""),"débit ET crédit",IF(AND($H576="",$I576=""),"montant manquant",IF(ISNA(MATCH($D576,'Plan comptable'!$H:$H,0)),"compte hors plan",IF(AND($A576&lt;&gt;"",YEAR($A576)&lt;&gt;Exercice),"hors exercice","")))))</f>
      </c>
    </row>
    <row r="577">
      <c r="A577" s="13"/>
      <c r="B577" s="10"/>
      <c r="C577" s="9"/>
      <c r="D577" s="20"/>
      <c r="E577" s="9">
        <f>IF($D577="","",IFERROR(VLOOKUP($D577,'Plan comptable'!$H:$I,2,FALSE),"compte hors plan"))</f>
      </c>
      <c r="F577" s="9"/>
      <c r="G577" s="10"/>
      <c r="H577" s="11"/>
      <c r="I577" s="11"/>
      <c r="J577" s="10">
        <f>IF($D577="","",IF(AND($H577&lt;&gt;"",$I577&lt;&gt;""),"débit ET crédit",IF(AND($H577="",$I577=""),"montant manquant",IF(ISNA(MATCH($D577,'Plan comptable'!$H:$H,0)),"compte hors plan",IF(AND($A577&lt;&gt;"",YEAR($A577)&lt;&gt;Exercice),"hors exercice","")))))</f>
      </c>
    </row>
    <row r="578">
      <c r="A578" s="13"/>
      <c r="B578" s="10"/>
      <c r="C578" s="9"/>
      <c r="D578" s="20"/>
      <c r="E578" s="9">
        <f>IF($D578="","",IFERROR(VLOOKUP($D578,'Plan comptable'!$H:$I,2,FALSE),"compte hors plan"))</f>
      </c>
      <c r="F578" s="9"/>
      <c r="G578" s="10"/>
      <c r="H578" s="11"/>
      <c r="I578" s="11"/>
      <c r="J578" s="10">
        <f>IF($D578="","",IF(AND($H578&lt;&gt;"",$I578&lt;&gt;""),"débit ET crédit",IF(AND($H578="",$I578=""),"montant manquant",IF(ISNA(MATCH($D578,'Plan comptable'!$H:$H,0)),"compte hors plan",IF(AND($A578&lt;&gt;"",YEAR($A578)&lt;&gt;Exercice),"hors exercice","")))))</f>
      </c>
    </row>
    <row r="579">
      <c r="A579" s="13"/>
      <c r="B579" s="10"/>
      <c r="C579" s="9"/>
      <c r="D579" s="20"/>
      <c r="E579" s="9">
        <f>IF($D579="","",IFERROR(VLOOKUP($D579,'Plan comptable'!$H:$I,2,FALSE),"compte hors plan"))</f>
      </c>
      <c r="F579" s="9"/>
      <c r="G579" s="10"/>
      <c r="H579" s="11"/>
      <c r="I579" s="11"/>
      <c r="J579" s="10">
        <f>IF($D579="","",IF(AND($H579&lt;&gt;"",$I579&lt;&gt;""),"débit ET crédit",IF(AND($H579="",$I579=""),"montant manquant",IF(ISNA(MATCH($D579,'Plan comptable'!$H:$H,0)),"compte hors plan",IF(AND($A579&lt;&gt;"",YEAR($A579)&lt;&gt;Exercice),"hors exercice","")))))</f>
      </c>
    </row>
    <row r="580">
      <c r="A580" s="13"/>
      <c r="B580" s="10"/>
      <c r="C580" s="9"/>
      <c r="D580" s="20"/>
      <c r="E580" s="9">
        <f>IF($D580="","",IFERROR(VLOOKUP($D580,'Plan comptable'!$H:$I,2,FALSE),"compte hors plan"))</f>
      </c>
      <c r="F580" s="9"/>
      <c r="G580" s="10"/>
      <c r="H580" s="11"/>
      <c r="I580" s="11"/>
      <c r="J580" s="10">
        <f>IF($D580="","",IF(AND($H580&lt;&gt;"",$I580&lt;&gt;""),"débit ET crédit",IF(AND($H580="",$I580=""),"montant manquant",IF(ISNA(MATCH($D580,'Plan comptable'!$H:$H,0)),"compte hors plan",IF(AND($A580&lt;&gt;"",YEAR($A580)&lt;&gt;Exercice),"hors exercice","")))))</f>
      </c>
    </row>
    <row r="581">
      <c r="A581" s="13"/>
      <c r="B581" s="10"/>
      <c r="C581" s="9"/>
      <c r="D581" s="20"/>
      <c r="E581" s="9">
        <f>IF($D581="","",IFERROR(VLOOKUP($D581,'Plan comptable'!$H:$I,2,FALSE),"compte hors plan"))</f>
      </c>
      <c r="F581" s="9"/>
      <c r="G581" s="10"/>
      <c r="H581" s="11"/>
      <c r="I581" s="11"/>
      <c r="J581" s="10">
        <f>IF($D581="","",IF(AND($H581&lt;&gt;"",$I581&lt;&gt;""),"débit ET crédit",IF(AND($H581="",$I581=""),"montant manquant",IF(ISNA(MATCH($D581,'Plan comptable'!$H:$H,0)),"compte hors plan",IF(AND($A581&lt;&gt;"",YEAR($A581)&lt;&gt;Exercice),"hors exercice","")))))</f>
      </c>
    </row>
    <row r="582">
      <c r="A582" s="13"/>
      <c r="B582" s="10"/>
      <c r="C582" s="9"/>
      <c r="D582" s="20"/>
      <c r="E582" s="9">
        <f>IF($D582="","",IFERROR(VLOOKUP($D582,'Plan comptable'!$H:$I,2,FALSE),"compte hors plan"))</f>
      </c>
      <c r="F582" s="9"/>
      <c r="G582" s="10"/>
      <c r="H582" s="11"/>
      <c r="I582" s="11"/>
      <c r="J582" s="10">
        <f>IF($D582="","",IF(AND($H582&lt;&gt;"",$I582&lt;&gt;""),"débit ET crédit",IF(AND($H582="",$I582=""),"montant manquant",IF(ISNA(MATCH($D582,'Plan comptable'!$H:$H,0)),"compte hors plan",IF(AND($A582&lt;&gt;"",YEAR($A582)&lt;&gt;Exercice),"hors exercice","")))))</f>
      </c>
    </row>
    <row r="583">
      <c r="A583" s="13"/>
      <c r="B583" s="10"/>
      <c r="C583" s="9"/>
      <c r="D583" s="20"/>
      <c r="E583" s="9">
        <f>IF($D583="","",IFERROR(VLOOKUP($D583,'Plan comptable'!$H:$I,2,FALSE),"compte hors plan"))</f>
      </c>
      <c r="F583" s="9"/>
      <c r="G583" s="10"/>
      <c r="H583" s="11"/>
      <c r="I583" s="11"/>
      <c r="J583" s="10">
        <f>IF($D583="","",IF(AND($H583&lt;&gt;"",$I583&lt;&gt;""),"débit ET crédit",IF(AND($H583="",$I583=""),"montant manquant",IF(ISNA(MATCH($D583,'Plan comptable'!$H:$H,0)),"compte hors plan",IF(AND($A583&lt;&gt;"",YEAR($A583)&lt;&gt;Exercice),"hors exercice","")))))</f>
      </c>
    </row>
    <row r="584">
      <c r="A584" s="13"/>
      <c r="B584" s="10"/>
      <c r="C584" s="9"/>
      <c r="D584" s="20"/>
      <c r="E584" s="9">
        <f>IF($D584="","",IFERROR(VLOOKUP($D584,'Plan comptable'!$H:$I,2,FALSE),"compte hors plan"))</f>
      </c>
      <c r="F584" s="9"/>
      <c r="G584" s="10"/>
      <c r="H584" s="11"/>
      <c r="I584" s="11"/>
      <c r="J584" s="10">
        <f>IF($D584="","",IF(AND($H584&lt;&gt;"",$I584&lt;&gt;""),"débit ET crédit",IF(AND($H584="",$I584=""),"montant manquant",IF(ISNA(MATCH($D584,'Plan comptable'!$H:$H,0)),"compte hors plan",IF(AND($A584&lt;&gt;"",YEAR($A584)&lt;&gt;Exercice),"hors exercice","")))))</f>
      </c>
    </row>
    <row r="585">
      <c r="A585" s="13"/>
      <c r="B585" s="10"/>
      <c r="C585" s="9"/>
      <c r="D585" s="20"/>
      <c r="E585" s="9">
        <f>IF($D585="","",IFERROR(VLOOKUP($D585,'Plan comptable'!$H:$I,2,FALSE),"compte hors plan"))</f>
      </c>
      <c r="F585" s="9"/>
      <c r="G585" s="10"/>
      <c r="H585" s="11"/>
      <c r="I585" s="11"/>
      <c r="J585" s="10">
        <f>IF($D585="","",IF(AND($H585&lt;&gt;"",$I585&lt;&gt;""),"débit ET crédit",IF(AND($H585="",$I585=""),"montant manquant",IF(ISNA(MATCH($D585,'Plan comptable'!$H:$H,0)),"compte hors plan",IF(AND($A585&lt;&gt;"",YEAR($A585)&lt;&gt;Exercice),"hors exercice","")))))</f>
      </c>
    </row>
    <row r="586">
      <c r="A586" s="13"/>
      <c r="B586" s="10"/>
      <c r="C586" s="9"/>
      <c r="D586" s="20"/>
      <c r="E586" s="9">
        <f>IF($D586="","",IFERROR(VLOOKUP($D586,'Plan comptable'!$H:$I,2,FALSE),"compte hors plan"))</f>
      </c>
      <c r="F586" s="9"/>
      <c r="G586" s="10"/>
      <c r="H586" s="11"/>
      <c r="I586" s="11"/>
      <c r="J586" s="10">
        <f>IF($D586="","",IF(AND($H586&lt;&gt;"",$I586&lt;&gt;""),"débit ET crédit",IF(AND($H586="",$I586=""),"montant manquant",IF(ISNA(MATCH($D586,'Plan comptable'!$H:$H,0)),"compte hors plan",IF(AND($A586&lt;&gt;"",YEAR($A586)&lt;&gt;Exercice),"hors exercice","")))))</f>
      </c>
    </row>
    <row r="587">
      <c r="A587" s="13"/>
      <c r="B587" s="10"/>
      <c r="C587" s="9"/>
      <c r="D587" s="20"/>
      <c r="E587" s="9">
        <f>IF($D587="","",IFERROR(VLOOKUP($D587,'Plan comptable'!$H:$I,2,FALSE),"compte hors plan"))</f>
      </c>
      <c r="F587" s="9"/>
      <c r="G587" s="10"/>
      <c r="H587" s="11"/>
      <c r="I587" s="11"/>
      <c r="J587" s="10">
        <f>IF($D587="","",IF(AND($H587&lt;&gt;"",$I587&lt;&gt;""),"débit ET crédit",IF(AND($H587="",$I587=""),"montant manquant",IF(ISNA(MATCH($D587,'Plan comptable'!$H:$H,0)),"compte hors plan",IF(AND($A587&lt;&gt;"",YEAR($A587)&lt;&gt;Exercice),"hors exercice","")))))</f>
      </c>
    </row>
    <row r="588">
      <c r="A588" s="13"/>
      <c r="B588" s="10"/>
      <c r="C588" s="9"/>
      <c r="D588" s="20"/>
      <c r="E588" s="9">
        <f>IF($D588="","",IFERROR(VLOOKUP($D588,'Plan comptable'!$H:$I,2,FALSE),"compte hors plan"))</f>
      </c>
      <c r="F588" s="9"/>
      <c r="G588" s="10"/>
      <c r="H588" s="11"/>
      <c r="I588" s="11"/>
      <c r="J588" s="10">
        <f>IF($D588="","",IF(AND($H588&lt;&gt;"",$I588&lt;&gt;""),"débit ET crédit",IF(AND($H588="",$I588=""),"montant manquant",IF(ISNA(MATCH($D588,'Plan comptable'!$H:$H,0)),"compte hors plan",IF(AND($A588&lt;&gt;"",YEAR($A588)&lt;&gt;Exercice),"hors exercice","")))))</f>
      </c>
    </row>
    <row r="589">
      <c r="A589" s="13"/>
      <c r="B589" s="10"/>
      <c r="C589" s="9"/>
      <c r="D589" s="20"/>
      <c r="E589" s="9">
        <f>IF($D589="","",IFERROR(VLOOKUP($D589,'Plan comptable'!$H:$I,2,FALSE),"compte hors plan"))</f>
      </c>
      <c r="F589" s="9"/>
      <c r="G589" s="10"/>
      <c r="H589" s="11"/>
      <c r="I589" s="11"/>
      <c r="J589" s="10">
        <f>IF($D589="","",IF(AND($H589&lt;&gt;"",$I589&lt;&gt;""),"débit ET crédit",IF(AND($H589="",$I589=""),"montant manquant",IF(ISNA(MATCH($D589,'Plan comptable'!$H:$H,0)),"compte hors plan",IF(AND($A589&lt;&gt;"",YEAR($A589)&lt;&gt;Exercice),"hors exercice","")))))</f>
      </c>
    </row>
    <row r="590">
      <c r="A590" s="13"/>
      <c r="B590" s="10"/>
      <c r="C590" s="9"/>
      <c r="D590" s="20"/>
      <c r="E590" s="9">
        <f>IF($D590="","",IFERROR(VLOOKUP($D590,'Plan comptable'!$H:$I,2,FALSE),"compte hors plan"))</f>
      </c>
      <c r="F590" s="9"/>
      <c r="G590" s="10"/>
      <c r="H590" s="11"/>
      <c r="I590" s="11"/>
      <c r="J590" s="10">
        <f>IF($D590="","",IF(AND($H590&lt;&gt;"",$I590&lt;&gt;""),"débit ET crédit",IF(AND($H590="",$I590=""),"montant manquant",IF(ISNA(MATCH($D590,'Plan comptable'!$H:$H,0)),"compte hors plan",IF(AND($A590&lt;&gt;"",YEAR($A590)&lt;&gt;Exercice),"hors exercice","")))))</f>
      </c>
    </row>
    <row r="591">
      <c r="A591" s="13"/>
      <c r="B591" s="10"/>
      <c r="C591" s="9"/>
      <c r="D591" s="20"/>
      <c r="E591" s="9">
        <f>IF($D591="","",IFERROR(VLOOKUP($D591,'Plan comptable'!$H:$I,2,FALSE),"compte hors plan"))</f>
      </c>
      <c r="F591" s="9"/>
      <c r="G591" s="10"/>
      <c r="H591" s="11"/>
      <c r="I591" s="11"/>
      <c r="J591" s="10">
        <f>IF($D591="","",IF(AND($H591&lt;&gt;"",$I591&lt;&gt;""),"débit ET crédit",IF(AND($H591="",$I591=""),"montant manquant",IF(ISNA(MATCH($D591,'Plan comptable'!$H:$H,0)),"compte hors plan",IF(AND($A591&lt;&gt;"",YEAR($A591)&lt;&gt;Exercice),"hors exercice","")))))</f>
      </c>
    </row>
    <row r="592">
      <c r="A592" s="13"/>
      <c r="B592" s="10"/>
      <c r="C592" s="9"/>
      <c r="D592" s="20"/>
      <c r="E592" s="9">
        <f>IF($D592="","",IFERROR(VLOOKUP($D592,'Plan comptable'!$H:$I,2,FALSE),"compte hors plan"))</f>
      </c>
      <c r="F592" s="9"/>
      <c r="G592" s="10"/>
      <c r="H592" s="11"/>
      <c r="I592" s="11"/>
      <c r="J592" s="10">
        <f>IF($D592="","",IF(AND($H592&lt;&gt;"",$I592&lt;&gt;""),"débit ET crédit",IF(AND($H592="",$I592=""),"montant manquant",IF(ISNA(MATCH($D592,'Plan comptable'!$H:$H,0)),"compte hors plan",IF(AND($A592&lt;&gt;"",YEAR($A592)&lt;&gt;Exercice),"hors exercice","")))))</f>
      </c>
    </row>
    <row r="593">
      <c r="A593" s="13"/>
      <c r="B593" s="10"/>
      <c r="C593" s="9"/>
      <c r="D593" s="20"/>
      <c r="E593" s="9">
        <f>IF($D593="","",IFERROR(VLOOKUP($D593,'Plan comptable'!$H:$I,2,FALSE),"compte hors plan"))</f>
      </c>
      <c r="F593" s="9"/>
      <c r="G593" s="10"/>
      <c r="H593" s="11"/>
      <c r="I593" s="11"/>
      <c r="J593" s="10">
        <f>IF($D593="","",IF(AND($H593&lt;&gt;"",$I593&lt;&gt;""),"débit ET crédit",IF(AND($H593="",$I593=""),"montant manquant",IF(ISNA(MATCH($D593,'Plan comptable'!$H:$H,0)),"compte hors plan",IF(AND($A593&lt;&gt;"",YEAR($A593)&lt;&gt;Exercice),"hors exercice","")))))</f>
      </c>
    </row>
    <row r="594">
      <c r="A594" s="13"/>
      <c r="B594" s="10"/>
      <c r="C594" s="9"/>
      <c r="D594" s="20"/>
      <c r="E594" s="9">
        <f>IF($D594="","",IFERROR(VLOOKUP($D594,'Plan comptable'!$H:$I,2,FALSE),"compte hors plan"))</f>
      </c>
      <c r="F594" s="9"/>
      <c r="G594" s="10"/>
      <c r="H594" s="11"/>
      <c r="I594" s="11"/>
      <c r="J594" s="10">
        <f>IF($D594="","",IF(AND($H594&lt;&gt;"",$I594&lt;&gt;""),"débit ET crédit",IF(AND($H594="",$I594=""),"montant manquant",IF(ISNA(MATCH($D594,'Plan comptable'!$H:$H,0)),"compte hors plan",IF(AND($A594&lt;&gt;"",YEAR($A594)&lt;&gt;Exercice),"hors exercice","")))))</f>
      </c>
    </row>
    <row r="595">
      <c r="A595" s="13"/>
      <c r="B595" s="10"/>
      <c r="C595" s="9"/>
      <c r="D595" s="20"/>
      <c r="E595" s="9">
        <f>IF($D595="","",IFERROR(VLOOKUP($D595,'Plan comptable'!$H:$I,2,FALSE),"compte hors plan"))</f>
      </c>
      <c r="F595" s="9"/>
      <c r="G595" s="10"/>
      <c r="H595" s="11"/>
      <c r="I595" s="11"/>
      <c r="J595" s="10">
        <f>IF($D595="","",IF(AND($H595&lt;&gt;"",$I595&lt;&gt;""),"débit ET crédit",IF(AND($H595="",$I595=""),"montant manquant",IF(ISNA(MATCH($D595,'Plan comptable'!$H:$H,0)),"compte hors plan",IF(AND($A595&lt;&gt;"",YEAR($A595)&lt;&gt;Exercice),"hors exercice","")))))</f>
      </c>
    </row>
    <row r="596">
      <c r="A596" s="13"/>
      <c r="B596" s="10"/>
      <c r="C596" s="9"/>
      <c r="D596" s="20"/>
      <c r="E596" s="9">
        <f>IF($D596="","",IFERROR(VLOOKUP($D596,'Plan comptable'!$H:$I,2,FALSE),"compte hors plan"))</f>
      </c>
      <c r="F596" s="9"/>
      <c r="G596" s="10"/>
      <c r="H596" s="11"/>
      <c r="I596" s="11"/>
      <c r="J596" s="10">
        <f>IF($D596="","",IF(AND($H596&lt;&gt;"",$I596&lt;&gt;""),"débit ET crédit",IF(AND($H596="",$I596=""),"montant manquant",IF(ISNA(MATCH($D596,'Plan comptable'!$H:$H,0)),"compte hors plan",IF(AND($A596&lt;&gt;"",YEAR($A596)&lt;&gt;Exercice),"hors exercice","")))))</f>
      </c>
    </row>
    <row r="597">
      <c r="A597" s="13"/>
      <c r="B597" s="10"/>
      <c r="C597" s="9"/>
      <c r="D597" s="20"/>
      <c r="E597" s="9">
        <f>IF($D597="","",IFERROR(VLOOKUP($D597,'Plan comptable'!$H:$I,2,FALSE),"compte hors plan"))</f>
      </c>
      <c r="F597" s="9"/>
      <c r="G597" s="10"/>
      <c r="H597" s="11"/>
      <c r="I597" s="11"/>
      <c r="J597" s="10">
        <f>IF($D597="","",IF(AND($H597&lt;&gt;"",$I597&lt;&gt;""),"débit ET crédit",IF(AND($H597="",$I597=""),"montant manquant",IF(ISNA(MATCH($D597,'Plan comptable'!$H:$H,0)),"compte hors plan",IF(AND($A597&lt;&gt;"",YEAR($A597)&lt;&gt;Exercice),"hors exercice","")))))</f>
      </c>
    </row>
    <row r="598">
      <c r="A598" s="13"/>
      <c r="B598" s="10"/>
      <c r="C598" s="9"/>
      <c r="D598" s="20"/>
      <c r="E598" s="9">
        <f>IF($D598="","",IFERROR(VLOOKUP($D598,'Plan comptable'!$H:$I,2,FALSE),"compte hors plan"))</f>
      </c>
      <c r="F598" s="9"/>
      <c r="G598" s="10"/>
      <c r="H598" s="11"/>
      <c r="I598" s="11"/>
      <c r="J598" s="10">
        <f>IF($D598="","",IF(AND($H598&lt;&gt;"",$I598&lt;&gt;""),"débit ET crédit",IF(AND($H598="",$I598=""),"montant manquant",IF(ISNA(MATCH($D598,'Plan comptable'!$H:$H,0)),"compte hors plan",IF(AND($A598&lt;&gt;"",YEAR($A598)&lt;&gt;Exercice),"hors exercice","")))))</f>
      </c>
    </row>
    <row r="599">
      <c r="A599" s="13"/>
      <c r="B599" s="10"/>
      <c r="C599" s="9"/>
      <c r="D599" s="20"/>
      <c r="E599" s="9">
        <f>IF($D599="","",IFERROR(VLOOKUP($D599,'Plan comptable'!$H:$I,2,FALSE),"compte hors plan"))</f>
      </c>
      <c r="F599" s="9"/>
      <c r="G599" s="10"/>
      <c r="H599" s="11"/>
      <c r="I599" s="11"/>
      <c r="J599" s="10">
        <f>IF($D599="","",IF(AND($H599&lt;&gt;"",$I599&lt;&gt;""),"débit ET crédit",IF(AND($H599="",$I599=""),"montant manquant",IF(ISNA(MATCH($D599,'Plan comptable'!$H:$H,0)),"compte hors plan",IF(AND($A599&lt;&gt;"",YEAR($A599)&lt;&gt;Exercice),"hors exercice","")))))</f>
      </c>
    </row>
    <row r="600">
      <c r="A600" s="13"/>
      <c r="B600" s="10"/>
      <c r="C600" s="9"/>
      <c r="D600" s="20"/>
      <c r="E600" s="9">
        <f>IF($D600="","",IFERROR(VLOOKUP($D600,'Plan comptable'!$H:$I,2,FALSE),"compte hors plan"))</f>
      </c>
      <c r="F600" s="9"/>
      <c r="G600" s="10"/>
      <c r="H600" s="11"/>
      <c r="I600" s="11"/>
      <c r="J600" s="10">
        <f>IF($D600="","",IF(AND($H600&lt;&gt;"",$I600&lt;&gt;""),"débit ET crédit",IF(AND($H600="",$I600=""),"montant manquant",IF(ISNA(MATCH($D600,'Plan comptable'!$H:$H,0)),"compte hors plan",IF(AND($A600&lt;&gt;"",YEAR($A600)&lt;&gt;Exercice),"hors exercice","")))))</f>
      </c>
    </row>
    <row r="601">
      <c r="A601" s="13"/>
      <c r="B601" s="10"/>
      <c r="C601" s="9"/>
      <c r="D601" s="20"/>
      <c r="E601" s="9">
        <f>IF($D601="","",IFERROR(VLOOKUP($D601,'Plan comptable'!$H:$I,2,FALSE),"compte hors plan"))</f>
      </c>
      <c r="F601" s="9"/>
      <c r="G601" s="10"/>
      <c r="H601" s="11"/>
      <c r="I601" s="11"/>
      <c r="J601" s="10">
        <f>IF($D601="","",IF(AND($H601&lt;&gt;"",$I601&lt;&gt;""),"débit ET crédit",IF(AND($H601="",$I601=""),"montant manquant",IF(ISNA(MATCH($D601,'Plan comptable'!$H:$H,0)),"compte hors plan",IF(AND($A601&lt;&gt;"",YEAR($A601)&lt;&gt;Exercice),"hors exercice","")))))</f>
      </c>
    </row>
    <row r="602">
      <c r="A602" s="13"/>
      <c r="B602" s="10"/>
      <c r="C602" s="9"/>
      <c r="D602" s="20"/>
      <c r="E602" s="9">
        <f>IF($D602="","",IFERROR(VLOOKUP($D602,'Plan comptable'!$H:$I,2,FALSE),"compte hors plan"))</f>
      </c>
      <c r="F602" s="9"/>
      <c r="G602" s="10"/>
      <c r="H602" s="11"/>
      <c r="I602" s="11"/>
      <c r="J602" s="10">
        <f>IF($D602="","",IF(AND($H602&lt;&gt;"",$I602&lt;&gt;""),"débit ET crédit",IF(AND($H602="",$I602=""),"montant manquant",IF(ISNA(MATCH($D602,'Plan comptable'!$H:$H,0)),"compte hors plan",IF(AND($A602&lt;&gt;"",YEAR($A602)&lt;&gt;Exercice),"hors exercice","")))))</f>
      </c>
    </row>
    <row r="603">
      <c r="A603" s="13"/>
      <c r="B603" s="10"/>
      <c r="C603" s="9"/>
      <c r="D603" s="20"/>
      <c r="E603" s="9">
        <f>IF($D603="","",IFERROR(VLOOKUP($D603,'Plan comptable'!$H:$I,2,FALSE),"compte hors plan"))</f>
      </c>
      <c r="F603" s="9"/>
      <c r="G603" s="10"/>
      <c r="H603" s="11"/>
      <c r="I603" s="11"/>
      <c r="J603" s="10">
        <f>IF($D603="","",IF(AND($H603&lt;&gt;"",$I603&lt;&gt;""),"débit ET crédit",IF(AND($H603="",$I603=""),"montant manquant",IF(ISNA(MATCH($D603,'Plan comptable'!$H:$H,0)),"compte hors plan",IF(AND($A603&lt;&gt;"",YEAR($A603)&lt;&gt;Exercice),"hors exercice","")))))</f>
      </c>
    </row>
    <row r="604">
      <c r="A604" s="13"/>
      <c r="B604" s="10"/>
      <c r="C604" s="9"/>
      <c r="D604" s="20"/>
      <c r="E604" s="9">
        <f>IF($D604="","",IFERROR(VLOOKUP($D604,'Plan comptable'!$H:$I,2,FALSE),"compte hors plan"))</f>
      </c>
      <c r="F604" s="9"/>
      <c r="G604" s="10"/>
      <c r="H604" s="11"/>
      <c r="I604" s="11"/>
      <c r="J604" s="10">
        <f>IF($D604="","",IF(AND($H604&lt;&gt;"",$I604&lt;&gt;""),"débit ET crédit",IF(AND($H604="",$I604=""),"montant manquant",IF(ISNA(MATCH($D604,'Plan comptable'!$H:$H,0)),"compte hors plan",IF(AND($A604&lt;&gt;"",YEAR($A604)&lt;&gt;Exercice),"hors exercice","")))))</f>
      </c>
    </row>
    <row r="605">
      <c r="A605" s="13"/>
      <c r="B605" s="10"/>
      <c r="C605" s="9"/>
      <c r="D605" s="20"/>
      <c r="E605" s="9">
        <f>IF($D605="","",IFERROR(VLOOKUP($D605,'Plan comptable'!$H:$I,2,FALSE),"compte hors plan"))</f>
      </c>
      <c r="F605" s="9"/>
      <c r="G605" s="10"/>
      <c r="H605" s="11"/>
      <c r="I605" s="11"/>
      <c r="J605" s="10">
        <f>IF($D605="","",IF(AND($H605&lt;&gt;"",$I605&lt;&gt;""),"débit ET crédit",IF(AND($H605="",$I605=""),"montant manquant",IF(ISNA(MATCH($D605,'Plan comptable'!$H:$H,0)),"compte hors plan",IF(AND($A605&lt;&gt;"",YEAR($A605)&lt;&gt;Exercice),"hors exercice","")))))</f>
      </c>
    </row>
    <row r="606">
      <c r="A606" s="13"/>
      <c r="B606" s="10"/>
      <c r="C606" s="9"/>
      <c r="D606" s="20"/>
      <c r="E606" s="9">
        <f>IF($D606="","",IFERROR(VLOOKUP($D606,'Plan comptable'!$H:$I,2,FALSE),"compte hors plan"))</f>
      </c>
      <c r="F606" s="9"/>
      <c r="G606" s="10"/>
      <c r="H606" s="11"/>
      <c r="I606" s="11"/>
      <c r="J606" s="10">
        <f>IF($D606="","",IF(AND($H606&lt;&gt;"",$I606&lt;&gt;""),"débit ET crédit",IF(AND($H606="",$I606=""),"montant manquant",IF(ISNA(MATCH($D606,'Plan comptable'!$H:$H,0)),"compte hors plan",IF(AND($A606&lt;&gt;"",YEAR($A606)&lt;&gt;Exercice),"hors exercice","")))))</f>
      </c>
    </row>
    <row r="607">
      <c r="A607" s="13"/>
      <c r="B607" s="10"/>
      <c r="C607" s="9"/>
      <c r="D607" s="20"/>
      <c r="E607" s="9">
        <f>IF($D607="","",IFERROR(VLOOKUP($D607,'Plan comptable'!$H:$I,2,FALSE),"compte hors plan"))</f>
      </c>
      <c r="F607" s="9"/>
      <c r="G607" s="10"/>
      <c r="H607" s="11"/>
      <c r="I607" s="11"/>
      <c r="J607" s="10">
        <f>IF($D607="","",IF(AND($H607&lt;&gt;"",$I607&lt;&gt;""),"débit ET crédit",IF(AND($H607="",$I607=""),"montant manquant",IF(ISNA(MATCH($D607,'Plan comptable'!$H:$H,0)),"compte hors plan",IF(AND($A607&lt;&gt;"",YEAR($A607)&lt;&gt;Exercice),"hors exercice","")))))</f>
      </c>
    </row>
    <row r="608">
      <c r="A608" s="13"/>
      <c r="B608" s="10"/>
      <c r="C608" s="9"/>
      <c r="D608" s="20"/>
      <c r="E608" s="9">
        <f>IF($D608="","",IFERROR(VLOOKUP($D608,'Plan comptable'!$H:$I,2,FALSE),"compte hors plan"))</f>
      </c>
      <c r="F608" s="9"/>
      <c r="G608" s="10"/>
      <c r="H608" s="11"/>
      <c r="I608" s="11"/>
      <c r="J608" s="10">
        <f>IF($D608="","",IF(AND($H608&lt;&gt;"",$I608&lt;&gt;""),"débit ET crédit",IF(AND($H608="",$I608=""),"montant manquant",IF(ISNA(MATCH($D608,'Plan comptable'!$H:$H,0)),"compte hors plan",IF(AND($A608&lt;&gt;"",YEAR($A608)&lt;&gt;Exercice),"hors exercice","")))))</f>
      </c>
    </row>
    <row r="609">
      <c r="A609" s="13"/>
      <c r="B609" s="10"/>
      <c r="C609" s="9"/>
      <c r="D609" s="20"/>
      <c r="E609" s="9">
        <f>IF($D609="","",IFERROR(VLOOKUP($D609,'Plan comptable'!$H:$I,2,FALSE),"compte hors plan"))</f>
      </c>
      <c r="F609" s="9"/>
      <c r="G609" s="10"/>
      <c r="H609" s="11"/>
      <c r="I609" s="11"/>
      <c r="J609" s="10">
        <f>IF($D609="","",IF(AND($H609&lt;&gt;"",$I609&lt;&gt;""),"débit ET crédit",IF(AND($H609="",$I609=""),"montant manquant",IF(ISNA(MATCH($D609,'Plan comptable'!$H:$H,0)),"compte hors plan",IF(AND($A609&lt;&gt;"",YEAR($A609)&lt;&gt;Exercice),"hors exercice","")))))</f>
      </c>
    </row>
    <row r="610">
      <c r="A610" s="13"/>
      <c r="B610" s="10"/>
      <c r="C610" s="9"/>
      <c r="D610" s="20"/>
      <c r="E610" s="9">
        <f>IF($D610="","",IFERROR(VLOOKUP($D610,'Plan comptable'!$H:$I,2,FALSE),"compte hors plan"))</f>
      </c>
      <c r="F610" s="9"/>
      <c r="G610" s="10"/>
      <c r="H610" s="11"/>
      <c r="I610" s="11"/>
      <c r="J610" s="10">
        <f>IF($D610="","",IF(AND($H610&lt;&gt;"",$I610&lt;&gt;""),"débit ET crédit",IF(AND($H610="",$I610=""),"montant manquant",IF(ISNA(MATCH($D610,'Plan comptable'!$H:$H,0)),"compte hors plan",IF(AND($A610&lt;&gt;"",YEAR($A610)&lt;&gt;Exercice),"hors exercice","")))))</f>
      </c>
    </row>
    <row r="611">
      <c r="A611" s="13"/>
      <c r="B611" s="10"/>
      <c r="C611" s="9"/>
      <c r="D611" s="20"/>
      <c r="E611" s="9">
        <f>IF($D611="","",IFERROR(VLOOKUP($D611,'Plan comptable'!$H:$I,2,FALSE),"compte hors plan"))</f>
      </c>
      <c r="F611" s="9"/>
      <c r="G611" s="10"/>
      <c r="H611" s="11"/>
      <c r="I611" s="11"/>
      <c r="J611" s="10">
        <f>IF($D611="","",IF(AND($H611&lt;&gt;"",$I611&lt;&gt;""),"débit ET crédit",IF(AND($H611="",$I611=""),"montant manquant",IF(ISNA(MATCH($D611,'Plan comptable'!$H:$H,0)),"compte hors plan",IF(AND($A611&lt;&gt;"",YEAR($A611)&lt;&gt;Exercice),"hors exercice","")))))</f>
      </c>
    </row>
    <row r="612">
      <c r="A612" s="13"/>
      <c r="B612" s="10"/>
      <c r="C612" s="9"/>
      <c r="D612" s="20"/>
      <c r="E612" s="9">
        <f>IF($D612="","",IFERROR(VLOOKUP($D612,'Plan comptable'!$H:$I,2,FALSE),"compte hors plan"))</f>
      </c>
      <c r="F612" s="9"/>
      <c r="G612" s="10"/>
      <c r="H612" s="11"/>
      <c r="I612" s="11"/>
      <c r="J612" s="10">
        <f>IF($D612="","",IF(AND($H612&lt;&gt;"",$I612&lt;&gt;""),"débit ET crédit",IF(AND($H612="",$I612=""),"montant manquant",IF(ISNA(MATCH($D612,'Plan comptable'!$H:$H,0)),"compte hors plan",IF(AND($A612&lt;&gt;"",YEAR($A612)&lt;&gt;Exercice),"hors exercice","")))))</f>
      </c>
    </row>
    <row r="613">
      <c r="A613" s="13"/>
      <c r="B613" s="10"/>
      <c r="C613" s="9"/>
      <c r="D613" s="20"/>
      <c r="E613" s="9">
        <f>IF($D613="","",IFERROR(VLOOKUP($D613,'Plan comptable'!$H:$I,2,FALSE),"compte hors plan"))</f>
      </c>
      <c r="F613" s="9"/>
      <c r="G613" s="10"/>
      <c r="H613" s="11"/>
      <c r="I613" s="11"/>
      <c r="J613" s="10">
        <f>IF($D613="","",IF(AND($H613&lt;&gt;"",$I613&lt;&gt;""),"débit ET crédit",IF(AND($H613="",$I613=""),"montant manquant",IF(ISNA(MATCH($D613,'Plan comptable'!$H:$H,0)),"compte hors plan",IF(AND($A613&lt;&gt;"",YEAR($A613)&lt;&gt;Exercice),"hors exercice","")))))</f>
      </c>
    </row>
    <row r="614">
      <c r="A614" s="13"/>
      <c r="B614" s="10"/>
      <c r="C614" s="9"/>
      <c r="D614" s="20"/>
      <c r="E614" s="9">
        <f>IF($D614="","",IFERROR(VLOOKUP($D614,'Plan comptable'!$H:$I,2,FALSE),"compte hors plan"))</f>
      </c>
      <c r="F614" s="9"/>
      <c r="G614" s="10"/>
      <c r="H614" s="11"/>
      <c r="I614" s="11"/>
      <c r="J614" s="10">
        <f>IF($D614="","",IF(AND($H614&lt;&gt;"",$I614&lt;&gt;""),"débit ET crédit",IF(AND($H614="",$I614=""),"montant manquant",IF(ISNA(MATCH($D614,'Plan comptable'!$H:$H,0)),"compte hors plan",IF(AND($A614&lt;&gt;"",YEAR($A614)&lt;&gt;Exercice),"hors exercice","")))))</f>
      </c>
    </row>
    <row r="615">
      <c r="A615" s="13"/>
      <c r="B615" s="10"/>
      <c r="C615" s="9"/>
      <c r="D615" s="20"/>
      <c r="E615" s="9">
        <f>IF($D615="","",IFERROR(VLOOKUP($D615,'Plan comptable'!$H:$I,2,FALSE),"compte hors plan"))</f>
      </c>
      <c r="F615" s="9"/>
      <c r="G615" s="10"/>
      <c r="H615" s="11"/>
      <c r="I615" s="11"/>
      <c r="J615" s="10">
        <f>IF($D615="","",IF(AND($H615&lt;&gt;"",$I615&lt;&gt;""),"débit ET crédit",IF(AND($H615="",$I615=""),"montant manquant",IF(ISNA(MATCH($D615,'Plan comptable'!$H:$H,0)),"compte hors plan",IF(AND($A615&lt;&gt;"",YEAR($A615)&lt;&gt;Exercice),"hors exercice","")))))</f>
      </c>
    </row>
    <row r="616">
      <c r="A616" s="13"/>
      <c r="B616" s="10"/>
      <c r="C616" s="9"/>
      <c r="D616" s="20"/>
      <c r="E616" s="9">
        <f>IF($D616="","",IFERROR(VLOOKUP($D616,'Plan comptable'!$H:$I,2,FALSE),"compte hors plan"))</f>
      </c>
      <c r="F616" s="9"/>
      <c r="G616" s="10"/>
      <c r="H616" s="11"/>
      <c r="I616" s="11"/>
      <c r="J616" s="10">
        <f>IF($D616="","",IF(AND($H616&lt;&gt;"",$I616&lt;&gt;""),"débit ET crédit",IF(AND($H616="",$I616=""),"montant manquant",IF(ISNA(MATCH($D616,'Plan comptable'!$H:$H,0)),"compte hors plan",IF(AND($A616&lt;&gt;"",YEAR($A616)&lt;&gt;Exercice),"hors exercice","")))))</f>
      </c>
    </row>
    <row r="617">
      <c r="A617" s="13"/>
      <c r="B617" s="10"/>
      <c r="C617" s="9"/>
      <c r="D617" s="20"/>
      <c r="E617" s="9">
        <f>IF($D617="","",IFERROR(VLOOKUP($D617,'Plan comptable'!$H:$I,2,FALSE),"compte hors plan"))</f>
      </c>
      <c r="F617" s="9"/>
      <c r="G617" s="10"/>
      <c r="H617" s="11"/>
      <c r="I617" s="11"/>
      <c r="J617" s="10">
        <f>IF($D617="","",IF(AND($H617&lt;&gt;"",$I617&lt;&gt;""),"débit ET crédit",IF(AND($H617="",$I617=""),"montant manquant",IF(ISNA(MATCH($D617,'Plan comptable'!$H:$H,0)),"compte hors plan",IF(AND($A617&lt;&gt;"",YEAR($A617)&lt;&gt;Exercice),"hors exercice","")))))</f>
      </c>
    </row>
    <row r="618">
      <c r="A618" s="13"/>
      <c r="B618" s="10"/>
      <c r="C618" s="9"/>
      <c r="D618" s="20"/>
      <c r="E618" s="9">
        <f>IF($D618="","",IFERROR(VLOOKUP($D618,'Plan comptable'!$H:$I,2,FALSE),"compte hors plan"))</f>
      </c>
      <c r="F618" s="9"/>
      <c r="G618" s="10"/>
      <c r="H618" s="11"/>
      <c r="I618" s="11"/>
      <c r="J618" s="10">
        <f>IF($D618="","",IF(AND($H618&lt;&gt;"",$I618&lt;&gt;""),"débit ET crédit",IF(AND($H618="",$I618=""),"montant manquant",IF(ISNA(MATCH($D618,'Plan comptable'!$H:$H,0)),"compte hors plan",IF(AND($A618&lt;&gt;"",YEAR($A618)&lt;&gt;Exercice),"hors exercice","")))))</f>
      </c>
    </row>
    <row r="619">
      <c r="A619" s="13"/>
      <c r="B619" s="10"/>
      <c r="C619" s="9"/>
      <c r="D619" s="20"/>
      <c r="E619" s="9">
        <f>IF($D619="","",IFERROR(VLOOKUP($D619,'Plan comptable'!$H:$I,2,FALSE),"compte hors plan"))</f>
      </c>
      <c r="F619" s="9"/>
      <c r="G619" s="10"/>
      <c r="H619" s="11"/>
      <c r="I619" s="11"/>
      <c r="J619" s="10">
        <f>IF($D619="","",IF(AND($H619&lt;&gt;"",$I619&lt;&gt;""),"débit ET crédit",IF(AND($H619="",$I619=""),"montant manquant",IF(ISNA(MATCH($D619,'Plan comptable'!$H:$H,0)),"compte hors plan",IF(AND($A619&lt;&gt;"",YEAR($A619)&lt;&gt;Exercice),"hors exercice","")))))</f>
      </c>
    </row>
    <row r="620">
      <c r="A620" s="13"/>
      <c r="B620" s="10"/>
      <c r="C620" s="9"/>
      <c r="D620" s="20"/>
      <c r="E620" s="9">
        <f>IF($D620="","",IFERROR(VLOOKUP($D620,'Plan comptable'!$H:$I,2,FALSE),"compte hors plan"))</f>
      </c>
      <c r="F620" s="9"/>
      <c r="G620" s="10"/>
      <c r="H620" s="11"/>
      <c r="I620" s="11"/>
      <c r="J620" s="10">
        <f>IF($D620="","",IF(AND($H620&lt;&gt;"",$I620&lt;&gt;""),"débit ET crédit",IF(AND($H620="",$I620=""),"montant manquant",IF(ISNA(MATCH($D620,'Plan comptable'!$H:$H,0)),"compte hors plan",IF(AND($A620&lt;&gt;"",YEAR($A620)&lt;&gt;Exercice),"hors exercice","")))))</f>
      </c>
    </row>
    <row r="621">
      <c r="A621" s="13"/>
      <c r="B621" s="10"/>
      <c r="C621" s="9"/>
      <c r="D621" s="20"/>
      <c r="E621" s="9">
        <f>IF($D621="","",IFERROR(VLOOKUP($D621,'Plan comptable'!$H:$I,2,FALSE),"compte hors plan"))</f>
      </c>
      <c r="F621" s="9"/>
      <c r="G621" s="10"/>
      <c r="H621" s="11"/>
      <c r="I621" s="11"/>
      <c r="J621" s="10">
        <f>IF($D621="","",IF(AND($H621&lt;&gt;"",$I621&lt;&gt;""),"débit ET crédit",IF(AND($H621="",$I621=""),"montant manquant",IF(ISNA(MATCH($D621,'Plan comptable'!$H:$H,0)),"compte hors plan",IF(AND($A621&lt;&gt;"",YEAR($A621)&lt;&gt;Exercice),"hors exercice","")))))</f>
      </c>
    </row>
    <row r="622">
      <c r="A622" s="13"/>
      <c r="B622" s="10"/>
      <c r="C622" s="9"/>
      <c r="D622" s="20"/>
      <c r="E622" s="9">
        <f>IF($D622="","",IFERROR(VLOOKUP($D622,'Plan comptable'!$H:$I,2,FALSE),"compte hors plan"))</f>
      </c>
      <c r="F622" s="9"/>
      <c r="G622" s="10"/>
      <c r="H622" s="11"/>
      <c r="I622" s="11"/>
      <c r="J622" s="10">
        <f>IF($D622="","",IF(AND($H622&lt;&gt;"",$I622&lt;&gt;""),"débit ET crédit",IF(AND($H622="",$I622=""),"montant manquant",IF(ISNA(MATCH($D622,'Plan comptable'!$H:$H,0)),"compte hors plan",IF(AND($A622&lt;&gt;"",YEAR($A622)&lt;&gt;Exercice),"hors exercice","")))))</f>
      </c>
    </row>
    <row r="623">
      <c r="A623" s="13"/>
      <c r="B623" s="10"/>
      <c r="C623" s="9"/>
      <c r="D623" s="20"/>
      <c r="E623" s="9">
        <f>IF($D623="","",IFERROR(VLOOKUP($D623,'Plan comptable'!$H:$I,2,FALSE),"compte hors plan"))</f>
      </c>
      <c r="F623" s="9"/>
      <c r="G623" s="10"/>
      <c r="H623" s="11"/>
      <c r="I623" s="11"/>
      <c r="J623" s="10">
        <f>IF($D623="","",IF(AND($H623&lt;&gt;"",$I623&lt;&gt;""),"débit ET crédit",IF(AND($H623="",$I623=""),"montant manquant",IF(ISNA(MATCH($D623,'Plan comptable'!$H:$H,0)),"compte hors plan",IF(AND($A623&lt;&gt;"",YEAR($A623)&lt;&gt;Exercice),"hors exercice","")))))</f>
      </c>
    </row>
    <row r="624">
      <c r="A624" s="13"/>
      <c r="B624" s="10"/>
      <c r="C624" s="9"/>
      <c r="D624" s="20"/>
      <c r="E624" s="9">
        <f>IF($D624="","",IFERROR(VLOOKUP($D624,'Plan comptable'!$H:$I,2,FALSE),"compte hors plan"))</f>
      </c>
      <c r="F624" s="9"/>
      <c r="G624" s="10"/>
      <c r="H624" s="11"/>
      <c r="I624" s="11"/>
      <c r="J624" s="10">
        <f>IF($D624="","",IF(AND($H624&lt;&gt;"",$I624&lt;&gt;""),"débit ET crédit",IF(AND($H624="",$I624=""),"montant manquant",IF(ISNA(MATCH($D624,'Plan comptable'!$H:$H,0)),"compte hors plan",IF(AND($A624&lt;&gt;"",YEAR($A624)&lt;&gt;Exercice),"hors exercice","")))))</f>
      </c>
    </row>
    <row r="625">
      <c r="A625" s="13"/>
      <c r="B625" s="10"/>
      <c r="C625" s="9"/>
      <c r="D625" s="20"/>
      <c r="E625" s="9">
        <f>IF($D625="","",IFERROR(VLOOKUP($D625,'Plan comptable'!$H:$I,2,FALSE),"compte hors plan"))</f>
      </c>
      <c r="F625" s="9"/>
      <c r="G625" s="10"/>
      <c r="H625" s="11"/>
      <c r="I625" s="11"/>
      <c r="J625" s="10">
        <f>IF($D625="","",IF(AND($H625&lt;&gt;"",$I625&lt;&gt;""),"débit ET crédit",IF(AND($H625="",$I625=""),"montant manquant",IF(ISNA(MATCH($D625,'Plan comptable'!$H:$H,0)),"compte hors plan",IF(AND($A625&lt;&gt;"",YEAR($A625)&lt;&gt;Exercice),"hors exercice","")))))</f>
      </c>
    </row>
    <row r="626">
      <c r="A626" s="13"/>
      <c r="B626" s="10"/>
      <c r="C626" s="9"/>
      <c r="D626" s="20"/>
      <c r="E626" s="9">
        <f>IF($D626="","",IFERROR(VLOOKUP($D626,'Plan comptable'!$H:$I,2,FALSE),"compte hors plan"))</f>
      </c>
      <c r="F626" s="9"/>
      <c r="G626" s="10"/>
      <c r="H626" s="11"/>
      <c r="I626" s="11"/>
      <c r="J626" s="10">
        <f>IF($D626="","",IF(AND($H626&lt;&gt;"",$I626&lt;&gt;""),"débit ET crédit",IF(AND($H626="",$I626=""),"montant manquant",IF(ISNA(MATCH($D626,'Plan comptable'!$H:$H,0)),"compte hors plan",IF(AND($A626&lt;&gt;"",YEAR($A626)&lt;&gt;Exercice),"hors exercice","")))))</f>
      </c>
    </row>
    <row r="627">
      <c r="A627" s="13"/>
      <c r="B627" s="10"/>
      <c r="C627" s="9"/>
      <c r="D627" s="20"/>
      <c r="E627" s="9">
        <f>IF($D627="","",IFERROR(VLOOKUP($D627,'Plan comptable'!$H:$I,2,FALSE),"compte hors plan"))</f>
      </c>
      <c r="F627" s="9"/>
      <c r="G627" s="10"/>
      <c r="H627" s="11"/>
      <c r="I627" s="11"/>
      <c r="J627" s="10">
        <f>IF($D627="","",IF(AND($H627&lt;&gt;"",$I627&lt;&gt;""),"débit ET crédit",IF(AND($H627="",$I627=""),"montant manquant",IF(ISNA(MATCH($D627,'Plan comptable'!$H:$H,0)),"compte hors plan",IF(AND($A627&lt;&gt;"",YEAR($A627)&lt;&gt;Exercice),"hors exercice","")))))</f>
      </c>
    </row>
    <row r="628">
      <c r="A628" s="13"/>
      <c r="B628" s="10"/>
      <c r="C628" s="9"/>
      <c r="D628" s="20"/>
      <c r="E628" s="9">
        <f>IF($D628="","",IFERROR(VLOOKUP($D628,'Plan comptable'!$H:$I,2,FALSE),"compte hors plan"))</f>
      </c>
      <c r="F628" s="9"/>
      <c r="G628" s="10"/>
      <c r="H628" s="11"/>
      <c r="I628" s="11"/>
      <c r="J628" s="10">
        <f>IF($D628="","",IF(AND($H628&lt;&gt;"",$I628&lt;&gt;""),"débit ET crédit",IF(AND($H628="",$I628=""),"montant manquant",IF(ISNA(MATCH($D628,'Plan comptable'!$H:$H,0)),"compte hors plan",IF(AND($A628&lt;&gt;"",YEAR($A628)&lt;&gt;Exercice),"hors exercice","")))))</f>
      </c>
    </row>
    <row r="629">
      <c r="A629" s="13"/>
      <c r="B629" s="10"/>
      <c r="C629" s="9"/>
      <c r="D629" s="20"/>
      <c r="E629" s="9">
        <f>IF($D629="","",IFERROR(VLOOKUP($D629,'Plan comptable'!$H:$I,2,FALSE),"compte hors plan"))</f>
      </c>
      <c r="F629" s="9"/>
      <c r="G629" s="10"/>
      <c r="H629" s="11"/>
      <c r="I629" s="11"/>
      <c r="J629" s="10">
        <f>IF($D629="","",IF(AND($H629&lt;&gt;"",$I629&lt;&gt;""),"débit ET crédit",IF(AND($H629="",$I629=""),"montant manquant",IF(ISNA(MATCH($D629,'Plan comptable'!$H:$H,0)),"compte hors plan",IF(AND($A629&lt;&gt;"",YEAR($A629)&lt;&gt;Exercice),"hors exercice","")))))</f>
      </c>
    </row>
    <row r="630">
      <c r="A630" s="13"/>
      <c r="B630" s="10"/>
      <c r="C630" s="9"/>
      <c r="D630" s="20"/>
      <c r="E630" s="9">
        <f>IF($D630="","",IFERROR(VLOOKUP($D630,'Plan comptable'!$H:$I,2,FALSE),"compte hors plan"))</f>
      </c>
      <c r="F630" s="9"/>
      <c r="G630" s="10"/>
      <c r="H630" s="11"/>
      <c r="I630" s="11"/>
      <c r="J630" s="10">
        <f>IF($D630="","",IF(AND($H630&lt;&gt;"",$I630&lt;&gt;""),"débit ET crédit",IF(AND($H630="",$I630=""),"montant manquant",IF(ISNA(MATCH($D630,'Plan comptable'!$H:$H,0)),"compte hors plan",IF(AND($A630&lt;&gt;"",YEAR($A630)&lt;&gt;Exercice),"hors exercice","")))))</f>
      </c>
    </row>
    <row r="631">
      <c r="A631" s="13"/>
      <c r="B631" s="10"/>
      <c r="C631" s="9"/>
      <c r="D631" s="20"/>
      <c r="E631" s="9">
        <f>IF($D631="","",IFERROR(VLOOKUP($D631,'Plan comptable'!$H:$I,2,FALSE),"compte hors plan"))</f>
      </c>
      <c r="F631" s="9"/>
      <c r="G631" s="10"/>
      <c r="H631" s="11"/>
      <c r="I631" s="11"/>
      <c r="J631" s="10">
        <f>IF($D631="","",IF(AND($H631&lt;&gt;"",$I631&lt;&gt;""),"débit ET crédit",IF(AND($H631="",$I631=""),"montant manquant",IF(ISNA(MATCH($D631,'Plan comptable'!$H:$H,0)),"compte hors plan",IF(AND($A631&lt;&gt;"",YEAR($A631)&lt;&gt;Exercice),"hors exercice","")))))</f>
      </c>
    </row>
    <row r="632">
      <c r="A632" s="13"/>
      <c r="B632" s="10"/>
      <c r="C632" s="9"/>
      <c r="D632" s="20"/>
      <c r="E632" s="9">
        <f>IF($D632="","",IFERROR(VLOOKUP($D632,'Plan comptable'!$H:$I,2,FALSE),"compte hors plan"))</f>
      </c>
      <c r="F632" s="9"/>
      <c r="G632" s="10"/>
      <c r="H632" s="11"/>
      <c r="I632" s="11"/>
      <c r="J632" s="10">
        <f>IF($D632="","",IF(AND($H632&lt;&gt;"",$I632&lt;&gt;""),"débit ET crédit",IF(AND($H632="",$I632=""),"montant manquant",IF(ISNA(MATCH($D632,'Plan comptable'!$H:$H,0)),"compte hors plan",IF(AND($A632&lt;&gt;"",YEAR($A632)&lt;&gt;Exercice),"hors exercice","")))))</f>
      </c>
    </row>
    <row r="633">
      <c r="A633" s="13"/>
      <c r="B633" s="10"/>
      <c r="C633" s="9"/>
      <c r="D633" s="20"/>
      <c r="E633" s="9">
        <f>IF($D633="","",IFERROR(VLOOKUP($D633,'Plan comptable'!$H:$I,2,FALSE),"compte hors plan"))</f>
      </c>
      <c r="F633" s="9"/>
      <c r="G633" s="10"/>
      <c r="H633" s="11"/>
      <c r="I633" s="11"/>
      <c r="J633" s="10">
        <f>IF($D633="","",IF(AND($H633&lt;&gt;"",$I633&lt;&gt;""),"débit ET crédit",IF(AND($H633="",$I633=""),"montant manquant",IF(ISNA(MATCH($D633,'Plan comptable'!$H:$H,0)),"compte hors plan",IF(AND($A633&lt;&gt;"",YEAR($A633)&lt;&gt;Exercice),"hors exercice","")))))</f>
      </c>
    </row>
    <row r="634">
      <c r="A634" s="13"/>
      <c r="B634" s="10"/>
      <c r="C634" s="9"/>
      <c r="D634" s="20"/>
      <c r="E634" s="9">
        <f>IF($D634="","",IFERROR(VLOOKUP($D634,'Plan comptable'!$H:$I,2,FALSE),"compte hors plan"))</f>
      </c>
      <c r="F634" s="9"/>
      <c r="G634" s="10"/>
      <c r="H634" s="11"/>
      <c r="I634" s="11"/>
      <c r="J634" s="10">
        <f>IF($D634="","",IF(AND($H634&lt;&gt;"",$I634&lt;&gt;""),"débit ET crédit",IF(AND($H634="",$I634=""),"montant manquant",IF(ISNA(MATCH($D634,'Plan comptable'!$H:$H,0)),"compte hors plan",IF(AND($A634&lt;&gt;"",YEAR($A634)&lt;&gt;Exercice),"hors exercice","")))))</f>
      </c>
    </row>
    <row r="635">
      <c r="A635" s="13"/>
      <c r="B635" s="10"/>
      <c r="C635" s="9"/>
      <c r="D635" s="20"/>
      <c r="E635" s="9">
        <f>IF($D635="","",IFERROR(VLOOKUP($D635,'Plan comptable'!$H:$I,2,FALSE),"compte hors plan"))</f>
      </c>
      <c r="F635" s="9"/>
      <c r="G635" s="10"/>
      <c r="H635" s="11"/>
      <c r="I635" s="11"/>
      <c r="J635" s="10">
        <f>IF($D635="","",IF(AND($H635&lt;&gt;"",$I635&lt;&gt;""),"débit ET crédit",IF(AND($H635="",$I635=""),"montant manquant",IF(ISNA(MATCH($D635,'Plan comptable'!$H:$H,0)),"compte hors plan",IF(AND($A635&lt;&gt;"",YEAR($A635)&lt;&gt;Exercice),"hors exercice","")))))</f>
      </c>
    </row>
    <row r="636">
      <c r="A636" s="13"/>
      <c r="B636" s="10"/>
      <c r="C636" s="9"/>
      <c r="D636" s="20"/>
      <c r="E636" s="9">
        <f>IF($D636="","",IFERROR(VLOOKUP($D636,'Plan comptable'!$H:$I,2,FALSE),"compte hors plan"))</f>
      </c>
      <c r="F636" s="9"/>
      <c r="G636" s="10"/>
      <c r="H636" s="11"/>
      <c r="I636" s="11"/>
      <c r="J636" s="10">
        <f>IF($D636="","",IF(AND($H636&lt;&gt;"",$I636&lt;&gt;""),"débit ET crédit",IF(AND($H636="",$I636=""),"montant manquant",IF(ISNA(MATCH($D636,'Plan comptable'!$H:$H,0)),"compte hors plan",IF(AND($A636&lt;&gt;"",YEAR($A636)&lt;&gt;Exercice),"hors exercice","")))))</f>
      </c>
    </row>
    <row r="637">
      <c r="A637" s="13"/>
      <c r="B637" s="10"/>
      <c r="C637" s="9"/>
      <c r="D637" s="20"/>
      <c r="E637" s="9">
        <f>IF($D637="","",IFERROR(VLOOKUP($D637,'Plan comptable'!$H:$I,2,FALSE),"compte hors plan"))</f>
      </c>
      <c r="F637" s="9"/>
      <c r="G637" s="10"/>
      <c r="H637" s="11"/>
      <c r="I637" s="11"/>
      <c r="J637" s="10">
        <f>IF($D637="","",IF(AND($H637&lt;&gt;"",$I637&lt;&gt;""),"débit ET crédit",IF(AND($H637="",$I637=""),"montant manquant",IF(ISNA(MATCH($D637,'Plan comptable'!$H:$H,0)),"compte hors plan",IF(AND($A637&lt;&gt;"",YEAR($A637)&lt;&gt;Exercice),"hors exercice","")))))</f>
      </c>
    </row>
    <row r="638">
      <c r="A638" s="13"/>
      <c r="B638" s="10"/>
      <c r="C638" s="9"/>
      <c r="D638" s="20"/>
      <c r="E638" s="9">
        <f>IF($D638="","",IFERROR(VLOOKUP($D638,'Plan comptable'!$H:$I,2,FALSE),"compte hors plan"))</f>
      </c>
      <c r="F638" s="9"/>
      <c r="G638" s="10"/>
      <c r="H638" s="11"/>
      <c r="I638" s="11"/>
      <c r="J638" s="10">
        <f>IF($D638="","",IF(AND($H638&lt;&gt;"",$I638&lt;&gt;""),"débit ET crédit",IF(AND($H638="",$I638=""),"montant manquant",IF(ISNA(MATCH($D638,'Plan comptable'!$H:$H,0)),"compte hors plan",IF(AND($A638&lt;&gt;"",YEAR($A638)&lt;&gt;Exercice),"hors exercice","")))))</f>
      </c>
    </row>
    <row r="639">
      <c r="A639" s="13"/>
      <c r="B639" s="10"/>
      <c r="C639" s="9"/>
      <c r="D639" s="20"/>
      <c r="E639" s="9">
        <f>IF($D639="","",IFERROR(VLOOKUP($D639,'Plan comptable'!$H:$I,2,FALSE),"compte hors plan"))</f>
      </c>
      <c r="F639" s="9"/>
      <c r="G639" s="10"/>
      <c r="H639" s="11"/>
      <c r="I639" s="11"/>
      <c r="J639" s="10">
        <f>IF($D639="","",IF(AND($H639&lt;&gt;"",$I639&lt;&gt;""),"débit ET crédit",IF(AND($H639="",$I639=""),"montant manquant",IF(ISNA(MATCH($D639,'Plan comptable'!$H:$H,0)),"compte hors plan",IF(AND($A639&lt;&gt;"",YEAR($A639)&lt;&gt;Exercice),"hors exercice","")))))</f>
      </c>
    </row>
    <row r="640">
      <c r="A640" s="13"/>
      <c r="B640" s="10"/>
      <c r="C640" s="9"/>
      <c r="D640" s="20"/>
      <c r="E640" s="9">
        <f>IF($D640="","",IFERROR(VLOOKUP($D640,'Plan comptable'!$H:$I,2,FALSE),"compte hors plan"))</f>
      </c>
      <c r="F640" s="9"/>
      <c r="G640" s="10"/>
      <c r="H640" s="11"/>
      <c r="I640" s="11"/>
      <c r="J640" s="10">
        <f>IF($D640="","",IF(AND($H640&lt;&gt;"",$I640&lt;&gt;""),"débit ET crédit",IF(AND($H640="",$I640=""),"montant manquant",IF(ISNA(MATCH($D640,'Plan comptable'!$H:$H,0)),"compte hors plan",IF(AND($A640&lt;&gt;"",YEAR($A640)&lt;&gt;Exercice),"hors exercice","")))))</f>
      </c>
    </row>
    <row r="641">
      <c r="A641" s="13"/>
      <c r="B641" s="10"/>
      <c r="C641" s="9"/>
      <c r="D641" s="20"/>
      <c r="E641" s="9">
        <f>IF($D641="","",IFERROR(VLOOKUP($D641,'Plan comptable'!$H:$I,2,FALSE),"compte hors plan"))</f>
      </c>
      <c r="F641" s="9"/>
      <c r="G641" s="10"/>
      <c r="H641" s="11"/>
      <c r="I641" s="11"/>
      <c r="J641" s="10">
        <f>IF($D641="","",IF(AND($H641&lt;&gt;"",$I641&lt;&gt;""),"débit ET crédit",IF(AND($H641="",$I641=""),"montant manquant",IF(ISNA(MATCH($D641,'Plan comptable'!$H:$H,0)),"compte hors plan",IF(AND($A641&lt;&gt;"",YEAR($A641)&lt;&gt;Exercice),"hors exercice","")))))</f>
      </c>
    </row>
    <row r="642">
      <c r="A642" s="13"/>
      <c r="B642" s="10"/>
      <c r="C642" s="9"/>
      <c r="D642" s="20"/>
      <c r="E642" s="9">
        <f>IF($D642="","",IFERROR(VLOOKUP($D642,'Plan comptable'!$H:$I,2,FALSE),"compte hors plan"))</f>
      </c>
      <c r="F642" s="9"/>
      <c r="G642" s="10"/>
      <c r="H642" s="11"/>
      <c r="I642" s="11"/>
      <c r="J642" s="10">
        <f>IF($D642="","",IF(AND($H642&lt;&gt;"",$I642&lt;&gt;""),"débit ET crédit",IF(AND($H642="",$I642=""),"montant manquant",IF(ISNA(MATCH($D642,'Plan comptable'!$H:$H,0)),"compte hors plan",IF(AND($A642&lt;&gt;"",YEAR($A642)&lt;&gt;Exercice),"hors exercice","")))))</f>
      </c>
    </row>
    <row r="643">
      <c r="A643" s="13"/>
      <c r="B643" s="10"/>
      <c r="C643" s="9"/>
      <c r="D643" s="20"/>
      <c r="E643" s="9">
        <f>IF($D643="","",IFERROR(VLOOKUP($D643,'Plan comptable'!$H:$I,2,FALSE),"compte hors plan"))</f>
      </c>
      <c r="F643" s="9"/>
      <c r="G643" s="10"/>
      <c r="H643" s="11"/>
      <c r="I643" s="11"/>
      <c r="J643" s="10">
        <f>IF($D643="","",IF(AND($H643&lt;&gt;"",$I643&lt;&gt;""),"débit ET crédit",IF(AND($H643="",$I643=""),"montant manquant",IF(ISNA(MATCH($D643,'Plan comptable'!$H:$H,0)),"compte hors plan",IF(AND($A643&lt;&gt;"",YEAR($A643)&lt;&gt;Exercice),"hors exercice","")))))</f>
      </c>
    </row>
    <row r="644">
      <c r="A644" s="13"/>
      <c r="B644" s="10"/>
      <c r="C644" s="9"/>
      <c r="D644" s="20"/>
      <c r="E644" s="9">
        <f>IF($D644="","",IFERROR(VLOOKUP($D644,'Plan comptable'!$H:$I,2,FALSE),"compte hors plan"))</f>
      </c>
      <c r="F644" s="9"/>
      <c r="G644" s="10"/>
      <c r="H644" s="11"/>
      <c r="I644" s="11"/>
      <c r="J644" s="10">
        <f>IF($D644="","",IF(AND($H644&lt;&gt;"",$I644&lt;&gt;""),"débit ET crédit",IF(AND($H644="",$I644=""),"montant manquant",IF(ISNA(MATCH($D644,'Plan comptable'!$H:$H,0)),"compte hors plan",IF(AND($A644&lt;&gt;"",YEAR($A644)&lt;&gt;Exercice),"hors exercice","")))))</f>
      </c>
    </row>
    <row r="645">
      <c r="A645" s="13"/>
      <c r="B645" s="10"/>
      <c r="C645" s="9"/>
      <c r="D645" s="20"/>
      <c r="E645" s="9">
        <f>IF($D645="","",IFERROR(VLOOKUP($D645,'Plan comptable'!$H:$I,2,FALSE),"compte hors plan"))</f>
      </c>
      <c r="F645" s="9"/>
      <c r="G645" s="10"/>
      <c r="H645" s="11"/>
      <c r="I645" s="11"/>
      <c r="J645" s="10">
        <f>IF($D645="","",IF(AND($H645&lt;&gt;"",$I645&lt;&gt;""),"débit ET crédit",IF(AND($H645="",$I645=""),"montant manquant",IF(ISNA(MATCH($D645,'Plan comptable'!$H:$H,0)),"compte hors plan",IF(AND($A645&lt;&gt;"",YEAR($A645)&lt;&gt;Exercice),"hors exercice","")))))</f>
      </c>
    </row>
    <row r="646">
      <c r="A646" s="13"/>
      <c r="B646" s="10"/>
      <c r="C646" s="9"/>
      <c r="D646" s="20"/>
      <c r="E646" s="9">
        <f>IF($D646="","",IFERROR(VLOOKUP($D646,'Plan comptable'!$H:$I,2,FALSE),"compte hors plan"))</f>
      </c>
      <c r="F646" s="9"/>
      <c r="G646" s="10"/>
      <c r="H646" s="11"/>
      <c r="I646" s="11"/>
      <c r="J646" s="10">
        <f>IF($D646="","",IF(AND($H646&lt;&gt;"",$I646&lt;&gt;""),"débit ET crédit",IF(AND($H646="",$I646=""),"montant manquant",IF(ISNA(MATCH($D646,'Plan comptable'!$H:$H,0)),"compte hors plan",IF(AND($A646&lt;&gt;"",YEAR($A646)&lt;&gt;Exercice),"hors exercice","")))))</f>
      </c>
    </row>
    <row r="647">
      <c r="A647" s="13"/>
      <c r="B647" s="10"/>
      <c r="C647" s="9"/>
      <c r="D647" s="20"/>
      <c r="E647" s="9">
        <f>IF($D647="","",IFERROR(VLOOKUP($D647,'Plan comptable'!$H:$I,2,FALSE),"compte hors plan"))</f>
      </c>
      <c r="F647" s="9"/>
      <c r="G647" s="10"/>
      <c r="H647" s="11"/>
      <c r="I647" s="11"/>
      <c r="J647" s="10">
        <f>IF($D647="","",IF(AND($H647&lt;&gt;"",$I647&lt;&gt;""),"débit ET crédit",IF(AND($H647="",$I647=""),"montant manquant",IF(ISNA(MATCH($D647,'Plan comptable'!$H:$H,0)),"compte hors plan",IF(AND($A647&lt;&gt;"",YEAR($A647)&lt;&gt;Exercice),"hors exercice","")))))</f>
      </c>
    </row>
    <row r="648">
      <c r="A648" s="13"/>
      <c r="B648" s="10"/>
      <c r="C648" s="9"/>
      <c r="D648" s="20"/>
      <c r="E648" s="9">
        <f>IF($D648="","",IFERROR(VLOOKUP($D648,'Plan comptable'!$H:$I,2,FALSE),"compte hors plan"))</f>
      </c>
      <c r="F648" s="9"/>
      <c r="G648" s="10"/>
      <c r="H648" s="11"/>
      <c r="I648" s="11"/>
      <c r="J648" s="10">
        <f>IF($D648="","",IF(AND($H648&lt;&gt;"",$I648&lt;&gt;""),"débit ET crédit",IF(AND($H648="",$I648=""),"montant manquant",IF(ISNA(MATCH($D648,'Plan comptable'!$H:$H,0)),"compte hors plan",IF(AND($A648&lt;&gt;"",YEAR($A648)&lt;&gt;Exercice),"hors exercice","")))))</f>
      </c>
    </row>
    <row r="649">
      <c r="A649" s="13"/>
      <c r="B649" s="10"/>
      <c r="C649" s="9"/>
      <c r="D649" s="20"/>
      <c r="E649" s="9">
        <f>IF($D649="","",IFERROR(VLOOKUP($D649,'Plan comptable'!$H:$I,2,FALSE),"compte hors plan"))</f>
      </c>
      <c r="F649" s="9"/>
      <c r="G649" s="10"/>
      <c r="H649" s="11"/>
      <c r="I649" s="11"/>
      <c r="J649" s="10">
        <f>IF($D649="","",IF(AND($H649&lt;&gt;"",$I649&lt;&gt;""),"débit ET crédit",IF(AND($H649="",$I649=""),"montant manquant",IF(ISNA(MATCH($D649,'Plan comptable'!$H:$H,0)),"compte hors plan",IF(AND($A649&lt;&gt;"",YEAR($A649)&lt;&gt;Exercice),"hors exercice","")))))</f>
      </c>
    </row>
    <row r="650">
      <c r="A650" s="13"/>
      <c r="B650" s="10"/>
      <c r="C650" s="9"/>
      <c r="D650" s="20"/>
      <c r="E650" s="9">
        <f>IF($D650="","",IFERROR(VLOOKUP($D650,'Plan comptable'!$H:$I,2,FALSE),"compte hors plan"))</f>
      </c>
      <c r="F650" s="9"/>
      <c r="G650" s="10"/>
      <c r="H650" s="11"/>
      <c r="I650" s="11"/>
      <c r="J650" s="10">
        <f>IF($D650="","",IF(AND($H650&lt;&gt;"",$I650&lt;&gt;""),"débit ET crédit",IF(AND($H650="",$I650=""),"montant manquant",IF(ISNA(MATCH($D650,'Plan comptable'!$H:$H,0)),"compte hors plan",IF(AND($A650&lt;&gt;"",YEAR($A650)&lt;&gt;Exercice),"hors exercice","")))))</f>
      </c>
    </row>
    <row r="651">
      <c r="A651" s="13"/>
      <c r="B651" s="10"/>
      <c r="C651" s="9"/>
      <c r="D651" s="20"/>
      <c r="E651" s="9">
        <f>IF($D651="","",IFERROR(VLOOKUP($D651,'Plan comptable'!$H:$I,2,FALSE),"compte hors plan"))</f>
      </c>
      <c r="F651" s="9"/>
      <c r="G651" s="10"/>
      <c r="H651" s="11"/>
      <c r="I651" s="11"/>
      <c r="J651" s="10">
        <f>IF($D651="","",IF(AND($H651&lt;&gt;"",$I651&lt;&gt;""),"débit ET crédit",IF(AND($H651="",$I651=""),"montant manquant",IF(ISNA(MATCH($D651,'Plan comptable'!$H:$H,0)),"compte hors plan",IF(AND($A651&lt;&gt;"",YEAR($A651)&lt;&gt;Exercice),"hors exercice","")))))</f>
      </c>
    </row>
    <row r="652">
      <c r="A652" s="13"/>
      <c r="B652" s="10"/>
      <c r="C652" s="9"/>
      <c r="D652" s="20"/>
      <c r="E652" s="9">
        <f>IF($D652="","",IFERROR(VLOOKUP($D652,'Plan comptable'!$H:$I,2,FALSE),"compte hors plan"))</f>
      </c>
      <c r="F652" s="9"/>
      <c r="G652" s="10"/>
      <c r="H652" s="11"/>
      <c r="I652" s="11"/>
      <c r="J652" s="10">
        <f>IF($D652="","",IF(AND($H652&lt;&gt;"",$I652&lt;&gt;""),"débit ET crédit",IF(AND($H652="",$I652=""),"montant manquant",IF(ISNA(MATCH($D652,'Plan comptable'!$H:$H,0)),"compte hors plan",IF(AND($A652&lt;&gt;"",YEAR($A652)&lt;&gt;Exercice),"hors exercice","")))))</f>
      </c>
    </row>
    <row r="653">
      <c r="A653" s="13"/>
      <c r="B653" s="10"/>
      <c r="C653" s="9"/>
      <c r="D653" s="20"/>
      <c r="E653" s="9">
        <f>IF($D653="","",IFERROR(VLOOKUP($D653,'Plan comptable'!$H:$I,2,FALSE),"compte hors plan"))</f>
      </c>
      <c r="F653" s="9"/>
      <c r="G653" s="10"/>
      <c r="H653" s="11"/>
      <c r="I653" s="11"/>
      <c r="J653" s="10">
        <f>IF($D653="","",IF(AND($H653&lt;&gt;"",$I653&lt;&gt;""),"débit ET crédit",IF(AND($H653="",$I653=""),"montant manquant",IF(ISNA(MATCH($D653,'Plan comptable'!$H:$H,0)),"compte hors plan",IF(AND($A653&lt;&gt;"",YEAR($A653)&lt;&gt;Exercice),"hors exercice","")))))</f>
      </c>
    </row>
    <row r="654">
      <c r="A654" s="13"/>
      <c r="B654" s="10"/>
      <c r="C654" s="9"/>
      <c r="D654" s="20"/>
      <c r="E654" s="9">
        <f>IF($D654="","",IFERROR(VLOOKUP($D654,'Plan comptable'!$H:$I,2,FALSE),"compte hors plan"))</f>
      </c>
      <c r="F654" s="9"/>
      <c r="G654" s="10"/>
      <c r="H654" s="11"/>
      <c r="I654" s="11"/>
      <c r="J654" s="10">
        <f>IF($D654="","",IF(AND($H654&lt;&gt;"",$I654&lt;&gt;""),"débit ET crédit",IF(AND($H654="",$I654=""),"montant manquant",IF(ISNA(MATCH($D654,'Plan comptable'!$H:$H,0)),"compte hors plan",IF(AND($A654&lt;&gt;"",YEAR($A654)&lt;&gt;Exercice),"hors exercice","")))))</f>
      </c>
    </row>
    <row r="655">
      <c r="A655" s="13"/>
      <c r="B655" s="10"/>
      <c r="C655" s="9"/>
      <c r="D655" s="20"/>
      <c r="E655" s="9">
        <f>IF($D655="","",IFERROR(VLOOKUP($D655,'Plan comptable'!$H:$I,2,FALSE),"compte hors plan"))</f>
      </c>
      <c r="F655" s="9"/>
      <c r="G655" s="10"/>
      <c r="H655" s="11"/>
      <c r="I655" s="11"/>
      <c r="J655" s="10">
        <f>IF($D655="","",IF(AND($H655&lt;&gt;"",$I655&lt;&gt;""),"débit ET crédit",IF(AND($H655="",$I655=""),"montant manquant",IF(ISNA(MATCH($D655,'Plan comptable'!$H:$H,0)),"compte hors plan",IF(AND($A655&lt;&gt;"",YEAR($A655)&lt;&gt;Exercice),"hors exercice","")))))</f>
      </c>
    </row>
    <row r="656">
      <c r="A656" s="13"/>
      <c r="B656" s="10"/>
      <c r="C656" s="9"/>
      <c r="D656" s="20"/>
      <c r="E656" s="9">
        <f>IF($D656="","",IFERROR(VLOOKUP($D656,'Plan comptable'!$H:$I,2,FALSE),"compte hors plan"))</f>
      </c>
      <c r="F656" s="9"/>
      <c r="G656" s="10"/>
      <c r="H656" s="11"/>
      <c r="I656" s="11"/>
      <c r="J656" s="10">
        <f>IF($D656="","",IF(AND($H656&lt;&gt;"",$I656&lt;&gt;""),"débit ET crédit",IF(AND($H656="",$I656=""),"montant manquant",IF(ISNA(MATCH($D656,'Plan comptable'!$H:$H,0)),"compte hors plan",IF(AND($A656&lt;&gt;"",YEAR($A656)&lt;&gt;Exercice),"hors exercice","")))))</f>
      </c>
    </row>
    <row r="657">
      <c r="A657" s="13"/>
      <c r="B657" s="10"/>
      <c r="C657" s="9"/>
      <c r="D657" s="20"/>
      <c r="E657" s="9">
        <f>IF($D657="","",IFERROR(VLOOKUP($D657,'Plan comptable'!$H:$I,2,FALSE),"compte hors plan"))</f>
      </c>
      <c r="F657" s="9"/>
      <c r="G657" s="10"/>
      <c r="H657" s="11"/>
      <c r="I657" s="11"/>
      <c r="J657" s="10">
        <f>IF($D657="","",IF(AND($H657&lt;&gt;"",$I657&lt;&gt;""),"débit ET crédit",IF(AND($H657="",$I657=""),"montant manquant",IF(ISNA(MATCH($D657,'Plan comptable'!$H:$H,0)),"compte hors plan",IF(AND($A657&lt;&gt;"",YEAR($A657)&lt;&gt;Exercice),"hors exercice","")))))</f>
      </c>
    </row>
    <row r="658">
      <c r="A658" s="13"/>
      <c r="B658" s="10"/>
      <c r="C658" s="9"/>
      <c r="D658" s="20"/>
      <c r="E658" s="9">
        <f>IF($D658="","",IFERROR(VLOOKUP($D658,'Plan comptable'!$H:$I,2,FALSE),"compte hors plan"))</f>
      </c>
      <c r="F658" s="9"/>
      <c r="G658" s="10"/>
      <c r="H658" s="11"/>
      <c r="I658" s="11"/>
      <c r="J658" s="10">
        <f>IF($D658="","",IF(AND($H658&lt;&gt;"",$I658&lt;&gt;""),"débit ET crédit",IF(AND($H658="",$I658=""),"montant manquant",IF(ISNA(MATCH($D658,'Plan comptable'!$H:$H,0)),"compte hors plan",IF(AND($A658&lt;&gt;"",YEAR($A658)&lt;&gt;Exercice),"hors exercice","")))))</f>
      </c>
    </row>
    <row r="659">
      <c r="A659" s="13"/>
      <c r="B659" s="10"/>
      <c r="C659" s="9"/>
      <c r="D659" s="20"/>
      <c r="E659" s="9">
        <f>IF($D659="","",IFERROR(VLOOKUP($D659,'Plan comptable'!$H:$I,2,FALSE),"compte hors plan"))</f>
      </c>
      <c r="F659" s="9"/>
      <c r="G659" s="10"/>
      <c r="H659" s="11"/>
      <c r="I659" s="11"/>
      <c r="J659" s="10">
        <f>IF($D659="","",IF(AND($H659&lt;&gt;"",$I659&lt;&gt;""),"débit ET crédit",IF(AND($H659="",$I659=""),"montant manquant",IF(ISNA(MATCH($D659,'Plan comptable'!$H:$H,0)),"compte hors plan",IF(AND($A659&lt;&gt;"",YEAR($A659)&lt;&gt;Exercice),"hors exercice","")))))</f>
      </c>
    </row>
    <row r="660">
      <c r="A660" s="13"/>
      <c r="B660" s="10"/>
      <c r="C660" s="9"/>
      <c r="D660" s="20"/>
      <c r="E660" s="9">
        <f>IF($D660="","",IFERROR(VLOOKUP($D660,'Plan comptable'!$H:$I,2,FALSE),"compte hors plan"))</f>
      </c>
      <c r="F660" s="9"/>
      <c r="G660" s="10"/>
      <c r="H660" s="11"/>
      <c r="I660" s="11"/>
      <c r="J660" s="10">
        <f>IF($D660="","",IF(AND($H660&lt;&gt;"",$I660&lt;&gt;""),"débit ET crédit",IF(AND($H660="",$I660=""),"montant manquant",IF(ISNA(MATCH($D660,'Plan comptable'!$H:$H,0)),"compte hors plan",IF(AND($A660&lt;&gt;"",YEAR($A660)&lt;&gt;Exercice),"hors exercice","")))))</f>
      </c>
    </row>
    <row r="661">
      <c r="A661" s="13"/>
      <c r="B661" s="10"/>
      <c r="C661" s="9"/>
      <c r="D661" s="20"/>
      <c r="E661" s="9">
        <f>IF($D661="","",IFERROR(VLOOKUP($D661,'Plan comptable'!$H:$I,2,FALSE),"compte hors plan"))</f>
      </c>
      <c r="F661" s="9"/>
      <c r="G661" s="10"/>
      <c r="H661" s="11"/>
      <c r="I661" s="11"/>
      <c r="J661" s="10">
        <f>IF($D661="","",IF(AND($H661&lt;&gt;"",$I661&lt;&gt;""),"débit ET crédit",IF(AND($H661="",$I661=""),"montant manquant",IF(ISNA(MATCH($D661,'Plan comptable'!$H:$H,0)),"compte hors plan",IF(AND($A661&lt;&gt;"",YEAR($A661)&lt;&gt;Exercice),"hors exercice","")))))</f>
      </c>
    </row>
    <row r="662">
      <c r="A662" s="13"/>
      <c r="B662" s="10"/>
      <c r="C662" s="9"/>
      <c r="D662" s="20"/>
      <c r="E662" s="9">
        <f>IF($D662="","",IFERROR(VLOOKUP($D662,'Plan comptable'!$H:$I,2,FALSE),"compte hors plan"))</f>
      </c>
      <c r="F662" s="9"/>
      <c r="G662" s="10"/>
      <c r="H662" s="11"/>
      <c r="I662" s="11"/>
      <c r="J662" s="10">
        <f>IF($D662="","",IF(AND($H662&lt;&gt;"",$I662&lt;&gt;""),"débit ET crédit",IF(AND($H662="",$I662=""),"montant manquant",IF(ISNA(MATCH($D662,'Plan comptable'!$H:$H,0)),"compte hors plan",IF(AND($A662&lt;&gt;"",YEAR($A662)&lt;&gt;Exercice),"hors exercice","")))))</f>
      </c>
    </row>
    <row r="663">
      <c r="A663" s="13"/>
      <c r="B663" s="10"/>
      <c r="C663" s="9"/>
      <c r="D663" s="20"/>
      <c r="E663" s="9">
        <f>IF($D663="","",IFERROR(VLOOKUP($D663,'Plan comptable'!$H:$I,2,FALSE),"compte hors plan"))</f>
      </c>
      <c r="F663" s="9"/>
      <c r="G663" s="10"/>
      <c r="H663" s="11"/>
      <c r="I663" s="11"/>
      <c r="J663" s="10">
        <f>IF($D663="","",IF(AND($H663&lt;&gt;"",$I663&lt;&gt;""),"débit ET crédit",IF(AND($H663="",$I663=""),"montant manquant",IF(ISNA(MATCH($D663,'Plan comptable'!$H:$H,0)),"compte hors plan",IF(AND($A663&lt;&gt;"",YEAR($A663)&lt;&gt;Exercice),"hors exercice","")))))</f>
      </c>
    </row>
    <row r="664">
      <c r="A664" s="13"/>
      <c r="B664" s="10"/>
      <c r="C664" s="9"/>
      <c r="D664" s="20"/>
      <c r="E664" s="9">
        <f>IF($D664="","",IFERROR(VLOOKUP($D664,'Plan comptable'!$H:$I,2,FALSE),"compte hors plan"))</f>
      </c>
      <c r="F664" s="9"/>
      <c r="G664" s="10"/>
      <c r="H664" s="11"/>
      <c r="I664" s="11"/>
      <c r="J664" s="10">
        <f>IF($D664="","",IF(AND($H664&lt;&gt;"",$I664&lt;&gt;""),"débit ET crédit",IF(AND($H664="",$I664=""),"montant manquant",IF(ISNA(MATCH($D664,'Plan comptable'!$H:$H,0)),"compte hors plan",IF(AND($A664&lt;&gt;"",YEAR($A664)&lt;&gt;Exercice),"hors exercice","")))))</f>
      </c>
    </row>
    <row r="665">
      <c r="A665" s="13"/>
      <c r="B665" s="10"/>
      <c r="C665" s="9"/>
      <c r="D665" s="20"/>
      <c r="E665" s="9">
        <f>IF($D665="","",IFERROR(VLOOKUP($D665,'Plan comptable'!$H:$I,2,FALSE),"compte hors plan"))</f>
      </c>
      <c r="F665" s="9"/>
      <c r="G665" s="10"/>
      <c r="H665" s="11"/>
      <c r="I665" s="11"/>
      <c r="J665" s="10">
        <f>IF($D665="","",IF(AND($H665&lt;&gt;"",$I665&lt;&gt;""),"débit ET crédit",IF(AND($H665="",$I665=""),"montant manquant",IF(ISNA(MATCH($D665,'Plan comptable'!$H:$H,0)),"compte hors plan",IF(AND($A665&lt;&gt;"",YEAR($A665)&lt;&gt;Exercice),"hors exercice","")))))</f>
      </c>
    </row>
    <row r="666">
      <c r="A666" s="13"/>
      <c r="B666" s="10"/>
      <c r="C666" s="9"/>
      <c r="D666" s="20"/>
      <c r="E666" s="9">
        <f>IF($D666="","",IFERROR(VLOOKUP($D666,'Plan comptable'!$H:$I,2,FALSE),"compte hors plan"))</f>
      </c>
      <c r="F666" s="9"/>
      <c r="G666" s="10"/>
      <c r="H666" s="11"/>
      <c r="I666" s="11"/>
      <c r="J666" s="10">
        <f>IF($D666="","",IF(AND($H666&lt;&gt;"",$I666&lt;&gt;""),"débit ET crédit",IF(AND($H666="",$I666=""),"montant manquant",IF(ISNA(MATCH($D666,'Plan comptable'!$H:$H,0)),"compte hors plan",IF(AND($A666&lt;&gt;"",YEAR($A666)&lt;&gt;Exercice),"hors exercice","")))))</f>
      </c>
    </row>
    <row r="667">
      <c r="A667" s="13"/>
      <c r="B667" s="10"/>
      <c r="C667" s="9"/>
      <c r="D667" s="20"/>
      <c r="E667" s="9">
        <f>IF($D667="","",IFERROR(VLOOKUP($D667,'Plan comptable'!$H:$I,2,FALSE),"compte hors plan"))</f>
      </c>
      <c r="F667" s="9"/>
      <c r="G667" s="10"/>
      <c r="H667" s="11"/>
      <c r="I667" s="11"/>
      <c r="J667" s="10">
        <f>IF($D667="","",IF(AND($H667&lt;&gt;"",$I667&lt;&gt;""),"débit ET crédit",IF(AND($H667="",$I667=""),"montant manquant",IF(ISNA(MATCH($D667,'Plan comptable'!$H:$H,0)),"compte hors plan",IF(AND($A667&lt;&gt;"",YEAR($A667)&lt;&gt;Exercice),"hors exercice","")))))</f>
      </c>
    </row>
    <row r="668">
      <c r="A668" s="13"/>
      <c r="B668" s="10"/>
      <c r="C668" s="9"/>
      <c r="D668" s="20"/>
      <c r="E668" s="9">
        <f>IF($D668="","",IFERROR(VLOOKUP($D668,'Plan comptable'!$H:$I,2,FALSE),"compte hors plan"))</f>
      </c>
      <c r="F668" s="9"/>
      <c r="G668" s="10"/>
      <c r="H668" s="11"/>
      <c r="I668" s="11"/>
      <c r="J668" s="10">
        <f>IF($D668="","",IF(AND($H668&lt;&gt;"",$I668&lt;&gt;""),"débit ET crédit",IF(AND($H668="",$I668=""),"montant manquant",IF(ISNA(MATCH($D668,'Plan comptable'!$H:$H,0)),"compte hors plan",IF(AND($A668&lt;&gt;"",YEAR($A668)&lt;&gt;Exercice),"hors exercice","")))))</f>
      </c>
    </row>
    <row r="669">
      <c r="A669" s="13"/>
      <c r="B669" s="10"/>
      <c r="C669" s="9"/>
      <c r="D669" s="20"/>
      <c r="E669" s="9">
        <f>IF($D669="","",IFERROR(VLOOKUP($D669,'Plan comptable'!$H:$I,2,FALSE),"compte hors plan"))</f>
      </c>
      <c r="F669" s="9"/>
      <c r="G669" s="10"/>
      <c r="H669" s="11"/>
      <c r="I669" s="11"/>
      <c r="J669" s="10">
        <f>IF($D669="","",IF(AND($H669&lt;&gt;"",$I669&lt;&gt;""),"débit ET crédit",IF(AND($H669="",$I669=""),"montant manquant",IF(ISNA(MATCH($D669,'Plan comptable'!$H:$H,0)),"compte hors plan",IF(AND($A669&lt;&gt;"",YEAR($A669)&lt;&gt;Exercice),"hors exercice","")))))</f>
      </c>
    </row>
    <row r="670">
      <c r="A670" s="13"/>
      <c r="B670" s="10"/>
      <c r="C670" s="9"/>
      <c r="D670" s="20"/>
      <c r="E670" s="9">
        <f>IF($D670="","",IFERROR(VLOOKUP($D670,'Plan comptable'!$H:$I,2,FALSE),"compte hors plan"))</f>
      </c>
      <c r="F670" s="9"/>
      <c r="G670" s="10"/>
      <c r="H670" s="11"/>
      <c r="I670" s="11"/>
      <c r="J670" s="10">
        <f>IF($D670="","",IF(AND($H670&lt;&gt;"",$I670&lt;&gt;""),"débit ET crédit",IF(AND($H670="",$I670=""),"montant manquant",IF(ISNA(MATCH($D670,'Plan comptable'!$H:$H,0)),"compte hors plan",IF(AND($A670&lt;&gt;"",YEAR($A670)&lt;&gt;Exercice),"hors exercice","")))))</f>
      </c>
    </row>
    <row r="671">
      <c r="A671" s="13"/>
      <c r="B671" s="10"/>
      <c r="C671" s="9"/>
      <c r="D671" s="20"/>
      <c r="E671" s="9">
        <f>IF($D671="","",IFERROR(VLOOKUP($D671,'Plan comptable'!$H:$I,2,FALSE),"compte hors plan"))</f>
      </c>
      <c r="F671" s="9"/>
      <c r="G671" s="10"/>
      <c r="H671" s="11"/>
      <c r="I671" s="11"/>
      <c r="J671" s="10">
        <f>IF($D671="","",IF(AND($H671&lt;&gt;"",$I671&lt;&gt;""),"débit ET crédit",IF(AND($H671="",$I671=""),"montant manquant",IF(ISNA(MATCH($D671,'Plan comptable'!$H:$H,0)),"compte hors plan",IF(AND($A671&lt;&gt;"",YEAR($A671)&lt;&gt;Exercice),"hors exercice","")))))</f>
      </c>
    </row>
    <row r="672">
      <c r="A672" s="13"/>
      <c r="B672" s="10"/>
      <c r="C672" s="9"/>
      <c r="D672" s="20"/>
      <c r="E672" s="9">
        <f>IF($D672="","",IFERROR(VLOOKUP($D672,'Plan comptable'!$H:$I,2,FALSE),"compte hors plan"))</f>
      </c>
      <c r="F672" s="9"/>
      <c r="G672" s="10"/>
      <c r="H672" s="11"/>
      <c r="I672" s="11"/>
      <c r="J672" s="10">
        <f>IF($D672="","",IF(AND($H672&lt;&gt;"",$I672&lt;&gt;""),"débit ET crédit",IF(AND($H672="",$I672=""),"montant manquant",IF(ISNA(MATCH($D672,'Plan comptable'!$H:$H,0)),"compte hors plan",IF(AND($A672&lt;&gt;"",YEAR($A672)&lt;&gt;Exercice),"hors exercice","")))))</f>
      </c>
    </row>
    <row r="673">
      <c r="A673" s="13"/>
      <c r="B673" s="10"/>
      <c r="C673" s="9"/>
      <c r="D673" s="20"/>
      <c r="E673" s="9">
        <f>IF($D673="","",IFERROR(VLOOKUP($D673,'Plan comptable'!$H:$I,2,FALSE),"compte hors plan"))</f>
      </c>
      <c r="F673" s="9"/>
      <c r="G673" s="10"/>
      <c r="H673" s="11"/>
      <c r="I673" s="11"/>
      <c r="J673" s="10">
        <f>IF($D673="","",IF(AND($H673&lt;&gt;"",$I673&lt;&gt;""),"débit ET crédit",IF(AND($H673="",$I673=""),"montant manquant",IF(ISNA(MATCH($D673,'Plan comptable'!$H:$H,0)),"compte hors plan",IF(AND($A673&lt;&gt;"",YEAR($A673)&lt;&gt;Exercice),"hors exercice","")))))</f>
      </c>
    </row>
    <row r="674">
      <c r="A674" s="13"/>
      <c r="B674" s="10"/>
      <c r="C674" s="9"/>
      <c r="D674" s="20"/>
      <c r="E674" s="9">
        <f>IF($D674="","",IFERROR(VLOOKUP($D674,'Plan comptable'!$H:$I,2,FALSE),"compte hors plan"))</f>
      </c>
      <c r="F674" s="9"/>
      <c r="G674" s="10"/>
      <c r="H674" s="11"/>
      <c r="I674" s="11"/>
      <c r="J674" s="10">
        <f>IF($D674="","",IF(AND($H674&lt;&gt;"",$I674&lt;&gt;""),"débit ET crédit",IF(AND($H674="",$I674=""),"montant manquant",IF(ISNA(MATCH($D674,'Plan comptable'!$H:$H,0)),"compte hors plan",IF(AND($A674&lt;&gt;"",YEAR($A674)&lt;&gt;Exercice),"hors exercice","")))))</f>
      </c>
    </row>
    <row r="675">
      <c r="A675" s="13"/>
      <c r="B675" s="10"/>
      <c r="C675" s="9"/>
      <c r="D675" s="20"/>
      <c r="E675" s="9">
        <f>IF($D675="","",IFERROR(VLOOKUP($D675,'Plan comptable'!$H:$I,2,FALSE),"compte hors plan"))</f>
      </c>
      <c r="F675" s="9"/>
      <c r="G675" s="10"/>
      <c r="H675" s="11"/>
      <c r="I675" s="11"/>
      <c r="J675" s="10">
        <f>IF($D675="","",IF(AND($H675&lt;&gt;"",$I675&lt;&gt;""),"débit ET crédit",IF(AND($H675="",$I675=""),"montant manquant",IF(ISNA(MATCH($D675,'Plan comptable'!$H:$H,0)),"compte hors plan",IF(AND($A675&lt;&gt;"",YEAR($A675)&lt;&gt;Exercice),"hors exercice","")))))</f>
      </c>
    </row>
    <row r="676">
      <c r="A676" s="13"/>
      <c r="B676" s="10"/>
      <c r="C676" s="9"/>
      <c r="D676" s="20"/>
      <c r="E676" s="9">
        <f>IF($D676="","",IFERROR(VLOOKUP($D676,'Plan comptable'!$H:$I,2,FALSE),"compte hors plan"))</f>
      </c>
      <c r="F676" s="9"/>
      <c r="G676" s="10"/>
      <c r="H676" s="11"/>
      <c r="I676" s="11"/>
      <c r="J676" s="10">
        <f>IF($D676="","",IF(AND($H676&lt;&gt;"",$I676&lt;&gt;""),"débit ET crédit",IF(AND($H676="",$I676=""),"montant manquant",IF(ISNA(MATCH($D676,'Plan comptable'!$H:$H,0)),"compte hors plan",IF(AND($A676&lt;&gt;"",YEAR($A676)&lt;&gt;Exercice),"hors exercice","")))))</f>
      </c>
    </row>
    <row r="677">
      <c r="A677" s="13"/>
      <c r="B677" s="10"/>
      <c r="C677" s="9"/>
      <c r="D677" s="20"/>
      <c r="E677" s="9">
        <f>IF($D677="","",IFERROR(VLOOKUP($D677,'Plan comptable'!$H:$I,2,FALSE),"compte hors plan"))</f>
      </c>
      <c r="F677" s="9"/>
      <c r="G677" s="10"/>
      <c r="H677" s="11"/>
      <c r="I677" s="11"/>
      <c r="J677" s="10">
        <f>IF($D677="","",IF(AND($H677&lt;&gt;"",$I677&lt;&gt;""),"débit ET crédit",IF(AND($H677="",$I677=""),"montant manquant",IF(ISNA(MATCH($D677,'Plan comptable'!$H:$H,0)),"compte hors plan",IF(AND($A677&lt;&gt;"",YEAR($A677)&lt;&gt;Exercice),"hors exercice","")))))</f>
      </c>
    </row>
    <row r="678">
      <c r="A678" s="13"/>
      <c r="B678" s="10"/>
      <c r="C678" s="9"/>
      <c r="D678" s="20"/>
      <c r="E678" s="9">
        <f>IF($D678="","",IFERROR(VLOOKUP($D678,'Plan comptable'!$H:$I,2,FALSE),"compte hors plan"))</f>
      </c>
      <c r="F678" s="9"/>
      <c r="G678" s="10"/>
      <c r="H678" s="11"/>
      <c r="I678" s="11"/>
      <c r="J678" s="10">
        <f>IF($D678="","",IF(AND($H678&lt;&gt;"",$I678&lt;&gt;""),"débit ET crédit",IF(AND($H678="",$I678=""),"montant manquant",IF(ISNA(MATCH($D678,'Plan comptable'!$H:$H,0)),"compte hors plan",IF(AND($A678&lt;&gt;"",YEAR($A678)&lt;&gt;Exercice),"hors exercice","")))))</f>
      </c>
    </row>
    <row r="679">
      <c r="A679" s="13"/>
      <c r="B679" s="10"/>
      <c r="C679" s="9"/>
      <c r="D679" s="20"/>
      <c r="E679" s="9">
        <f>IF($D679="","",IFERROR(VLOOKUP($D679,'Plan comptable'!$H:$I,2,FALSE),"compte hors plan"))</f>
      </c>
      <c r="F679" s="9"/>
      <c r="G679" s="10"/>
      <c r="H679" s="11"/>
      <c r="I679" s="11"/>
      <c r="J679" s="10">
        <f>IF($D679="","",IF(AND($H679&lt;&gt;"",$I679&lt;&gt;""),"débit ET crédit",IF(AND($H679="",$I679=""),"montant manquant",IF(ISNA(MATCH($D679,'Plan comptable'!$H:$H,0)),"compte hors plan",IF(AND($A679&lt;&gt;"",YEAR($A679)&lt;&gt;Exercice),"hors exercice","")))))</f>
      </c>
    </row>
    <row r="680">
      <c r="A680" s="13"/>
      <c r="B680" s="10"/>
      <c r="C680" s="9"/>
      <c r="D680" s="20"/>
      <c r="E680" s="9">
        <f>IF($D680="","",IFERROR(VLOOKUP($D680,'Plan comptable'!$H:$I,2,FALSE),"compte hors plan"))</f>
      </c>
      <c r="F680" s="9"/>
      <c r="G680" s="10"/>
      <c r="H680" s="11"/>
      <c r="I680" s="11"/>
      <c r="J680" s="10">
        <f>IF($D680="","",IF(AND($H680&lt;&gt;"",$I680&lt;&gt;""),"débit ET crédit",IF(AND($H680="",$I680=""),"montant manquant",IF(ISNA(MATCH($D680,'Plan comptable'!$H:$H,0)),"compte hors plan",IF(AND($A680&lt;&gt;"",YEAR($A680)&lt;&gt;Exercice),"hors exercice","")))))</f>
      </c>
    </row>
    <row r="681">
      <c r="A681" s="13"/>
      <c r="B681" s="10"/>
      <c r="C681" s="9"/>
      <c r="D681" s="20"/>
      <c r="E681" s="9">
        <f>IF($D681="","",IFERROR(VLOOKUP($D681,'Plan comptable'!$H:$I,2,FALSE),"compte hors plan"))</f>
      </c>
      <c r="F681" s="9"/>
      <c r="G681" s="10"/>
      <c r="H681" s="11"/>
      <c r="I681" s="11"/>
      <c r="J681" s="10">
        <f>IF($D681="","",IF(AND($H681&lt;&gt;"",$I681&lt;&gt;""),"débit ET crédit",IF(AND($H681="",$I681=""),"montant manquant",IF(ISNA(MATCH($D681,'Plan comptable'!$H:$H,0)),"compte hors plan",IF(AND($A681&lt;&gt;"",YEAR($A681)&lt;&gt;Exercice),"hors exercice","")))))</f>
      </c>
    </row>
    <row r="682">
      <c r="A682" s="13"/>
      <c r="B682" s="10"/>
      <c r="C682" s="9"/>
      <c r="D682" s="20"/>
      <c r="E682" s="9">
        <f>IF($D682="","",IFERROR(VLOOKUP($D682,'Plan comptable'!$H:$I,2,FALSE),"compte hors plan"))</f>
      </c>
      <c r="F682" s="9"/>
      <c r="G682" s="10"/>
      <c r="H682" s="11"/>
      <c r="I682" s="11"/>
      <c r="J682" s="10">
        <f>IF($D682="","",IF(AND($H682&lt;&gt;"",$I682&lt;&gt;""),"débit ET crédit",IF(AND($H682="",$I682=""),"montant manquant",IF(ISNA(MATCH($D682,'Plan comptable'!$H:$H,0)),"compte hors plan",IF(AND($A682&lt;&gt;"",YEAR($A682)&lt;&gt;Exercice),"hors exercice","")))))</f>
      </c>
    </row>
    <row r="683">
      <c r="A683" s="13"/>
      <c r="B683" s="10"/>
      <c r="C683" s="9"/>
      <c r="D683" s="20"/>
      <c r="E683" s="9">
        <f>IF($D683="","",IFERROR(VLOOKUP($D683,'Plan comptable'!$H:$I,2,FALSE),"compte hors plan"))</f>
      </c>
      <c r="F683" s="9"/>
      <c r="G683" s="10"/>
      <c r="H683" s="11"/>
      <c r="I683" s="11"/>
      <c r="J683" s="10">
        <f>IF($D683="","",IF(AND($H683&lt;&gt;"",$I683&lt;&gt;""),"débit ET crédit",IF(AND($H683="",$I683=""),"montant manquant",IF(ISNA(MATCH($D683,'Plan comptable'!$H:$H,0)),"compte hors plan",IF(AND($A683&lt;&gt;"",YEAR($A683)&lt;&gt;Exercice),"hors exercice","")))))</f>
      </c>
    </row>
    <row r="684">
      <c r="A684" s="13"/>
      <c r="B684" s="10"/>
      <c r="C684" s="9"/>
      <c r="D684" s="20"/>
      <c r="E684" s="9">
        <f>IF($D684="","",IFERROR(VLOOKUP($D684,'Plan comptable'!$H:$I,2,FALSE),"compte hors plan"))</f>
      </c>
      <c r="F684" s="9"/>
      <c r="G684" s="10"/>
      <c r="H684" s="11"/>
      <c r="I684" s="11"/>
      <c r="J684" s="10">
        <f>IF($D684="","",IF(AND($H684&lt;&gt;"",$I684&lt;&gt;""),"débit ET crédit",IF(AND($H684="",$I684=""),"montant manquant",IF(ISNA(MATCH($D684,'Plan comptable'!$H:$H,0)),"compte hors plan",IF(AND($A684&lt;&gt;"",YEAR($A684)&lt;&gt;Exercice),"hors exercice","")))))</f>
      </c>
    </row>
    <row r="685">
      <c r="A685" s="13"/>
      <c r="B685" s="10"/>
      <c r="C685" s="9"/>
      <c r="D685" s="20"/>
      <c r="E685" s="9">
        <f>IF($D685="","",IFERROR(VLOOKUP($D685,'Plan comptable'!$H:$I,2,FALSE),"compte hors plan"))</f>
      </c>
      <c r="F685" s="9"/>
      <c r="G685" s="10"/>
      <c r="H685" s="11"/>
      <c r="I685" s="11"/>
      <c r="J685" s="10">
        <f>IF($D685="","",IF(AND($H685&lt;&gt;"",$I685&lt;&gt;""),"débit ET crédit",IF(AND($H685="",$I685=""),"montant manquant",IF(ISNA(MATCH($D685,'Plan comptable'!$H:$H,0)),"compte hors plan",IF(AND($A685&lt;&gt;"",YEAR($A685)&lt;&gt;Exercice),"hors exercice","")))))</f>
      </c>
    </row>
    <row r="686">
      <c r="A686" s="13"/>
      <c r="B686" s="10"/>
      <c r="C686" s="9"/>
      <c r="D686" s="20"/>
      <c r="E686" s="9">
        <f>IF($D686="","",IFERROR(VLOOKUP($D686,'Plan comptable'!$H:$I,2,FALSE),"compte hors plan"))</f>
      </c>
      <c r="F686" s="9"/>
      <c r="G686" s="10"/>
      <c r="H686" s="11"/>
      <c r="I686" s="11"/>
      <c r="J686" s="10">
        <f>IF($D686="","",IF(AND($H686&lt;&gt;"",$I686&lt;&gt;""),"débit ET crédit",IF(AND($H686="",$I686=""),"montant manquant",IF(ISNA(MATCH($D686,'Plan comptable'!$H:$H,0)),"compte hors plan",IF(AND($A686&lt;&gt;"",YEAR($A686)&lt;&gt;Exercice),"hors exercice","")))))</f>
      </c>
    </row>
    <row r="687">
      <c r="A687" s="13"/>
      <c r="B687" s="10"/>
      <c r="C687" s="9"/>
      <c r="D687" s="20"/>
      <c r="E687" s="9">
        <f>IF($D687="","",IFERROR(VLOOKUP($D687,'Plan comptable'!$H:$I,2,FALSE),"compte hors plan"))</f>
      </c>
      <c r="F687" s="9"/>
      <c r="G687" s="10"/>
      <c r="H687" s="11"/>
      <c r="I687" s="11"/>
      <c r="J687" s="10">
        <f>IF($D687="","",IF(AND($H687&lt;&gt;"",$I687&lt;&gt;""),"débit ET crédit",IF(AND($H687="",$I687=""),"montant manquant",IF(ISNA(MATCH($D687,'Plan comptable'!$H:$H,0)),"compte hors plan",IF(AND($A687&lt;&gt;"",YEAR($A687)&lt;&gt;Exercice),"hors exercice","")))))</f>
      </c>
    </row>
    <row r="688">
      <c r="A688" s="13"/>
      <c r="B688" s="10"/>
      <c r="C688" s="9"/>
      <c r="D688" s="20"/>
      <c r="E688" s="9">
        <f>IF($D688="","",IFERROR(VLOOKUP($D688,'Plan comptable'!$H:$I,2,FALSE),"compte hors plan"))</f>
      </c>
      <c r="F688" s="9"/>
      <c r="G688" s="10"/>
      <c r="H688" s="11"/>
      <c r="I688" s="11"/>
      <c r="J688" s="10">
        <f>IF($D688="","",IF(AND($H688&lt;&gt;"",$I688&lt;&gt;""),"débit ET crédit",IF(AND($H688="",$I688=""),"montant manquant",IF(ISNA(MATCH($D688,'Plan comptable'!$H:$H,0)),"compte hors plan",IF(AND($A688&lt;&gt;"",YEAR($A688)&lt;&gt;Exercice),"hors exercice","")))))</f>
      </c>
    </row>
    <row r="689">
      <c r="A689" s="13"/>
      <c r="B689" s="10"/>
      <c r="C689" s="9"/>
      <c r="D689" s="20"/>
      <c r="E689" s="9">
        <f>IF($D689="","",IFERROR(VLOOKUP($D689,'Plan comptable'!$H:$I,2,FALSE),"compte hors plan"))</f>
      </c>
      <c r="F689" s="9"/>
      <c r="G689" s="10"/>
      <c r="H689" s="11"/>
      <c r="I689" s="11"/>
      <c r="J689" s="10">
        <f>IF($D689="","",IF(AND($H689&lt;&gt;"",$I689&lt;&gt;""),"débit ET crédit",IF(AND($H689="",$I689=""),"montant manquant",IF(ISNA(MATCH($D689,'Plan comptable'!$H:$H,0)),"compte hors plan",IF(AND($A689&lt;&gt;"",YEAR($A689)&lt;&gt;Exercice),"hors exercice","")))))</f>
      </c>
    </row>
    <row r="690">
      <c r="A690" s="13"/>
      <c r="B690" s="10"/>
      <c r="C690" s="9"/>
      <c r="D690" s="20"/>
      <c r="E690" s="9">
        <f>IF($D690="","",IFERROR(VLOOKUP($D690,'Plan comptable'!$H:$I,2,FALSE),"compte hors plan"))</f>
      </c>
      <c r="F690" s="9"/>
      <c r="G690" s="10"/>
      <c r="H690" s="11"/>
      <c r="I690" s="11"/>
      <c r="J690" s="10">
        <f>IF($D690="","",IF(AND($H690&lt;&gt;"",$I690&lt;&gt;""),"débit ET crédit",IF(AND($H690="",$I690=""),"montant manquant",IF(ISNA(MATCH($D690,'Plan comptable'!$H:$H,0)),"compte hors plan",IF(AND($A690&lt;&gt;"",YEAR($A690)&lt;&gt;Exercice),"hors exercice","")))))</f>
      </c>
    </row>
    <row r="691">
      <c r="A691" s="13"/>
      <c r="B691" s="10"/>
      <c r="C691" s="9"/>
      <c r="D691" s="20"/>
      <c r="E691" s="9">
        <f>IF($D691="","",IFERROR(VLOOKUP($D691,'Plan comptable'!$H:$I,2,FALSE),"compte hors plan"))</f>
      </c>
      <c r="F691" s="9"/>
      <c r="G691" s="10"/>
      <c r="H691" s="11"/>
      <c r="I691" s="11"/>
      <c r="J691" s="10">
        <f>IF($D691="","",IF(AND($H691&lt;&gt;"",$I691&lt;&gt;""),"débit ET crédit",IF(AND($H691="",$I691=""),"montant manquant",IF(ISNA(MATCH($D691,'Plan comptable'!$H:$H,0)),"compte hors plan",IF(AND($A691&lt;&gt;"",YEAR($A691)&lt;&gt;Exercice),"hors exercice","")))))</f>
      </c>
    </row>
    <row r="692">
      <c r="A692" s="13"/>
      <c r="B692" s="10"/>
      <c r="C692" s="9"/>
      <c r="D692" s="20"/>
      <c r="E692" s="9">
        <f>IF($D692="","",IFERROR(VLOOKUP($D692,'Plan comptable'!$H:$I,2,FALSE),"compte hors plan"))</f>
      </c>
      <c r="F692" s="9"/>
      <c r="G692" s="10"/>
      <c r="H692" s="11"/>
      <c r="I692" s="11"/>
      <c r="J692" s="10">
        <f>IF($D692="","",IF(AND($H692&lt;&gt;"",$I692&lt;&gt;""),"débit ET crédit",IF(AND($H692="",$I692=""),"montant manquant",IF(ISNA(MATCH($D692,'Plan comptable'!$H:$H,0)),"compte hors plan",IF(AND($A692&lt;&gt;"",YEAR($A692)&lt;&gt;Exercice),"hors exercice","")))))</f>
      </c>
    </row>
    <row r="693">
      <c r="A693" s="13"/>
      <c r="B693" s="10"/>
      <c r="C693" s="9"/>
      <c r="D693" s="20"/>
      <c r="E693" s="9">
        <f>IF($D693="","",IFERROR(VLOOKUP($D693,'Plan comptable'!$H:$I,2,FALSE),"compte hors plan"))</f>
      </c>
      <c r="F693" s="9"/>
      <c r="G693" s="10"/>
      <c r="H693" s="11"/>
      <c r="I693" s="11"/>
      <c r="J693" s="10">
        <f>IF($D693="","",IF(AND($H693&lt;&gt;"",$I693&lt;&gt;""),"débit ET crédit",IF(AND($H693="",$I693=""),"montant manquant",IF(ISNA(MATCH($D693,'Plan comptable'!$H:$H,0)),"compte hors plan",IF(AND($A693&lt;&gt;"",YEAR($A693)&lt;&gt;Exercice),"hors exercice","")))))</f>
      </c>
    </row>
    <row r="694">
      <c r="A694" s="13"/>
      <c r="B694" s="10"/>
      <c r="C694" s="9"/>
      <c r="D694" s="20"/>
      <c r="E694" s="9">
        <f>IF($D694="","",IFERROR(VLOOKUP($D694,'Plan comptable'!$H:$I,2,FALSE),"compte hors plan"))</f>
      </c>
      <c r="F694" s="9"/>
      <c r="G694" s="10"/>
      <c r="H694" s="11"/>
      <c r="I694" s="11"/>
      <c r="J694" s="10">
        <f>IF($D694="","",IF(AND($H694&lt;&gt;"",$I694&lt;&gt;""),"débit ET crédit",IF(AND($H694="",$I694=""),"montant manquant",IF(ISNA(MATCH($D694,'Plan comptable'!$H:$H,0)),"compte hors plan",IF(AND($A694&lt;&gt;"",YEAR($A694)&lt;&gt;Exercice),"hors exercice","")))))</f>
      </c>
    </row>
    <row r="695">
      <c r="A695" s="13"/>
      <c r="B695" s="10"/>
      <c r="C695" s="9"/>
      <c r="D695" s="20"/>
      <c r="E695" s="9">
        <f>IF($D695="","",IFERROR(VLOOKUP($D695,'Plan comptable'!$H:$I,2,FALSE),"compte hors plan"))</f>
      </c>
      <c r="F695" s="9"/>
      <c r="G695" s="10"/>
      <c r="H695" s="11"/>
      <c r="I695" s="11"/>
      <c r="J695" s="10">
        <f>IF($D695="","",IF(AND($H695&lt;&gt;"",$I695&lt;&gt;""),"débit ET crédit",IF(AND($H695="",$I695=""),"montant manquant",IF(ISNA(MATCH($D695,'Plan comptable'!$H:$H,0)),"compte hors plan",IF(AND($A695&lt;&gt;"",YEAR($A695)&lt;&gt;Exercice),"hors exercice","")))))</f>
      </c>
    </row>
    <row r="696">
      <c r="A696" s="13"/>
      <c r="B696" s="10"/>
      <c r="C696" s="9"/>
      <c r="D696" s="20"/>
      <c r="E696" s="9">
        <f>IF($D696="","",IFERROR(VLOOKUP($D696,'Plan comptable'!$H:$I,2,FALSE),"compte hors plan"))</f>
      </c>
      <c r="F696" s="9"/>
      <c r="G696" s="10"/>
      <c r="H696" s="11"/>
      <c r="I696" s="11"/>
      <c r="J696" s="10">
        <f>IF($D696="","",IF(AND($H696&lt;&gt;"",$I696&lt;&gt;""),"débit ET crédit",IF(AND($H696="",$I696=""),"montant manquant",IF(ISNA(MATCH($D696,'Plan comptable'!$H:$H,0)),"compte hors plan",IF(AND($A696&lt;&gt;"",YEAR($A696)&lt;&gt;Exercice),"hors exercice","")))))</f>
      </c>
    </row>
    <row r="697">
      <c r="A697" s="13"/>
      <c r="B697" s="10"/>
      <c r="C697" s="9"/>
      <c r="D697" s="20"/>
      <c r="E697" s="9">
        <f>IF($D697="","",IFERROR(VLOOKUP($D697,'Plan comptable'!$H:$I,2,FALSE),"compte hors plan"))</f>
      </c>
      <c r="F697" s="9"/>
      <c r="G697" s="10"/>
      <c r="H697" s="11"/>
      <c r="I697" s="11"/>
      <c r="J697" s="10">
        <f>IF($D697="","",IF(AND($H697&lt;&gt;"",$I697&lt;&gt;""),"débit ET crédit",IF(AND($H697="",$I697=""),"montant manquant",IF(ISNA(MATCH($D697,'Plan comptable'!$H:$H,0)),"compte hors plan",IF(AND($A697&lt;&gt;"",YEAR($A697)&lt;&gt;Exercice),"hors exercice","")))))</f>
      </c>
    </row>
    <row r="698">
      <c r="A698" s="13"/>
      <c r="B698" s="10"/>
      <c r="C698" s="9"/>
      <c r="D698" s="20"/>
      <c r="E698" s="9">
        <f>IF($D698="","",IFERROR(VLOOKUP($D698,'Plan comptable'!$H:$I,2,FALSE),"compte hors plan"))</f>
      </c>
      <c r="F698" s="9"/>
      <c r="G698" s="10"/>
      <c r="H698" s="11"/>
      <c r="I698" s="11"/>
      <c r="J698" s="10">
        <f>IF($D698="","",IF(AND($H698&lt;&gt;"",$I698&lt;&gt;""),"débit ET crédit",IF(AND($H698="",$I698=""),"montant manquant",IF(ISNA(MATCH($D698,'Plan comptable'!$H:$H,0)),"compte hors plan",IF(AND($A698&lt;&gt;"",YEAR($A698)&lt;&gt;Exercice),"hors exercice","")))))</f>
      </c>
    </row>
    <row r="699">
      <c r="A699" s="13"/>
      <c r="B699" s="10"/>
      <c r="C699" s="9"/>
      <c r="D699" s="20"/>
      <c r="E699" s="9">
        <f>IF($D699="","",IFERROR(VLOOKUP($D699,'Plan comptable'!$H:$I,2,FALSE),"compte hors plan"))</f>
      </c>
      <c r="F699" s="9"/>
      <c r="G699" s="10"/>
      <c r="H699" s="11"/>
      <c r="I699" s="11"/>
      <c r="J699" s="10">
        <f>IF($D699="","",IF(AND($H699&lt;&gt;"",$I699&lt;&gt;""),"débit ET crédit",IF(AND($H699="",$I699=""),"montant manquant",IF(ISNA(MATCH($D699,'Plan comptable'!$H:$H,0)),"compte hors plan",IF(AND($A699&lt;&gt;"",YEAR($A699)&lt;&gt;Exercice),"hors exercice","")))))</f>
      </c>
    </row>
    <row r="700">
      <c r="A700" s="13"/>
      <c r="B700" s="10"/>
      <c r="C700" s="9"/>
      <c r="D700" s="20"/>
      <c r="E700" s="9">
        <f>IF($D700="","",IFERROR(VLOOKUP($D700,'Plan comptable'!$H:$I,2,FALSE),"compte hors plan"))</f>
      </c>
      <c r="F700" s="9"/>
      <c r="G700" s="10"/>
      <c r="H700" s="11"/>
      <c r="I700" s="11"/>
      <c r="J700" s="10">
        <f>IF($D700="","",IF(AND($H700&lt;&gt;"",$I700&lt;&gt;""),"débit ET crédit",IF(AND($H700="",$I700=""),"montant manquant",IF(ISNA(MATCH($D700,'Plan comptable'!$H:$H,0)),"compte hors plan",IF(AND($A700&lt;&gt;"",YEAR($A700)&lt;&gt;Exercice),"hors exercice","")))))</f>
      </c>
    </row>
    <row r="701">
      <c r="A701" s="13"/>
      <c r="B701" s="10"/>
      <c r="C701" s="9"/>
      <c r="D701" s="20"/>
      <c r="E701" s="9">
        <f>IF($D701="","",IFERROR(VLOOKUP($D701,'Plan comptable'!$H:$I,2,FALSE),"compte hors plan"))</f>
      </c>
      <c r="F701" s="9"/>
      <c r="G701" s="10"/>
      <c r="H701" s="11"/>
      <c r="I701" s="11"/>
      <c r="J701" s="10">
        <f>IF($D701="","",IF(AND($H701&lt;&gt;"",$I701&lt;&gt;""),"débit ET crédit",IF(AND($H701="",$I701=""),"montant manquant",IF(ISNA(MATCH($D701,'Plan comptable'!$H:$H,0)),"compte hors plan",IF(AND($A701&lt;&gt;"",YEAR($A701)&lt;&gt;Exercice),"hors exercice","")))))</f>
      </c>
    </row>
    <row r="702">
      <c r="A702" s="13"/>
      <c r="B702" s="10"/>
      <c r="C702" s="9"/>
      <c r="D702" s="20"/>
      <c r="E702" s="9">
        <f>IF($D702="","",IFERROR(VLOOKUP($D702,'Plan comptable'!$H:$I,2,FALSE),"compte hors plan"))</f>
      </c>
      <c r="F702" s="9"/>
      <c r="G702" s="10"/>
      <c r="H702" s="11"/>
      <c r="I702" s="11"/>
      <c r="J702" s="10">
        <f>IF($D702="","",IF(AND($H702&lt;&gt;"",$I702&lt;&gt;""),"débit ET crédit",IF(AND($H702="",$I702=""),"montant manquant",IF(ISNA(MATCH($D702,'Plan comptable'!$H:$H,0)),"compte hors plan",IF(AND($A702&lt;&gt;"",YEAR($A702)&lt;&gt;Exercice),"hors exercice","")))))</f>
      </c>
    </row>
    <row r="703">
      <c r="A703" s="13"/>
      <c r="B703" s="10"/>
      <c r="C703" s="9"/>
      <c r="D703" s="20"/>
      <c r="E703" s="9">
        <f>IF($D703="","",IFERROR(VLOOKUP($D703,'Plan comptable'!$H:$I,2,FALSE),"compte hors plan"))</f>
      </c>
      <c r="F703" s="9"/>
      <c r="G703" s="10"/>
      <c r="H703" s="11"/>
      <c r="I703" s="11"/>
      <c r="J703" s="10">
        <f>IF($D703="","",IF(AND($H703&lt;&gt;"",$I703&lt;&gt;""),"débit ET crédit",IF(AND($H703="",$I703=""),"montant manquant",IF(ISNA(MATCH($D703,'Plan comptable'!$H:$H,0)),"compte hors plan",IF(AND($A703&lt;&gt;"",YEAR($A703)&lt;&gt;Exercice),"hors exercice","")))))</f>
      </c>
    </row>
    <row r="704">
      <c r="A704" s="13"/>
      <c r="B704" s="10"/>
      <c r="C704" s="9"/>
      <c r="D704" s="20"/>
      <c r="E704" s="9">
        <f>IF($D704="","",IFERROR(VLOOKUP($D704,'Plan comptable'!$H:$I,2,FALSE),"compte hors plan"))</f>
      </c>
      <c r="F704" s="9"/>
      <c r="G704" s="10"/>
      <c r="H704" s="11"/>
      <c r="I704" s="11"/>
      <c r="J704" s="10">
        <f>IF($D704="","",IF(AND($H704&lt;&gt;"",$I704&lt;&gt;""),"débit ET crédit",IF(AND($H704="",$I704=""),"montant manquant",IF(ISNA(MATCH($D704,'Plan comptable'!$H:$H,0)),"compte hors plan",IF(AND($A704&lt;&gt;"",YEAR($A704)&lt;&gt;Exercice),"hors exercice","")))))</f>
      </c>
    </row>
    <row r="705">
      <c r="A705" s="13"/>
      <c r="B705" s="10"/>
      <c r="C705" s="9"/>
      <c r="D705" s="20"/>
      <c r="E705" s="9">
        <f>IF($D705="","",IFERROR(VLOOKUP($D705,'Plan comptable'!$H:$I,2,FALSE),"compte hors plan"))</f>
      </c>
      <c r="F705" s="9"/>
      <c r="G705" s="10"/>
      <c r="H705" s="11"/>
      <c r="I705" s="11"/>
      <c r="J705" s="10">
        <f>IF($D705="","",IF(AND($H705&lt;&gt;"",$I705&lt;&gt;""),"débit ET crédit",IF(AND($H705="",$I705=""),"montant manquant",IF(ISNA(MATCH($D705,'Plan comptable'!$H:$H,0)),"compte hors plan",IF(AND($A705&lt;&gt;"",YEAR($A705)&lt;&gt;Exercice),"hors exercice","")))))</f>
      </c>
    </row>
    <row r="706">
      <c r="A706" s="13"/>
      <c r="B706" s="10"/>
      <c r="C706" s="9"/>
      <c r="D706" s="20"/>
      <c r="E706" s="9">
        <f>IF($D706="","",IFERROR(VLOOKUP($D706,'Plan comptable'!$H:$I,2,FALSE),"compte hors plan"))</f>
      </c>
      <c r="F706" s="9"/>
      <c r="G706" s="10"/>
      <c r="H706" s="11"/>
      <c r="I706" s="11"/>
      <c r="J706" s="10">
        <f>IF($D706="","",IF(AND($H706&lt;&gt;"",$I706&lt;&gt;""),"débit ET crédit",IF(AND($H706="",$I706=""),"montant manquant",IF(ISNA(MATCH($D706,'Plan comptable'!$H:$H,0)),"compte hors plan",IF(AND($A706&lt;&gt;"",YEAR($A706)&lt;&gt;Exercice),"hors exercice","")))))</f>
      </c>
    </row>
    <row r="707">
      <c r="A707" s="13"/>
      <c r="B707" s="10"/>
      <c r="C707" s="9"/>
      <c r="D707" s="20"/>
      <c r="E707" s="9">
        <f>IF($D707="","",IFERROR(VLOOKUP($D707,'Plan comptable'!$H:$I,2,FALSE),"compte hors plan"))</f>
      </c>
      <c r="F707" s="9"/>
      <c r="G707" s="10"/>
      <c r="H707" s="11"/>
      <c r="I707" s="11"/>
      <c r="J707" s="10">
        <f>IF($D707="","",IF(AND($H707&lt;&gt;"",$I707&lt;&gt;""),"débit ET crédit",IF(AND($H707="",$I707=""),"montant manquant",IF(ISNA(MATCH($D707,'Plan comptable'!$H:$H,0)),"compte hors plan",IF(AND($A707&lt;&gt;"",YEAR($A707)&lt;&gt;Exercice),"hors exercice","")))))</f>
      </c>
    </row>
    <row r="708">
      <c r="A708" s="13"/>
      <c r="B708" s="10"/>
      <c r="C708" s="9"/>
      <c r="D708" s="20"/>
      <c r="E708" s="9">
        <f>IF($D708="","",IFERROR(VLOOKUP($D708,'Plan comptable'!$H:$I,2,FALSE),"compte hors plan"))</f>
      </c>
      <c r="F708" s="9"/>
      <c r="G708" s="10"/>
      <c r="H708" s="11"/>
      <c r="I708" s="11"/>
      <c r="J708" s="10">
        <f>IF($D708="","",IF(AND($H708&lt;&gt;"",$I708&lt;&gt;""),"débit ET crédit",IF(AND($H708="",$I708=""),"montant manquant",IF(ISNA(MATCH($D708,'Plan comptable'!$H:$H,0)),"compte hors plan",IF(AND($A708&lt;&gt;"",YEAR($A708)&lt;&gt;Exercice),"hors exercice","")))))</f>
      </c>
    </row>
    <row r="709">
      <c r="A709" s="13"/>
      <c r="B709" s="10"/>
      <c r="C709" s="9"/>
      <c r="D709" s="20"/>
      <c r="E709" s="9">
        <f>IF($D709="","",IFERROR(VLOOKUP($D709,'Plan comptable'!$H:$I,2,FALSE),"compte hors plan"))</f>
      </c>
      <c r="F709" s="9"/>
      <c r="G709" s="10"/>
      <c r="H709" s="11"/>
      <c r="I709" s="11"/>
      <c r="J709" s="10">
        <f>IF($D709="","",IF(AND($H709&lt;&gt;"",$I709&lt;&gt;""),"débit ET crédit",IF(AND($H709="",$I709=""),"montant manquant",IF(ISNA(MATCH($D709,'Plan comptable'!$H:$H,0)),"compte hors plan",IF(AND($A709&lt;&gt;"",YEAR($A709)&lt;&gt;Exercice),"hors exercice","")))))</f>
      </c>
    </row>
    <row r="710">
      <c r="A710" s="13"/>
      <c r="B710" s="10"/>
      <c r="C710" s="9"/>
      <c r="D710" s="20"/>
      <c r="E710" s="9">
        <f>IF($D710="","",IFERROR(VLOOKUP($D710,'Plan comptable'!$H:$I,2,FALSE),"compte hors plan"))</f>
      </c>
      <c r="F710" s="9"/>
      <c r="G710" s="10"/>
      <c r="H710" s="11"/>
      <c r="I710" s="11"/>
      <c r="J710" s="10">
        <f>IF($D710="","",IF(AND($H710&lt;&gt;"",$I710&lt;&gt;""),"débit ET crédit",IF(AND($H710="",$I710=""),"montant manquant",IF(ISNA(MATCH($D710,'Plan comptable'!$H:$H,0)),"compte hors plan",IF(AND($A710&lt;&gt;"",YEAR($A710)&lt;&gt;Exercice),"hors exercice","")))))</f>
      </c>
    </row>
    <row r="711">
      <c r="A711" s="13"/>
      <c r="B711" s="10"/>
      <c r="C711" s="9"/>
      <c r="D711" s="20"/>
      <c r="E711" s="9">
        <f>IF($D711="","",IFERROR(VLOOKUP($D711,'Plan comptable'!$H:$I,2,FALSE),"compte hors plan"))</f>
      </c>
      <c r="F711" s="9"/>
      <c r="G711" s="10"/>
      <c r="H711" s="11"/>
      <c r="I711" s="11"/>
      <c r="J711" s="10">
        <f>IF($D711="","",IF(AND($H711&lt;&gt;"",$I711&lt;&gt;""),"débit ET crédit",IF(AND($H711="",$I711=""),"montant manquant",IF(ISNA(MATCH($D711,'Plan comptable'!$H:$H,0)),"compte hors plan",IF(AND($A711&lt;&gt;"",YEAR($A711)&lt;&gt;Exercice),"hors exercice","")))))</f>
      </c>
    </row>
    <row r="712">
      <c r="A712" s="13"/>
      <c r="B712" s="10"/>
      <c r="C712" s="9"/>
      <c r="D712" s="20"/>
      <c r="E712" s="9">
        <f>IF($D712="","",IFERROR(VLOOKUP($D712,'Plan comptable'!$H:$I,2,FALSE),"compte hors plan"))</f>
      </c>
      <c r="F712" s="9"/>
      <c r="G712" s="10"/>
      <c r="H712" s="11"/>
      <c r="I712" s="11"/>
      <c r="J712" s="10">
        <f>IF($D712="","",IF(AND($H712&lt;&gt;"",$I712&lt;&gt;""),"débit ET crédit",IF(AND($H712="",$I712=""),"montant manquant",IF(ISNA(MATCH($D712,'Plan comptable'!$H:$H,0)),"compte hors plan",IF(AND($A712&lt;&gt;"",YEAR($A712)&lt;&gt;Exercice),"hors exercice","")))))</f>
      </c>
    </row>
    <row r="713">
      <c r="A713" s="13"/>
      <c r="B713" s="10"/>
      <c r="C713" s="9"/>
      <c r="D713" s="20"/>
      <c r="E713" s="9">
        <f>IF($D713="","",IFERROR(VLOOKUP($D713,'Plan comptable'!$H:$I,2,FALSE),"compte hors plan"))</f>
      </c>
      <c r="F713" s="9"/>
      <c r="G713" s="10"/>
      <c r="H713" s="11"/>
      <c r="I713" s="11"/>
      <c r="J713" s="10">
        <f>IF($D713="","",IF(AND($H713&lt;&gt;"",$I713&lt;&gt;""),"débit ET crédit",IF(AND($H713="",$I713=""),"montant manquant",IF(ISNA(MATCH($D713,'Plan comptable'!$H:$H,0)),"compte hors plan",IF(AND($A713&lt;&gt;"",YEAR($A713)&lt;&gt;Exercice),"hors exercice","")))))</f>
      </c>
    </row>
    <row r="714">
      <c r="A714" s="13"/>
      <c r="B714" s="10"/>
      <c r="C714" s="9"/>
      <c r="D714" s="20"/>
      <c r="E714" s="9">
        <f>IF($D714="","",IFERROR(VLOOKUP($D714,'Plan comptable'!$H:$I,2,FALSE),"compte hors plan"))</f>
      </c>
      <c r="F714" s="9"/>
      <c r="G714" s="10"/>
      <c r="H714" s="11"/>
      <c r="I714" s="11"/>
      <c r="J714" s="10">
        <f>IF($D714="","",IF(AND($H714&lt;&gt;"",$I714&lt;&gt;""),"débit ET crédit",IF(AND($H714="",$I714=""),"montant manquant",IF(ISNA(MATCH($D714,'Plan comptable'!$H:$H,0)),"compte hors plan",IF(AND($A714&lt;&gt;"",YEAR($A714)&lt;&gt;Exercice),"hors exercice","")))))</f>
      </c>
    </row>
    <row r="715">
      <c r="A715" s="13"/>
      <c r="B715" s="10"/>
      <c r="C715" s="9"/>
      <c r="D715" s="20"/>
      <c r="E715" s="9">
        <f>IF($D715="","",IFERROR(VLOOKUP($D715,'Plan comptable'!$H:$I,2,FALSE),"compte hors plan"))</f>
      </c>
      <c r="F715" s="9"/>
      <c r="G715" s="10"/>
      <c r="H715" s="11"/>
      <c r="I715" s="11"/>
      <c r="J715" s="10">
        <f>IF($D715="","",IF(AND($H715&lt;&gt;"",$I715&lt;&gt;""),"débit ET crédit",IF(AND($H715="",$I715=""),"montant manquant",IF(ISNA(MATCH($D715,'Plan comptable'!$H:$H,0)),"compte hors plan",IF(AND($A715&lt;&gt;"",YEAR($A715)&lt;&gt;Exercice),"hors exercice","")))))</f>
      </c>
    </row>
    <row r="716">
      <c r="A716" s="13"/>
      <c r="B716" s="10"/>
      <c r="C716" s="9"/>
      <c r="D716" s="20"/>
      <c r="E716" s="9">
        <f>IF($D716="","",IFERROR(VLOOKUP($D716,'Plan comptable'!$H:$I,2,FALSE),"compte hors plan"))</f>
      </c>
      <c r="F716" s="9"/>
      <c r="G716" s="10"/>
      <c r="H716" s="11"/>
      <c r="I716" s="11"/>
      <c r="J716" s="10">
        <f>IF($D716="","",IF(AND($H716&lt;&gt;"",$I716&lt;&gt;""),"débit ET crédit",IF(AND($H716="",$I716=""),"montant manquant",IF(ISNA(MATCH($D716,'Plan comptable'!$H:$H,0)),"compte hors plan",IF(AND($A716&lt;&gt;"",YEAR($A716)&lt;&gt;Exercice),"hors exercice","")))))</f>
      </c>
    </row>
    <row r="717">
      <c r="A717" s="13"/>
      <c r="B717" s="10"/>
      <c r="C717" s="9"/>
      <c r="D717" s="20"/>
      <c r="E717" s="9">
        <f>IF($D717="","",IFERROR(VLOOKUP($D717,'Plan comptable'!$H:$I,2,FALSE),"compte hors plan"))</f>
      </c>
      <c r="F717" s="9"/>
      <c r="G717" s="10"/>
      <c r="H717" s="11"/>
      <c r="I717" s="11"/>
      <c r="J717" s="10">
        <f>IF($D717="","",IF(AND($H717&lt;&gt;"",$I717&lt;&gt;""),"débit ET crédit",IF(AND($H717="",$I717=""),"montant manquant",IF(ISNA(MATCH($D717,'Plan comptable'!$H:$H,0)),"compte hors plan",IF(AND($A717&lt;&gt;"",YEAR($A717)&lt;&gt;Exercice),"hors exercice","")))))</f>
      </c>
    </row>
    <row r="718">
      <c r="A718" s="13"/>
      <c r="B718" s="10"/>
      <c r="C718" s="9"/>
      <c r="D718" s="20"/>
      <c r="E718" s="9">
        <f>IF($D718="","",IFERROR(VLOOKUP($D718,'Plan comptable'!$H:$I,2,FALSE),"compte hors plan"))</f>
      </c>
      <c r="F718" s="9"/>
      <c r="G718" s="10"/>
      <c r="H718" s="11"/>
      <c r="I718" s="11"/>
      <c r="J718" s="10">
        <f>IF($D718="","",IF(AND($H718&lt;&gt;"",$I718&lt;&gt;""),"débit ET crédit",IF(AND($H718="",$I718=""),"montant manquant",IF(ISNA(MATCH($D718,'Plan comptable'!$H:$H,0)),"compte hors plan",IF(AND($A718&lt;&gt;"",YEAR($A718)&lt;&gt;Exercice),"hors exercice","")))))</f>
      </c>
    </row>
    <row r="719">
      <c r="A719" s="13"/>
      <c r="B719" s="10"/>
      <c r="C719" s="9"/>
      <c r="D719" s="20"/>
      <c r="E719" s="9">
        <f>IF($D719="","",IFERROR(VLOOKUP($D719,'Plan comptable'!$H:$I,2,FALSE),"compte hors plan"))</f>
      </c>
      <c r="F719" s="9"/>
      <c r="G719" s="10"/>
      <c r="H719" s="11"/>
      <c r="I719" s="11"/>
      <c r="J719" s="10">
        <f>IF($D719="","",IF(AND($H719&lt;&gt;"",$I719&lt;&gt;""),"débit ET crédit",IF(AND($H719="",$I719=""),"montant manquant",IF(ISNA(MATCH($D719,'Plan comptable'!$H:$H,0)),"compte hors plan",IF(AND($A719&lt;&gt;"",YEAR($A719)&lt;&gt;Exercice),"hors exercice","")))))</f>
      </c>
    </row>
    <row r="720">
      <c r="A720" s="13"/>
      <c r="B720" s="10"/>
      <c r="C720" s="9"/>
      <c r="D720" s="20"/>
      <c r="E720" s="9">
        <f>IF($D720="","",IFERROR(VLOOKUP($D720,'Plan comptable'!$H:$I,2,FALSE),"compte hors plan"))</f>
      </c>
      <c r="F720" s="9"/>
      <c r="G720" s="10"/>
      <c r="H720" s="11"/>
      <c r="I720" s="11"/>
      <c r="J720" s="10">
        <f>IF($D720="","",IF(AND($H720&lt;&gt;"",$I720&lt;&gt;""),"débit ET crédit",IF(AND($H720="",$I720=""),"montant manquant",IF(ISNA(MATCH($D720,'Plan comptable'!$H:$H,0)),"compte hors plan",IF(AND($A720&lt;&gt;"",YEAR($A720)&lt;&gt;Exercice),"hors exercice","")))))</f>
      </c>
    </row>
    <row r="721">
      <c r="A721" s="13"/>
      <c r="B721" s="10"/>
      <c r="C721" s="9"/>
      <c r="D721" s="20"/>
      <c r="E721" s="9">
        <f>IF($D721="","",IFERROR(VLOOKUP($D721,'Plan comptable'!$H:$I,2,FALSE),"compte hors plan"))</f>
      </c>
      <c r="F721" s="9"/>
      <c r="G721" s="10"/>
      <c r="H721" s="11"/>
      <c r="I721" s="11"/>
      <c r="J721" s="10">
        <f>IF($D721="","",IF(AND($H721&lt;&gt;"",$I721&lt;&gt;""),"débit ET crédit",IF(AND($H721="",$I721=""),"montant manquant",IF(ISNA(MATCH($D721,'Plan comptable'!$H:$H,0)),"compte hors plan",IF(AND($A721&lt;&gt;"",YEAR($A721)&lt;&gt;Exercice),"hors exercice","")))))</f>
      </c>
    </row>
    <row r="722">
      <c r="A722" s="13"/>
      <c r="B722" s="10"/>
      <c r="C722" s="9"/>
      <c r="D722" s="20"/>
      <c r="E722" s="9">
        <f>IF($D722="","",IFERROR(VLOOKUP($D722,'Plan comptable'!$H:$I,2,FALSE),"compte hors plan"))</f>
      </c>
      <c r="F722" s="9"/>
      <c r="G722" s="10"/>
      <c r="H722" s="11"/>
      <c r="I722" s="11"/>
      <c r="J722" s="10">
        <f>IF($D722="","",IF(AND($H722&lt;&gt;"",$I722&lt;&gt;""),"débit ET crédit",IF(AND($H722="",$I722=""),"montant manquant",IF(ISNA(MATCH($D722,'Plan comptable'!$H:$H,0)),"compte hors plan",IF(AND($A722&lt;&gt;"",YEAR($A722)&lt;&gt;Exercice),"hors exercice","")))))</f>
      </c>
    </row>
    <row r="723">
      <c r="A723" s="13"/>
      <c r="B723" s="10"/>
      <c r="C723" s="9"/>
      <c r="D723" s="20"/>
      <c r="E723" s="9">
        <f>IF($D723="","",IFERROR(VLOOKUP($D723,'Plan comptable'!$H:$I,2,FALSE),"compte hors plan"))</f>
      </c>
      <c r="F723" s="9"/>
      <c r="G723" s="10"/>
      <c r="H723" s="11"/>
      <c r="I723" s="11"/>
      <c r="J723" s="10">
        <f>IF($D723="","",IF(AND($H723&lt;&gt;"",$I723&lt;&gt;""),"débit ET crédit",IF(AND($H723="",$I723=""),"montant manquant",IF(ISNA(MATCH($D723,'Plan comptable'!$H:$H,0)),"compte hors plan",IF(AND($A723&lt;&gt;"",YEAR($A723)&lt;&gt;Exercice),"hors exercice","")))))</f>
      </c>
    </row>
    <row r="724">
      <c r="A724" s="13"/>
      <c r="B724" s="10"/>
      <c r="C724" s="9"/>
      <c r="D724" s="20"/>
      <c r="E724" s="9">
        <f>IF($D724="","",IFERROR(VLOOKUP($D724,'Plan comptable'!$H:$I,2,FALSE),"compte hors plan"))</f>
      </c>
      <c r="F724" s="9"/>
      <c r="G724" s="10"/>
      <c r="H724" s="11"/>
      <c r="I724" s="11"/>
      <c r="J724" s="10">
        <f>IF($D724="","",IF(AND($H724&lt;&gt;"",$I724&lt;&gt;""),"débit ET crédit",IF(AND($H724="",$I724=""),"montant manquant",IF(ISNA(MATCH($D724,'Plan comptable'!$H:$H,0)),"compte hors plan",IF(AND($A724&lt;&gt;"",YEAR($A724)&lt;&gt;Exercice),"hors exercice","")))))</f>
      </c>
    </row>
    <row r="725">
      <c r="A725" s="13"/>
      <c r="B725" s="10"/>
      <c r="C725" s="9"/>
      <c r="D725" s="20"/>
      <c r="E725" s="9">
        <f>IF($D725="","",IFERROR(VLOOKUP($D725,'Plan comptable'!$H:$I,2,FALSE),"compte hors plan"))</f>
      </c>
      <c r="F725" s="9"/>
      <c r="G725" s="10"/>
      <c r="H725" s="11"/>
      <c r="I725" s="11"/>
      <c r="J725" s="10">
        <f>IF($D725="","",IF(AND($H725&lt;&gt;"",$I725&lt;&gt;""),"débit ET crédit",IF(AND($H725="",$I725=""),"montant manquant",IF(ISNA(MATCH($D725,'Plan comptable'!$H:$H,0)),"compte hors plan",IF(AND($A725&lt;&gt;"",YEAR($A725)&lt;&gt;Exercice),"hors exercice","")))))</f>
      </c>
    </row>
    <row r="726">
      <c r="A726" s="13"/>
      <c r="B726" s="10"/>
      <c r="C726" s="9"/>
      <c r="D726" s="20"/>
      <c r="E726" s="9">
        <f>IF($D726="","",IFERROR(VLOOKUP($D726,'Plan comptable'!$H:$I,2,FALSE),"compte hors plan"))</f>
      </c>
      <c r="F726" s="9"/>
      <c r="G726" s="10"/>
      <c r="H726" s="11"/>
      <c r="I726" s="11"/>
      <c r="J726" s="10">
        <f>IF($D726="","",IF(AND($H726&lt;&gt;"",$I726&lt;&gt;""),"débit ET crédit",IF(AND($H726="",$I726=""),"montant manquant",IF(ISNA(MATCH($D726,'Plan comptable'!$H:$H,0)),"compte hors plan",IF(AND($A726&lt;&gt;"",YEAR($A726)&lt;&gt;Exercice),"hors exercice","")))))</f>
      </c>
    </row>
    <row r="727">
      <c r="A727" s="13"/>
      <c r="B727" s="10"/>
      <c r="C727" s="9"/>
      <c r="D727" s="20"/>
      <c r="E727" s="9">
        <f>IF($D727="","",IFERROR(VLOOKUP($D727,'Plan comptable'!$H:$I,2,FALSE),"compte hors plan"))</f>
      </c>
      <c r="F727" s="9"/>
      <c r="G727" s="10"/>
      <c r="H727" s="11"/>
      <c r="I727" s="11"/>
      <c r="J727" s="10">
        <f>IF($D727="","",IF(AND($H727&lt;&gt;"",$I727&lt;&gt;""),"débit ET crédit",IF(AND($H727="",$I727=""),"montant manquant",IF(ISNA(MATCH($D727,'Plan comptable'!$H:$H,0)),"compte hors plan",IF(AND($A727&lt;&gt;"",YEAR($A727)&lt;&gt;Exercice),"hors exercice","")))))</f>
      </c>
    </row>
    <row r="728">
      <c r="A728" s="13"/>
      <c r="B728" s="10"/>
      <c r="C728" s="9"/>
      <c r="D728" s="20"/>
      <c r="E728" s="9">
        <f>IF($D728="","",IFERROR(VLOOKUP($D728,'Plan comptable'!$H:$I,2,FALSE),"compte hors plan"))</f>
      </c>
      <c r="F728" s="9"/>
      <c r="G728" s="10"/>
      <c r="H728" s="11"/>
      <c r="I728" s="11"/>
      <c r="J728" s="10">
        <f>IF($D728="","",IF(AND($H728&lt;&gt;"",$I728&lt;&gt;""),"débit ET crédit",IF(AND($H728="",$I728=""),"montant manquant",IF(ISNA(MATCH($D728,'Plan comptable'!$H:$H,0)),"compte hors plan",IF(AND($A728&lt;&gt;"",YEAR($A728)&lt;&gt;Exercice),"hors exercice","")))))</f>
      </c>
    </row>
    <row r="729">
      <c r="A729" s="13"/>
      <c r="B729" s="10"/>
      <c r="C729" s="9"/>
      <c r="D729" s="20"/>
      <c r="E729" s="9">
        <f>IF($D729="","",IFERROR(VLOOKUP($D729,'Plan comptable'!$H:$I,2,FALSE),"compte hors plan"))</f>
      </c>
      <c r="F729" s="9"/>
      <c r="G729" s="10"/>
      <c r="H729" s="11"/>
      <c r="I729" s="11"/>
      <c r="J729" s="10">
        <f>IF($D729="","",IF(AND($H729&lt;&gt;"",$I729&lt;&gt;""),"débit ET crédit",IF(AND($H729="",$I729=""),"montant manquant",IF(ISNA(MATCH($D729,'Plan comptable'!$H:$H,0)),"compte hors plan",IF(AND($A729&lt;&gt;"",YEAR($A729)&lt;&gt;Exercice),"hors exercice","")))))</f>
      </c>
    </row>
    <row r="730">
      <c r="A730" s="13"/>
      <c r="B730" s="10"/>
      <c r="C730" s="9"/>
      <c r="D730" s="20"/>
      <c r="E730" s="9">
        <f>IF($D730="","",IFERROR(VLOOKUP($D730,'Plan comptable'!$H:$I,2,FALSE),"compte hors plan"))</f>
      </c>
      <c r="F730" s="9"/>
      <c r="G730" s="10"/>
      <c r="H730" s="11"/>
      <c r="I730" s="11"/>
      <c r="J730" s="10">
        <f>IF($D730="","",IF(AND($H730&lt;&gt;"",$I730&lt;&gt;""),"débit ET crédit",IF(AND($H730="",$I730=""),"montant manquant",IF(ISNA(MATCH($D730,'Plan comptable'!$H:$H,0)),"compte hors plan",IF(AND($A730&lt;&gt;"",YEAR($A730)&lt;&gt;Exercice),"hors exercice","")))))</f>
      </c>
    </row>
    <row r="731">
      <c r="A731" s="13"/>
      <c r="B731" s="10"/>
      <c r="C731" s="9"/>
      <c r="D731" s="20"/>
      <c r="E731" s="9">
        <f>IF($D731="","",IFERROR(VLOOKUP($D731,'Plan comptable'!$H:$I,2,FALSE),"compte hors plan"))</f>
      </c>
      <c r="F731" s="9"/>
      <c r="G731" s="10"/>
      <c r="H731" s="11"/>
      <c r="I731" s="11"/>
      <c r="J731" s="10">
        <f>IF($D731="","",IF(AND($H731&lt;&gt;"",$I731&lt;&gt;""),"débit ET crédit",IF(AND($H731="",$I731=""),"montant manquant",IF(ISNA(MATCH($D731,'Plan comptable'!$H:$H,0)),"compte hors plan",IF(AND($A731&lt;&gt;"",YEAR($A731)&lt;&gt;Exercice),"hors exercice","")))))</f>
      </c>
    </row>
    <row r="732">
      <c r="A732" s="13"/>
      <c r="B732" s="10"/>
      <c r="C732" s="9"/>
      <c r="D732" s="20"/>
      <c r="E732" s="9">
        <f>IF($D732="","",IFERROR(VLOOKUP($D732,'Plan comptable'!$H:$I,2,FALSE),"compte hors plan"))</f>
      </c>
      <c r="F732" s="9"/>
      <c r="G732" s="10"/>
      <c r="H732" s="11"/>
      <c r="I732" s="11"/>
      <c r="J732" s="10">
        <f>IF($D732="","",IF(AND($H732&lt;&gt;"",$I732&lt;&gt;""),"débit ET crédit",IF(AND($H732="",$I732=""),"montant manquant",IF(ISNA(MATCH($D732,'Plan comptable'!$H:$H,0)),"compte hors plan",IF(AND($A732&lt;&gt;"",YEAR($A732)&lt;&gt;Exercice),"hors exercice","")))))</f>
      </c>
    </row>
    <row r="733">
      <c r="A733" s="13"/>
      <c r="B733" s="10"/>
      <c r="C733" s="9"/>
      <c r="D733" s="20"/>
      <c r="E733" s="9">
        <f>IF($D733="","",IFERROR(VLOOKUP($D733,'Plan comptable'!$H:$I,2,FALSE),"compte hors plan"))</f>
      </c>
      <c r="F733" s="9"/>
      <c r="G733" s="10"/>
      <c r="H733" s="11"/>
      <c r="I733" s="11"/>
      <c r="J733" s="10">
        <f>IF($D733="","",IF(AND($H733&lt;&gt;"",$I733&lt;&gt;""),"débit ET crédit",IF(AND($H733="",$I733=""),"montant manquant",IF(ISNA(MATCH($D733,'Plan comptable'!$H:$H,0)),"compte hors plan",IF(AND($A733&lt;&gt;"",YEAR($A733)&lt;&gt;Exercice),"hors exercice","")))))</f>
      </c>
    </row>
    <row r="734">
      <c r="A734" s="13"/>
      <c r="B734" s="10"/>
      <c r="C734" s="9"/>
      <c r="D734" s="20"/>
      <c r="E734" s="9">
        <f>IF($D734="","",IFERROR(VLOOKUP($D734,'Plan comptable'!$H:$I,2,FALSE),"compte hors plan"))</f>
      </c>
      <c r="F734" s="9"/>
      <c r="G734" s="10"/>
      <c r="H734" s="11"/>
      <c r="I734" s="11"/>
      <c r="J734" s="10">
        <f>IF($D734="","",IF(AND($H734&lt;&gt;"",$I734&lt;&gt;""),"débit ET crédit",IF(AND($H734="",$I734=""),"montant manquant",IF(ISNA(MATCH($D734,'Plan comptable'!$H:$H,0)),"compte hors plan",IF(AND($A734&lt;&gt;"",YEAR($A734)&lt;&gt;Exercice),"hors exercice","")))))</f>
      </c>
    </row>
    <row r="735">
      <c r="A735" s="13"/>
      <c r="B735" s="10"/>
      <c r="C735" s="9"/>
      <c r="D735" s="20"/>
      <c r="E735" s="9">
        <f>IF($D735="","",IFERROR(VLOOKUP($D735,'Plan comptable'!$H:$I,2,FALSE),"compte hors plan"))</f>
      </c>
      <c r="F735" s="9"/>
      <c r="G735" s="10"/>
      <c r="H735" s="11"/>
      <c r="I735" s="11"/>
      <c r="J735" s="10">
        <f>IF($D735="","",IF(AND($H735&lt;&gt;"",$I735&lt;&gt;""),"débit ET crédit",IF(AND($H735="",$I735=""),"montant manquant",IF(ISNA(MATCH($D735,'Plan comptable'!$H:$H,0)),"compte hors plan",IF(AND($A735&lt;&gt;"",YEAR($A735)&lt;&gt;Exercice),"hors exercice","")))))</f>
      </c>
    </row>
    <row r="736">
      <c r="A736" s="13"/>
      <c r="B736" s="10"/>
      <c r="C736" s="9"/>
      <c r="D736" s="20"/>
      <c r="E736" s="9">
        <f>IF($D736="","",IFERROR(VLOOKUP($D736,'Plan comptable'!$H:$I,2,FALSE),"compte hors plan"))</f>
      </c>
      <c r="F736" s="9"/>
      <c r="G736" s="10"/>
      <c r="H736" s="11"/>
      <c r="I736" s="11"/>
      <c r="J736" s="10">
        <f>IF($D736="","",IF(AND($H736&lt;&gt;"",$I736&lt;&gt;""),"débit ET crédit",IF(AND($H736="",$I736=""),"montant manquant",IF(ISNA(MATCH($D736,'Plan comptable'!$H:$H,0)),"compte hors plan",IF(AND($A736&lt;&gt;"",YEAR($A736)&lt;&gt;Exercice),"hors exercice","")))))</f>
      </c>
    </row>
    <row r="737">
      <c r="A737" s="13"/>
      <c r="B737" s="10"/>
      <c r="C737" s="9"/>
      <c r="D737" s="20"/>
      <c r="E737" s="9">
        <f>IF($D737="","",IFERROR(VLOOKUP($D737,'Plan comptable'!$H:$I,2,FALSE),"compte hors plan"))</f>
      </c>
      <c r="F737" s="9"/>
      <c r="G737" s="10"/>
      <c r="H737" s="11"/>
      <c r="I737" s="11"/>
      <c r="J737" s="10">
        <f>IF($D737="","",IF(AND($H737&lt;&gt;"",$I737&lt;&gt;""),"débit ET crédit",IF(AND($H737="",$I737=""),"montant manquant",IF(ISNA(MATCH($D737,'Plan comptable'!$H:$H,0)),"compte hors plan",IF(AND($A737&lt;&gt;"",YEAR($A737)&lt;&gt;Exercice),"hors exercice","")))))</f>
      </c>
    </row>
    <row r="738">
      <c r="A738" s="13"/>
      <c r="B738" s="10"/>
      <c r="C738" s="9"/>
      <c r="D738" s="20"/>
      <c r="E738" s="9">
        <f>IF($D738="","",IFERROR(VLOOKUP($D738,'Plan comptable'!$H:$I,2,FALSE),"compte hors plan"))</f>
      </c>
      <c r="F738" s="9"/>
      <c r="G738" s="10"/>
      <c r="H738" s="11"/>
      <c r="I738" s="11"/>
      <c r="J738" s="10">
        <f>IF($D738="","",IF(AND($H738&lt;&gt;"",$I738&lt;&gt;""),"débit ET crédit",IF(AND($H738="",$I738=""),"montant manquant",IF(ISNA(MATCH($D738,'Plan comptable'!$H:$H,0)),"compte hors plan",IF(AND($A738&lt;&gt;"",YEAR($A738)&lt;&gt;Exercice),"hors exercice","")))))</f>
      </c>
    </row>
    <row r="739">
      <c r="A739" s="13"/>
      <c r="B739" s="10"/>
      <c r="C739" s="9"/>
      <c r="D739" s="20"/>
      <c r="E739" s="9">
        <f>IF($D739="","",IFERROR(VLOOKUP($D739,'Plan comptable'!$H:$I,2,FALSE),"compte hors plan"))</f>
      </c>
      <c r="F739" s="9"/>
      <c r="G739" s="10"/>
      <c r="H739" s="11"/>
      <c r="I739" s="11"/>
      <c r="J739" s="10">
        <f>IF($D739="","",IF(AND($H739&lt;&gt;"",$I739&lt;&gt;""),"débit ET crédit",IF(AND($H739="",$I739=""),"montant manquant",IF(ISNA(MATCH($D739,'Plan comptable'!$H:$H,0)),"compte hors plan",IF(AND($A739&lt;&gt;"",YEAR($A739)&lt;&gt;Exercice),"hors exercice","")))))</f>
      </c>
    </row>
    <row r="740">
      <c r="A740" s="13"/>
      <c r="B740" s="10"/>
      <c r="C740" s="9"/>
      <c r="D740" s="20"/>
      <c r="E740" s="9">
        <f>IF($D740="","",IFERROR(VLOOKUP($D740,'Plan comptable'!$H:$I,2,FALSE),"compte hors plan"))</f>
      </c>
      <c r="F740" s="9"/>
      <c r="G740" s="10"/>
      <c r="H740" s="11"/>
      <c r="I740" s="11"/>
      <c r="J740" s="10">
        <f>IF($D740="","",IF(AND($H740&lt;&gt;"",$I740&lt;&gt;""),"débit ET crédit",IF(AND($H740="",$I740=""),"montant manquant",IF(ISNA(MATCH($D740,'Plan comptable'!$H:$H,0)),"compte hors plan",IF(AND($A740&lt;&gt;"",YEAR($A740)&lt;&gt;Exercice),"hors exercice","")))))</f>
      </c>
    </row>
    <row r="741">
      <c r="A741" s="13"/>
      <c r="B741" s="10"/>
      <c r="C741" s="9"/>
      <c r="D741" s="20"/>
      <c r="E741" s="9">
        <f>IF($D741="","",IFERROR(VLOOKUP($D741,'Plan comptable'!$H:$I,2,FALSE),"compte hors plan"))</f>
      </c>
      <c r="F741" s="9"/>
      <c r="G741" s="10"/>
      <c r="H741" s="11"/>
      <c r="I741" s="11"/>
      <c r="J741" s="10">
        <f>IF($D741="","",IF(AND($H741&lt;&gt;"",$I741&lt;&gt;""),"débit ET crédit",IF(AND($H741="",$I741=""),"montant manquant",IF(ISNA(MATCH($D741,'Plan comptable'!$H:$H,0)),"compte hors plan",IF(AND($A741&lt;&gt;"",YEAR($A741)&lt;&gt;Exercice),"hors exercice","")))))</f>
      </c>
    </row>
    <row r="742">
      <c r="A742" s="13"/>
      <c r="B742" s="10"/>
      <c r="C742" s="9"/>
      <c r="D742" s="20"/>
      <c r="E742" s="9">
        <f>IF($D742="","",IFERROR(VLOOKUP($D742,'Plan comptable'!$H:$I,2,FALSE),"compte hors plan"))</f>
      </c>
      <c r="F742" s="9"/>
      <c r="G742" s="10"/>
      <c r="H742" s="11"/>
      <c r="I742" s="11"/>
      <c r="J742" s="10">
        <f>IF($D742="","",IF(AND($H742&lt;&gt;"",$I742&lt;&gt;""),"débit ET crédit",IF(AND($H742="",$I742=""),"montant manquant",IF(ISNA(MATCH($D742,'Plan comptable'!$H:$H,0)),"compte hors plan",IF(AND($A742&lt;&gt;"",YEAR($A742)&lt;&gt;Exercice),"hors exercice","")))))</f>
      </c>
    </row>
    <row r="743">
      <c r="A743" s="13"/>
      <c r="B743" s="10"/>
      <c r="C743" s="9"/>
      <c r="D743" s="20"/>
      <c r="E743" s="9">
        <f>IF($D743="","",IFERROR(VLOOKUP($D743,'Plan comptable'!$H:$I,2,FALSE),"compte hors plan"))</f>
      </c>
      <c r="F743" s="9"/>
      <c r="G743" s="10"/>
      <c r="H743" s="11"/>
      <c r="I743" s="11"/>
      <c r="J743" s="10">
        <f>IF($D743="","",IF(AND($H743&lt;&gt;"",$I743&lt;&gt;""),"débit ET crédit",IF(AND($H743="",$I743=""),"montant manquant",IF(ISNA(MATCH($D743,'Plan comptable'!$H:$H,0)),"compte hors plan",IF(AND($A743&lt;&gt;"",YEAR($A743)&lt;&gt;Exercice),"hors exercice","")))))</f>
      </c>
    </row>
    <row r="744">
      <c r="A744" s="13"/>
      <c r="B744" s="10"/>
      <c r="C744" s="9"/>
      <c r="D744" s="20"/>
      <c r="E744" s="9">
        <f>IF($D744="","",IFERROR(VLOOKUP($D744,'Plan comptable'!$H:$I,2,FALSE),"compte hors plan"))</f>
      </c>
      <c r="F744" s="9"/>
      <c r="G744" s="10"/>
      <c r="H744" s="11"/>
      <c r="I744" s="11"/>
      <c r="J744" s="10">
        <f>IF($D744="","",IF(AND($H744&lt;&gt;"",$I744&lt;&gt;""),"débit ET crédit",IF(AND($H744="",$I744=""),"montant manquant",IF(ISNA(MATCH($D744,'Plan comptable'!$H:$H,0)),"compte hors plan",IF(AND($A744&lt;&gt;"",YEAR($A744)&lt;&gt;Exercice),"hors exercice","")))))</f>
      </c>
    </row>
    <row r="745">
      <c r="A745" s="13"/>
      <c r="B745" s="10"/>
      <c r="C745" s="9"/>
      <c r="D745" s="20"/>
      <c r="E745" s="9">
        <f>IF($D745="","",IFERROR(VLOOKUP($D745,'Plan comptable'!$H:$I,2,FALSE),"compte hors plan"))</f>
      </c>
      <c r="F745" s="9"/>
      <c r="G745" s="10"/>
      <c r="H745" s="11"/>
      <c r="I745" s="11"/>
      <c r="J745" s="10">
        <f>IF($D745="","",IF(AND($H745&lt;&gt;"",$I745&lt;&gt;""),"débit ET crédit",IF(AND($H745="",$I745=""),"montant manquant",IF(ISNA(MATCH($D745,'Plan comptable'!$H:$H,0)),"compte hors plan",IF(AND($A745&lt;&gt;"",YEAR($A745)&lt;&gt;Exercice),"hors exercice","")))))</f>
      </c>
    </row>
    <row r="746">
      <c r="A746" s="13"/>
      <c r="B746" s="10"/>
      <c r="C746" s="9"/>
      <c r="D746" s="20"/>
      <c r="E746" s="9">
        <f>IF($D746="","",IFERROR(VLOOKUP($D746,'Plan comptable'!$H:$I,2,FALSE),"compte hors plan"))</f>
      </c>
      <c r="F746" s="9"/>
      <c r="G746" s="10"/>
      <c r="H746" s="11"/>
      <c r="I746" s="11"/>
      <c r="J746" s="10">
        <f>IF($D746="","",IF(AND($H746&lt;&gt;"",$I746&lt;&gt;""),"débit ET crédit",IF(AND($H746="",$I746=""),"montant manquant",IF(ISNA(MATCH($D746,'Plan comptable'!$H:$H,0)),"compte hors plan",IF(AND($A746&lt;&gt;"",YEAR($A746)&lt;&gt;Exercice),"hors exercice","")))))</f>
      </c>
    </row>
    <row r="747">
      <c r="A747" s="13"/>
      <c r="B747" s="10"/>
      <c r="C747" s="9"/>
      <c r="D747" s="20"/>
      <c r="E747" s="9">
        <f>IF($D747="","",IFERROR(VLOOKUP($D747,'Plan comptable'!$H:$I,2,FALSE),"compte hors plan"))</f>
      </c>
      <c r="F747" s="9"/>
      <c r="G747" s="10"/>
      <c r="H747" s="11"/>
      <c r="I747" s="11"/>
      <c r="J747" s="10">
        <f>IF($D747="","",IF(AND($H747&lt;&gt;"",$I747&lt;&gt;""),"débit ET crédit",IF(AND($H747="",$I747=""),"montant manquant",IF(ISNA(MATCH($D747,'Plan comptable'!$H:$H,0)),"compte hors plan",IF(AND($A747&lt;&gt;"",YEAR($A747)&lt;&gt;Exercice),"hors exercice","")))))</f>
      </c>
    </row>
    <row r="748">
      <c r="A748" s="13"/>
      <c r="B748" s="10"/>
      <c r="C748" s="9"/>
      <c r="D748" s="20"/>
      <c r="E748" s="9">
        <f>IF($D748="","",IFERROR(VLOOKUP($D748,'Plan comptable'!$H:$I,2,FALSE),"compte hors plan"))</f>
      </c>
      <c r="F748" s="9"/>
      <c r="G748" s="10"/>
      <c r="H748" s="11"/>
      <c r="I748" s="11"/>
      <c r="J748" s="10">
        <f>IF($D748="","",IF(AND($H748&lt;&gt;"",$I748&lt;&gt;""),"débit ET crédit",IF(AND($H748="",$I748=""),"montant manquant",IF(ISNA(MATCH($D748,'Plan comptable'!$H:$H,0)),"compte hors plan",IF(AND($A748&lt;&gt;"",YEAR($A748)&lt;&gt;Exercice),"hors exercice","")))))</f>
      </c>
    </row>
    <row r="749">
      <c r="A749" s="13"/>
      <c r="B749" s="10"/>
      <c r="C749" s="9"/>
      <c r="D749" s="20"/>
      <c r="E749" s="9">
        <f>IF($D749="","",IFERROR(VLOOKUP($D749,'Plan comptable'!$H:$I,2,FALSE),"compte hors plan"))</f>
      </c>
      <c r="F749" s="9"/>
      <c r="G749" s="10"/>
      <c r="H749" s="11"/>
      <c r="I749" s="11"/>
      <c r="J749" s="10">
        <f>IF($D749="","",IF(AND($H749&lt;&gt;"",$I749&lt;&gt;""),"débit ET crédit",IF(AND($H749="",$I749=""),"montant manquant",IF(ISNA(MATCH($D749,'Plan comptable'!$H:$H,0)),"compte hors plan",IF(AND($A749&lt;&gt;"",YEAR($A749)&lt;&gt;Exercice),"hors exercice","")))))</f>
      </c>
    </row>
    <row r="750">
      <c r="A750" s="13"/>
      <c r="B750" s="10"/>
      <c r="C750" s="9"/>
      <c r="D750" s="20"/>
      <c r="E750" s="9">
        <f>IF($D750="","",IFERROR(VLOOKUP($D750,'Plan comptable'!$H:$I,2,FALSE),"compte hors plan"))</f>
      </c>
      <c r="F750" s="9"/>
      <c r="G750" s="10"/>
      <c r="H750" s="11"/>
      <c r="I750" s="11"/>
      <c r="J750" s="10">
        <f>IF($D750="","",IF(AND($H750&lt;&gt;"",$I750&lt;&gt;""),"débit ET crédit",IF(AND($H750="",$I750=""),"montant manquant",IF(ISNA(MATCH($D750,'Plan comptable'!$H:$H,0)),"compte hors plan",IF(AND($A750&lt;&gt;"",YEAR($A750)&lt;&gt;Exercice),"hors exercice","")))))</f>
      </c>
    </row>
    <row r="751">
      <c r="A751" s="13"/>
      <c r="B751" s="10"/>
      <c r="C751" s="9"/>
      <c r="D751" s="20"/>
      <c r="E751" s="9">
        <f>IF($D751="","",IFERROR(VLOOKUP($D751,'Plan comptable'!$H:$I,2,FALSE),"compte hors plan"))</f>
      </c>
      <c r="F751" s="9"/>
      <c r="G751" s="10"/>
      <c r="H751" s="11"/>
      <c r="I751" s="11"/>
      <c r="J751" s="10">
        <f>IF($D751="","",IF(AND($H751&lt;&gt;"",$I751&lt;&gt;""),"débit ET crédit",IF(AND($H751="",$I751=""),"montant manquant",IF(ISNA(MATCH($D751,'Plan comptable'!$H:$H,0)),"compte hors plan",IF(AND($A751&lt;&gt;"",YEAR($A751)&lt;&gt;Exercice),"hors exercice","")))))</f>
      </c>
    </row>
    <row r="752">
      <c r="A752" s="13"/>
      <c r="B752" s="10"/>
      <c r="C752" s="9"/>
      <c r="D752" s="20"/>
      <c r="E752" s="9">
        <f>IF($D752="","",IFERROR(VLOOKUP($D752,'Plan comptable'!$H:$I,2,FALSE),"compte hors plan"))</f>
      </c>
      <c r="F752" s="9"/>
      <c r="G752" s="10"/>
      <c r="H752" s="11"/>
      <c r="I752" s="11"/>
      <c r="J752" s="10">
        <f>IF($D752="","",IF(AND($H752&lt;&gt;"",$I752&lt;&gt;""),"débit ET crédit",IF(AND($H752="",$I752=""),"montant manquant",IF(ISNA(MATCH($D752,'Plan comptable'!$H:$H,0)),"compte hors plan",IF(AND($A752&lt;&gt;"",YEAR($A752)&lt;&gt;Exercice),"hors exercice","")))))</f>
      </c>
    </row>
    <row r="753">
      <c r="A753" s="13"/>
      <c r="B753" s="10"/>
      <c r="C753" s="9"/>
      <c r="D753" s="20"/>
      <c r="E753" s="9">
        <f>IF($D753="","",IFERROR(VLOOKUP($D753,'Plan comptable'!$H:$I,2,FALSE),"compte hors plan"))</f>
      </c>
      <c r="F753" s="9"/>
      <c r="G753" s="10"/>
      <c r="H753" s="11"/>
      <c r="I753" s="11"/>
      <c r="J753" s="10">
        <f>IF($D753="","",IF(AND($H753&lt;&gt;"",$I753&lt;&gt;""),"débit ET crédit",IF(AND($H753="",$I753=""),"montant manquant",IF(ISNA(MATCH($D753,'Plan comptable'!$H:$H,0)),"compte hors plan",IF(AND($A753&lt;&gt;"",YEAR($A753)&lt;&gt;Exercice),"hors exercice","")))))</f>
      </c>
    </row>
    <row r="754">
      <c r="A754" s="13"/>
      <c r="B754" s="10"/>
      <c r="C754" s="9"/>
      <c r="D754" s="20"/>
      <c r="E754" s="9">
        <f>IF($D754="","",IFERROR(VLOOKUP($D754,'Plan comptable'!$H:$I,2,FALSE),"compte hors plan"))</f>
      </c>
      <c r="F754" s="9"/>
      <c r="G754" s="10"/>
      <c r="H754" s="11"/>
      <c r="I754" s="11"/>
      <c r="J754" s="10">
        <f>IF($D754="","",IF(AND($H754&lt;&gt;"",$I754&lt;&gt;""),"débit ET crédit",IF(AND($H754="",$I754=""),"montant manquant",IF(ISNA(MATCH($D754,'Plan comptable'!$H:$H,0)),"compte hors plan",IF(AND($A754&lt;&gt;"",YEAR($A754)&lt;&gt;Exercice),"hors exercice","")))))</f>
      </c>
    </row>
    <row r="755">
      <c r="A755" s="13"/>
      <c r="B755" s="10"/>
      <c r="C755" s="9"/>
      <c r="D755" s="20"/>
      <c r="E755" s="9">
        <f>IF($D755="","",IFERROR(VLOOKUP($D755,'Plan comptable'!$H:$I,2,FALSE),"compte hors plan"))</f>
      </c>
      <c r="F755" s="9"/>
      <c r="G755" s="10"/>
      <c r="H755" s="11"/>
      <c r="I755" s="11"/>
      <c r="J755" s="10">
        <f>IF($D755="","",IF(AND($H755&lt;&gt;"",$I755&lt;&gt;""),"débit ET crédit",IF(AND($H755="",$I755=""),"montant manquant",IF(ISNA(MATCH($D755,'Plan comptable'!$H:$H,0)),"compte hors plan",IF(AND($A755&lt;&gt;"",YEAR($A755)&lt;&gt;Exercice),"hors exercice","")))))</f>
      </c>
    </row>
    <row r="756">
      <c r="A756" s="13"/>
      <c r="B756" s="10"/>
      <c r="C756" s="9"/>
      <c r="D756" s="20"/>
      <c r="E756" s="9">
        <f>IF($D756="","",IFERROR(VLOOKUP($D756,'Plan comptable'!$H:$I,2,FALSE),"compte hors plan"))</f>
      </c>
      <c r="F756" s="9"/>
      <c r="G756" s="10"/>
      <c r="H756" s="11"/>
      <c r="I756" s="11"/>
      <c r="J756" s="10">
        <f>IF($D756="","",IF(AND($H756&lt;&gt;"",$I756&lt;&gt;""),"débit ET crédit",IF(AND($H756="",$I756=""),"montant manquant",IF(ISNA(MATCH($D756,'Plan comptable'!$H:$H,0)),"compte hors plan",IF(AND($A756&lt;&gt;"",YEAR($A756)&lt;&gt;Exercice),"hors exercice","")))))</f>
      </c>
    </row>
    <row r="757">
      <c r="A757" s="13"/>
      <c r="B757" s="10"/>
      <c r="C757" s="9"/>
      <c r="D757" s="20"/>
      <c r="E757" s="9">
        <f>IF($D757="","",IFERROR(VLOOKUP($D757,'Plan comptable'!$H:$I,2,FALSE),"compte hors plan"))</f>
      </c>
      <c r="F757" s="9"/>
      <c r="G757" s="10"/>
      <c r="H757" s="11"/>
      <c r="I757" s="11"/>
      <c r="J757" s="10">
        <f>IF($D757="","",IF(AND($H757&lt;&gt;"",$I757&lt;&gt;""),"débit ET crédit",IF(AND($H757="",$I757=""),"montant manquant",IF(ISNA(MATCH($D757,'Plan comptable'!$H:$H,0)),"compte hors plan",IF(AND($A757&lt;&gt;"",YEAR($A757)&lt;&gt;Exercice),"hors exercice","")))))</f>
      </c>
    </row>
    <row r="758">
      <c r="A758" s="13"/>
      <c r="B758" s="10"/>
      <c r="C758" s="9"/>
      <c r="D758" s="20"/>
      <c r="E758" s="9">
        <f>IF($D758="","",IFERROR(VLOOKUP($D758,'Plan comptable'!$H:$I,2,FALSE),"compte hors plan"))</f>
      </c>
      <c r="F758" s="9"/>
      <c r="G758" s="10"/>
      <c r="H758" s="11"/>
      <c r="I758" s="11"/>
      <c r="J758" s="10">
        <f>IF($D758="","",IF(AND($H758&lt;&gt;"",$I758&lt;&gt;""),"débit ET crédit",IF(AND($H758="",$I758=""),"montant manquant",IF(ISNA(MATCH($D758,'Plan comptable'!$H:$H,0)),"compte hors plan",IF(AND($A758&lt;&gt;"",YEAR($A758)&lt;&gt;Exercice),"hors exercice","")))))</f>
      </c>
    </row>
    <row r="759">
      <c r="A759" s="13"/>
      <c r="B759" s="10"/>
      <c r="C759" s="9"/>
      <c r="D759" s="20"/>
      <c r="E759" s="9">
        <f>IF($D759="","",IFERROR(VLOOKUP($D759,'Plan comptable'!$H:$I,2,FALSE),"compte hors plan"))</f>
      </c>
      <c r="F759" s="9"/>
      <c r="G759" s="10"/>
      <c r="H759" s="11"/>
      <c r="I759" s="11"/>
      <c r="J759" s="10">
        <f>IF($D759="","",IF(AND($H759&lt;&gt;"",$I759&lt;&gt;""),"débit ET crédit",IF(AND($H759="",$I759=""),"montant manquant",IF(ISNA(MATCH($D759,'Plan comptable'!$H:$H,0)),"compte hors plan",IF(AND($A759&lt;&gt;"",YEAR($A759)&lt;&gt;Exercice),"hors exercice","")))))</f>
      </c>
    </row>
    <row r="760">
      <c r="A760" s="13"/>
      <c r="B760" s="10"/>
      <c r="C760" s="9"/>
      <c r="D760" s="20"/>
      <c r="E760" s="9">
        <f>IF($D760="","",IFERROR(VLOOKUP($D760,'Plan comptable'!$H:$I,2,FALSE),"compte hors plan"))</f>
      </c>
      <c r="F760" s="9"/>
      <c r="G760" s="10"/>
      <c r="H760" s="11"/>
      <c r="I760" s="11"/>
      <c r="J760" s="10">
        <f>IF($D760="","",IF(AND($H760&lt;&gt;"",$I760&lt;&gt;""),"débit ET crédit",IF(AND($H760="",$I760=""),"montant manquant",IF(ISNA(MATCH($D760,'Plan comptable'!$H:$H,0)),"compte hors plan",IF(AND($A760&lt;&gt;"",YEAR($A760)&lt;&gt;Exercice),"hors exercice","")))))</f>
      </c>
    </row>
    <row r="761">
      <c r="A761" s="13"/>
      <c r="B761" s="10"/>
      <c r="C761" s="9"/>
      <c r="D761" s="20"/>
      <c r="E761" s="9">
        <f>IF($D761="","",IFERROR(VLOOKUP($D761,'Plan comptable'!$H:$I,2,FALSE),"compte hors plan"))</f>
      </c>
      <c r="F761" s="9"/>
      <c r="G761" s="10"/>
      <c r="H761" s="11"/>
      <c r="I761" s="11"/>
      <c r="J761" s="10">
        <f>IF($D761="","",IF(AND($H761&lt;&gt;"",$I761&lt;&gt;""),"débit ET crédit",IF(AND($H761="",$I761=""),"montant manquant",IF(ISNA(MATCH($D761,'Plan comptable'!$H:$H,0)),"compte hors plan",IF(AND($A761&lt;&gt;"",YEAR($A761)&lt;&gt;Exercice),"hors exercice","")))))</f>
      </c>
    </row>
    <row r="762">
      <c r="A762" s="13"/>
      <c r="B762" s="10"/>
      <c r="C762" s="9"/>
      <c r="D762" s="20"/>
      <c r="E762" s="9">
        <f>IF($D762="","",IFERROR(VLOOKUP($D762,'Plan comptable'!$H:$I,2,FALSE),"compte hors plan"))</f>
      </c>
      <c r="F762" s="9"/>
      <c r="G762" s="10"/>
      <c r="H762" s="11"/>
      <c r="I762" s="11"/>
      <c r="J762" s="10">
        <f>IF($D762="","",IF(AND($H762&lt;&gt;"",$I762&lt;&gt;""),"débit ET crédit",IF(AND($H762="",$I762=""),"montant manquant",IF(ISNA(MATCH($D762,'Plan comptable'!$H:$H,0)),"compte hors plan",IF(AND($A762&lt;&gt;"",YEAR($A762)&lt;&gt;Exercice),"hors exercice","")))))</f>
      </c>
    </row>
    <row r="763">
      <c r="A763" s="13"/>
      <c r="B763" s="10"/>
      <c r="C763" s="9"/>
      <c r="D763" s="20"/>
      <c r="E763" s="9">
        <f>IF($D763="","",IFERROR(VLOOKUP($D763,'Plan comptable'!$H:$I,2,FALSE),"compte hors plan"))</f>
      </c>
      <c r="F763" s="9"/>
      <c r="G763" s="10"/>
      <c r="H763" s="11"/>
      <c r="I763" s="11"/>
      <c r="J763" s="10">
        <f>IF($D763="","",IF(AND($H763&lt;&gt;"",$I763&lt;&gt;""),"débit ET crédit",IF(AND($H763="",$I763=""),"montant manquant",IF(ISNA(MATCH($D763,'Plan comptable'!$H:$H,0)),"compte hors plan",IF(AND($A763&lt;&gt;"",YEAR($A763)&lt;&gt;Exercice),"hors exercice","")))))</f>
      </c>
    </row>
    <row r="764">
      <c r="A764" s="13"/>
      <c r="B764" s="10"/>
      <c r="C764" s="9"/>
      <c r="D764" s="20"/>
      <c r="E764" s="9">
        <f>IF($D764="","",IFERROR(VLOOKUP($D764,'Plan comptable'!$H:$I,2,FALSE),"compte hors plan"))</f>
      </c>
      <c r="F764" s="9"/>
      <c r="G764" s="10"/>
      <c r="H764" s="11"/>
      <c r="I764" s="11"/>
      <c r="J764" s="10">
        <f>IF($D764="","",IF(AND($H764&lt;&gt;"",$I764&lt;&gt;""),"débit ET crédit",IF(AND($H764="",$I764=""),"montant manquant",IF(ISNA(MATCH($D764,'Plan comptable'!$H:$H,0)),"compte hors plan",IF(AND($A764&lt;&gt;"",YEAR($A764)&lt;&gt;Exercice),"hors exercice","")))))</f>
      </c>
    </row>
    <row r="765">
      <c r="A765" s="13"/>
      <c r="B765" s="10"/>
      <c r="C765" s="9"/>
      <c r="D765" s="20"/>
      <c r="E765" s="9">
        <f>IF($D765="","",IFERROR(VLOOKUP($D765,'Plan comptable'!$H:$I,2,FALSE),"compte hors plan"))</f>
      </c>
      <c r="F765" s="9"/>
      <c r="G765" s="10"/>
      <c r="H765" s="11"/>
      <c r="I765" s="11"/>
      <c r="J765" s="10">
        <f>IF($D765="","",IF(AND($H765&lt;&gt;"",$I765&lt;&gt;""),"débit ET crédit",IF(AND($H765="",$I765=""),"montant manquant",IF(ISNA(MATCH($D765,'Plan comptable'!$H:$H,0)),"compte hors plan",IF(AND($A765&lt;&gt;"",YEAR($A765)&lt;&gt;Exercice),"hors exercice","")))))</f>
      </c>
    </row>
    <row r="766">
      <c r="A766" s="13"/>
      <c r="B766" s="10"/>
      <c r="C766" s="9"/>
      <c r="D766" s="20"/>
      <c r="E766" s="9">
        <f>IF($D766="","",IFERROR(VLOOKUP($D766,'Plan comptable'!$H:$I,2,FALSE),"compte hors plan"))</f>
      </c>
      <c r="F766" s="9"/>
      <c r="G766" s="10"/>
      <c r="H766" s="11"/>
      <c r="I766" s="11"/>
      <c r="J766" s="10">
        <f>IF($D766="","",IF(AND($H766&lt;&gt;"",$I766&lt;&gt;""),"débit ET crédit",IF(AND($H766="",$I766=""),"montant manquant",IF(ISNA(MATCH($D766,'Plan comptable'!$H:$H,0)),"compte hors plan",IF(AND($A766&lt;&gt;"",YEAR($A766)&lt;&gt;Exercice),"hors exercice","")))))</f>
      </c>
    </row>
    <row r="767">
      <c r="A767" s="13"/>
      <c r="B767" s="10"/>
      <c r="C767" s="9"/>
      <c r="D767" s="20"/>
      <c r="E767" s="9">
        <f>IF($D767="","",IFERROR(VLOOKUP($D767,'Plan comptable'!$H:$I,2,FALSE),"compte hors plan"))</f>
      </c>
      <c r="F767" s="9"/>
      <c r="G767" s="10"/>
      <c r="H767" s="11"/>
      <c r="I767" s="11"/>
      <c r="J767" s="10">
        <f>IF($D767="","",IF(AND($H767&lt;&gt;"",$I767&lt;&gt;""),"débit ET crédit",IF(AND($H767="",$I767=""),"montant manquant",IF(ISNA(MATCH($D767,'Plan comptable'!$H:$H,0)),"compte hors plan",IF(AND($A767&lt;&gt;"",YEAR($A767)&lt;&gt;Exercice),"hors exercice","")))))</f>
      </c>
    </row>
    <row r="768">
      <c r="A768" s="13"/>
      <c r="B768" s="10"/>
      <c r="C768" s="9"/>
      <c r="D768" s="20"/>
      <c r="E768" s="9">
        <f>IF($D768="","",IFERROR(VLOOKUP($D768,'Plan comptable'!$H:$I,2,FALSE),"compte hors plan"))</f>
      </c>
      <c r="F768" s="9"/>
      <c r="G768" s="10"/>
      <c r="H768" s="11"/>
      <c r="I768" s="11"/>
      <c r="J768" s="10">
        <f>IF($D768="","",IF(AND($H768&lt;&gt;"",$I768&lt;&gt;""),"débit ET crédit",IF(AND($H768="",$I768=""),"montant manquant",IF(ISNA(MATCH($D768,'Plan comptable'!$H:$H,0)),"compte hors plan",IF(AND($A768&lt;&gt;"",YEAR($A768)&lt;&gt;Exercice),"hors exercice","")))))</f>
      </c>
    </row>
    <row r="769">
      <c r="A769" s="13"/>
      <c r="B769" s="10"/>
      <c r="C769" s="9"/>
      <c r="D769" s="20"/>
      <c r="E769" s="9">
        <f>IF($D769="","",IFERROR(VLOOKUP($D769,'Plan comptable'!$H:$I,2,FALSE),"compte hors plan"))</f>
      </c>
      <c r="F769" s="9"/>
      <c r="G769" s="10"/>
      <c r="H769" s="11"/>
      <c r="I769" s="11"/>
      <c r="J769" s="10">
        <f>IF($D769="","",IF(AND($H769&lt;&gt;"",$I769&lt;&gt;""),"débit ET crédit",IF(AND($H769="",$I769=""),"montant manquant",IF(ISNA(MATCH($D769,'Plan comptable'!$H:$H,0)),"compte hors plan",IF(AND($A769&lt;&gt;"",YEAR($A769)&lt;&gt;Exercice),"hors exercice","")))))</f>
      </c>
    </row>
    <row r="770">
      <c r="A770" s="13"/>
      <c r="B770" s="10"/>
      <c r="C770" s="9"/>
      <c r="D770" s="20"/>
      <c r="E770" s="9">
        <f>IF($D770="","",IFERROR(VLOOKUP($D770,'Plan comptable'!$H:$I,2,FALSE),"compte hors plan"))</f>
      </c>
      <c r="F770" s="9"/>
      <c r="G770" s="10"/>
      <c r="H770" s="11"/>
      <c r="I770" s="11"/>
      <c r="J770" s="10">
        <f>IF($D770="","",IF(AND($H770&lt;&gt;"",$I770&lt;&gt;""),"débit ET crédit",IF(AND($H770="",$I770=""),"montant manquant",IF(ISNA(MATCH($D770,'Plan comptable'!$H:$H,0)),"compte hors plan",IF(AND($A770&lt;&gt;"",YEAR($A770)&lt;&gt;Exercice),"hors exercice","")))))</f>
      </c>
    </row>
    <row r="771">
      <c r="A771" s="13"/>
      <c r="B771" s="10"/>
      <c r="C771" s="9"/>
      <c r="D771" s="20"/>
      <c r="E771" s="9">
        <f>IF($D771="","",IFERROR(VLOOKUP($D771,'Plan comptable'!$H:$I,2,FALSE),"compte hors plan"))</f>
      </c>
      <c r="F771" s="9"/>
      <c r="G771" s="10"/>
      <c r="H771" s="11"/>
      <c r="I771" s="11"/>
      <c r="J771" s="10">
        <f>IF($D771="","",IF(AND($H771&lt;&gt;"",$I771&lt;&gt;""),"débit ET crédit",IF(AND($H771="",$I771=""),"montant manquant",IF(ISNA(MATCH($D771,'Plan comptable'!$H:$H,0)),"compte hors plan",IF(AND($A771&lt;&gt;"",YEAR($A771)&lt;&gt;Exercice),"hors exercice","")))))</f>
      </c>
    </row>
    <row r="772">
      <c r="A772" s="13"/>
      <c r="B772" s="10"/>
      <c r="C772" s="9"/>
      <c r="D772" s="20"/>
      <c r="E772" s="9">
        <f>IF($D772="","",IFERROR(VLOOKUP($D772,'Plan comptable'!$H:$I,2,FALSE),"compte hors plan"))</f>
      </c>
      <c r="F772" s="9"/>
      <c r="G772" s="10"/>
      <c r="H772" s="11"/>
      <c r="I772" s="11"/>
      <c r="J772" s="10">
        <f>IF($D772="","",IF(AND($H772&lt;&gt;"",$I772&lt;&gt;""),"débit ET crédit",IF(AND($H772="",$I772=""),"montant manquant",IF(ISNA(MATCH($D772,'Plan comptable'!$H:$H,0)),"compte hors plan",IF(AND($A772&lt;&gt;"",YEAR($A772)&lt;&gt;Exercice),"hors exercice","")))))</f>
      </c>
    </row>
    <row r="773">
      <c r="A773" s="13"/>
      <c r="B773" s="10"/>
      <c r="C773" s="9"/>
      <c r="D773" s="20"/>
      <c r="E773" s="9">
        <f>IF($D773="","",IFERROR(VLOOKUP($D773,'Plan comptable'!$H:$I,2,FALSE),"compte hors plan"))</f>
      </c>
      <c r="F773" s="9"/>
      <c r="G773" s="10"/>
      <c r="H773" s="11"/>
      <c r="I773" s="11"/>
      <c r="J773" s="10">
        <f>IF($D773="","",IF(AND($H773&lt;&gt;"",$I773&lt;&gt;""),"débit ET crédit",IF(AND($H773="",$I773=""),"montant manquant",IF(ISNA(MATCH($D773,'Plan comptable'!$H:$H,0)),"compte hors plan",IF(AND($A773&lt;&gt;"",YEAR($A773)&lt;&gt;Exercice),"hors exercice","")))))</f>
      </c>
    </row>
    <row r="774">
      <c r="A774" s="13"/>
      <c r="B774" s="10"/>
      <c r="C774" s="9"/>
      <c r="D774" s="20"/>
      <c r="E774" s="9">
        <f>IF($D774="","",IFERROR(VLOOKUP($D774,'Plan comptable'!$H:$I,2,FALSE),"compte hors plan"))</f>
      </c>
      <c r="F774" s="9"/>
      <c r="G774" s="10"/>
      <c r="H774" s="11"/>
      <c r="I774" s="11"/>
      <c r="J774" s="10">
        <f>IF($D774="","",IF(AND($H774&lt;&gt;"",$I774&lt;&gt;""),"débit ET crédit",IF(AND($H774="",$I774=""),"montant manquant",IF(ISNA(MATCH($D774,'Plan comptable'!$H:$H,0)),"compte hors plan",IF(AND($A774&lt;&gt;"",YEAR($A774)&lt;&gt;Exercice),"hors exercice","")))))</f>
      </c>
    </row>
    <row r="775">
      <c r="A775" s="13"/>
      <c r="B775" s="10"/>
      <c r="C775" s="9"/>
      <c r="D775" s="20"/>
      <c r="E775" s="9">
        <f>IF($D775="","",IFERROR(VLOOKUP($D775,'Plan comptable'!$H:$I,2,FALSE),"compte hors plan"))</f>
      </c>
      <c r="F775" s="9"/>
      <c r="G775" s="10"/>
      <c r="H775" s="11"/>
      <c r="I775" s="11"/>
      <c r="J775" s="10">
        <f>IF($D775="","",IF(AND($H775&lt;&gt;"",$I775&lt;&gt;""),"débit ET crédit",IF(AND($H775="",$I775=""),"montant manquant",IF(ISNA(MATCH($D775,'Plan comptable'!$H:$H,0)),"compte hors plan",IF(AND($A775&lt;&gt;"",YEAR($A775)&lt;&gt;Exercice),"hors exercice","")))))</f>
      </c>
    </row>
    <row r="776">
      <c r="A776" s="13"/>
      <c r="B776" s="10"/>
      <c r="C776" s="9"/>
      <c r="D776" s="20"/>
      <c r="E776" s="9">
        <f>IF($D776="","",IFERROR(VLOOKUP($D776,'Plan comptable'!$H:$I,2,FALSE),"compte hors plan"))</f>
      </c>
      <c r="F776" s="9"/>
      <c r="G776" s="10"/>
      <c r="H776" s="11"/>
      <c r="I776" s="11"/>
      <c r="J776" s="10">
        <f>IF($D776="","",IF(AND($H776&lt;&gt;"",$I776&lt;&gt;""),"débit ET crédit",IF(AND($H776="",$I776=""),"montant manquant",IF(ISNA(MATCH($D776,'Plan comptable'!$H:$H,0)),"compte hors plan",IF(AND($A776&lt;&gt;"",YEAR($A776)&lt;&gt;Exercice),"hors exercice","")))))</f>
      </c>
    </row>
    <row r="777">
      <c r="A777" s="13"/>
      <c r="B777" s="10"/>
      <c r="C777" s="9"/>
      <c r="D777" s="20"/>
      <c r="E777" s="9">
        <f>IF($D777="","",IFERROR(VLOOKUP($D777,'Plan comptable'!$H:$I,2,FALSE),"compte hors plan"))</f>
      </c>
      <c r="F777" s="9"/>
      <c r="G777" s="10"/>
      <c r="H777" s="11"/>
      <c r="I777" s="11"/>
      <c r="J777" s="10">
        <f>IF($D777="","",IF(AND($H777&lt;&gt;"",$I777&lt;&gt;""),"débit ET crédit",IF(AND($H777="",$I777=""),"montant manquant",IF(ISNA(MATCH($D777,'Plan comptable'!$H:$H,0)),"compte hors plan",IF(AND($A777&lt;&gt;"",YEAR($A777)&lt;&gt;Exercice),"hors exercice","")))))</f>
      </c>
    </row>
    <row r="778">
      <c r="A778" s="13"/>
      <c r="B778" s="10"/>
      <c r="C778" s="9"/>
      <c r="D778" s="20"/>
      <c r="E778" s="9">
        <f>IF($D778="","",IFERROR(VLOOKUP($D778,'Plan comptable'!$H:$I,2,FALSE),"compte hors plan"))</f>
      </c>
      <c r="F778" s="9"/>
      <c r="G778" s="10"/>
      <c r="H778" s="11"/>
      <c r="I778" s="11"/>
      <c r="J778" s="10">
        <f>IF($D778="","",IF(AND($H778&lt;&gt;"",$I778&lt;&gt;""),"débit ET crédit",IF(AND($H778="",$I778=""),"montant manquant",IF(ISNA(MATCH($D778,'Plan comptable'!$H:$H,0)),"compte hors plan",IF(AND($A778&lt;&gt;"",YEAR($A778)&lt;&gt;Exercice),"hors exercice","")))))</f>
      </c>
    </row>
    <row r="779">
      <c r="A779" s="13"/>
      <c r="B779" s="10"/>
      <c r="C779" s="9"/>
      <c r="D779" s="20"/>
      <c r="E779" s="9">
        <f>IF($D779="","",IFERROR(VLOOKUP($D779,'Plan comptable'!$H:$I,2,FALSE),"compte hors plan"))</f>
      </c>
      <c r="F779" s="9"/>
      <c r="G779" s="10"/>
      <c r="H779" s="11"/>
      <c r="I779" s="11"/>
      <c r="J779" s="10">
        <f>IF($D779="","",IF(AND($H779&lt;&gt;"",$I779&lt;&gt;""),"débit ET crédit",IF(AND($H779="",$I779=""),"montant manquant",IF(ISNA(MATCH($D779,'Plan comptable'!$H:$H,0)),"compte hors plan",IF(AND($A779&lt;&gt;"",YEAR($A779)&lt;&gt;Exercice),"hors exercice","")))))</f>
      </c>
    </row>
    <row r="780">
      <c r="A780" s="13"/>
      <c r="B780" s="10"/>
      <c r="C780" s="9"/>
      <c r="D780" s="20"/>
      <c r="E780" s="9">
        <f>IF($D780="","",IFERROR(VLOOKUP($D780,'Plan comptable'!$H:$I,2,FALSE),"compte hors plan"))</f>
      </c>
      <c r="F780" s="9"/>
      <c r="G780" s="10"/>
      <c r="H780" s="11"/>
      <c r="I780" s="11"/>
      <c r="J780" s="10">
        <f>IF($D780="","",IF(AND($H780&lt;&gt;"",$I780&lt;&gt;""),"débit ET crédit",IF(AND($H780="",$I780=""),"montant manquant",IF(ISNA(MATCH($D780,'Plan comptable'!$H:$H,0)),"compte hors plan",IF(AND($A780&lt;&gt;"",YEAR($A780)&lt;&gt;Exercice),"hors exercice","")))))</f>
      </c>
    </row>
    <row r="781">
      <c r="A781" s="13"/>
      <c r="B781" s="10"/>
      <c r="C781" s="9"/>
      <c r="D781" s="20"/>
      <c r="E781" s="9">
        <f>IF($D781="","",IFERROR(VLOOKUP($D781,'Plan comptable'!$H:$I,2,FALSE),"compte hors plan"))</f>
      </c>
      <c r="F781" s="9"/>
      <c r="G781" s="10"/>
      <c r="H781" s="11"/>
      <c r="I781" s="11"/>
      <c r="J781" s="10">
        <f>IF($D781="","",IF(AND($H781&lt;&gt;"",$I781&lt;&gt;""),"débit ET crédit",IF(AND($H781="",$I781=""),"montant manquant",IF(ISNA(MATCH($D781,'Plan comptable'!$H:$H,0)),"compte hors plan",IF(AND($A781&lt;&gt;"",YEAR($A781)&lt;&gt;Exercice),"hors exercice","")))))</f>
      </c>
    </row>
    <row r="782">
      <c r="A782" s="13"/>
      <c r="B782" s="10"/>
      <c r="C782" s="9"/>
      <c r="D782" s="20"/>
      <c r="E782" s="9">
        <f>IF($D782="","",IFERROR(VLOOKUP($D782,'Plan comptable'!$H:$I,2,FALSE),"compte hors plan"))</f>
      </c>
      <c r="F782" s="9"/>
      <c r="G782" s="10"/>
      <c r="H782" s="11"/>
      <c r="I782" s="11"/>
      <c r="J782" s="10">
        <f>IF($D782="","",IF(AND($H782&lt;&gt;"",$I782&lt;&gt;""),"débit ET crédit",IF(AND($H782="",$I782=""),"montant manquant",IF(ISNA(MATCH($D782,'Plan comptable'!$H:$H,0)),"compte hors plan",IF(AND($A782&lt;&gt;"",YEAR($A782)&lt;&gt;Exercice),"hors exercice","")))))</f>
      </c>
    </row>
    <row r="783">
      <c r="A783" s="13"/>
      <c r="B783" s="10"/>
      <c r="C783" s="9"/>
      <c r="D783" s="20"/>
      <c r="E783" s="9">
        <f>IF($D783="","",IFERROR(VLOOKUP($D783,'Plan comptable'!$H:$I,2,FALSE),"compte hors plan"))</f>
      </c>
      <c r="F783" s="9"/>
      <c r="G783" s="10"/>
      <c r="H783" s="11"/>
      <c r="I783" s="11"/>
      <c r="J783" s="10">
        <f>IF($D783="","",IF(AND($H783&lt;&gt;"",$I783&lt;&gt;""),"débit ET crédit",IF(AND($H783="",$I783=""),"montant manquant",IF(ISNA(MATCH($D783,'Plan comptable'!$H:$H,0)),"compte hors plan",IF(AND($A783&lt;&gt;"",YEAR($A783)&lt;&gt;Exercice),"hors exercice","")))))</f>
      </c>
    </row>
    <row r="784">
      <c r="A784" s="13"/>
      <c r="B784" s="10"/>
      <c r="C784" s="9"/>
      <c r="D784" s="20"/>
      <c r="E784" s="9">
        <f>IF($D784="","",IFERROR(VLOOKUP($D784,'Plan comptable'!$H:$I,2,FALSE),"compte hors plan"))</f>
      </c>
      <c r="F784" s="9"/>
      <c r="G784" s="10"/>
      <c r="H784" s="11"/>
      <c r="I784" s="11"/>
      <c r="J784" s="10">
        <f>IF($D784="","",IF(AND($H784&lt;&gt;"",$I784&lt;&gt;""),"débit ET crédit",IF(AND($H784="",$I784=""),"montant manquant",IF(ISNA(MATCH($D784,'Plan comptable'!$H:$H,0)),"compte hors plan",IF(AND($A784&lt;&gt;"",YEAR($A784)&lt;&gt;Exercice),"hors exercice","")))))</f>
      </c>
    </row>
    <row r="785">
      <c r="A785" s="13"/>
      <c r="B785" s="10"/>
      <c r="C785" s="9"/>
      <c r="D785" s="20"/>
      <c r="E785" s="9">
        <f>IF($D785="","",IFERROR(VLOOKUP($D785,'Plan comptable'!$H:$I,2,FALSE),"compte hors plan"))</f>
      </c>
      <c r="F785" s="9"/>
      <c r="G785" s="10"/>
      <c r="H785" s="11"/>
      <c r="I785" s="11"/>
      <c r="J785" s="10">
        <f>IF($D785="","",IF(AND($H785&lt;&gt;"",$I785&lt;&gt;""),"débit ET crédit",IF(AND($H785="",$I785=""),"montant manquant",IF(ISNA(MATCH($D785,'Plan comptable'!$H:$H,0)),"compte hors plan",IF(AND($A785&lt;&gt;"",YEAR($A785)&lt;&gt;Exercice),"hors exercice","")))))</f>
      </c>
    </row>
    <row r="786">
      <c r="A786" s="13"/>
      <c r="B786" s="10"/>
      <c r="C786" s="9"/>
      <c r="D786" s="20"/>
      <c r="E786" s="9">
        <f>IF($D786="","",IFERROR(VLOOKUP($D786,'Plan comptable'!$H:$I,2,FALSE),"compte hors plan"))</f>
      </c>
      <c r="F786" s="9"/>
      <c r="G786" s="10"/>
      <c r="H786" s="11"/>
      <c r="I786" s="11"/>
      <c r="J786" s="10">
        <f>IF($D786="","",IF(AND($H786&lt;&gt;"",$I786&lt;&gt;""),"débit ET crédit",IF(AND($H786="",$I786=""),"montant manquant",IF(ISNA(MATCH($D786,'Plan comptable'!$H:$H,0)),"compte hors plan",IF(AND($A786&lt;&gt;"",YEAR($A786)&lt;&gt;Exercice),"hors exercice","")))))</f>
      </c>
    </row>
    <row r="787">
      <c r="A787" s="13"/>
      <c r="B787" s="10"/>
      <c r="C787" s="9"/>
      <c r="D787" s="20"/>
      <c r="E787" s="9">
        <f>IF($D787="","",IFERROR(VLOOKUP($D787,'Plan comptable'!$H:$I,2,FALSE),"compte hors plan"))</f>
      </c>
      <c r="F787" s="9"/>
      <c r="G787" s="10"/>
      <c r="H787" s="11"/>
      <c r="I787" s="11"/>
      <c r="J787" s="10">
        <f>IF($D787="","",IF(AND($H787&lt;&gt;"",$I787&lt;&gt;""),"débit ET crédit",IF(AND($H787="",$I787=""),"montant manquant",IF(ISNA(MATCH($D787,'Plan comptable'!$H:$H,0)),"compte hors plan",IF(AND($A787&lt;&gt;"",YEAR($A787)&lt;&gt;Exercice),"hors exercice","")))))</f>
      </c>
    </row>
    <row r="788">
      <c r="A788" s="13"/>
      <c r="B788" s="10"/>
      <c r="C788" s="9"/>
      <c r="D788" s="20"/>
      <c r="E788" s="9">
        <f>IF($D788="","",IFERROR(VLOOKUP($D788,'Plan comptable'!$H:$I,2,FALSE),"compte hors plan"))</f>
      </c>
      <c r="F788" s="9"/>
      <c r="G788" s="10"/>
      <c r="H788" s="11"/>
      <c r="I788" s="11"/>
      <c r="J788" s="10">
        <f>IF($D788="","",IF(AND($H788&lt;&gt;"",$I788&lt;&gt;""),"débit ET crédit",IF(AND($H788="",$I788=""),"montant manquant",IF(ISNA(MATCH($D788,'Plan comptable'!$H:$H,0)),"compte hors plan",IF(AND($A788&lt;&gt;"",YEAR($A788)&lt;&gt;Exercice),"hors exercice","")))))</f>
      </c>
    </row>
    <row r="789">
      <c r="A789" s="13"/>
      <c r="B789" s="10"/>
      <c r="C789" s="9"/>
      <c r="D789" s="20"/>
      <c r="E789" s="9">
        <f>IF($D789="","",IFERROR(VLOOKUP($D789,'Plan comptable'!$H:$I,2,FALSE),"compte hors plan"))</f>
      </c>
      <c r="F789" s="9"/>
      <c r="G789" s="10"/>
      <c r="H789" s="11"/>
      <c r="I789" s="11"/>
      <c r="J789" s="10">
        <f>IF($D789="","",IF(AND($H789&lt;&gt;"",$I789&lt;&gt;""),"débit ET crédit",IF(AND($H789="",$I789=""),"montant manquant",IF(ISNA(MATCH($D789,'Plan comptable'!$H:$H,0)),"compte hors plan",IF(AND($A789&lt;&gt;"",YEAR($A789)&lt;&gt;Exercice),"hors exercice","")))))</f>
      </c>
    </row>
    <row r="790">
      <c r="A790" s="13"/>
      <c r="B790" s="10"/>
      <c r="C790" s="9"/>
      <c r="D790" s="20"/>
      <c r="E790" s="9">
        <f>IF($D790="","",IFERROR(VLOOKUP($D790,'Plan comptable'!$H:$I,2,FALSE),"compte hors plan"))</f>
      </c>
      <c r="F790" s="9"/>
      <c r="G790" s="10"/>
      <c r="H790" s="11"/>
      <c r="I790" s="11"/>
      <c r="J790" s="10">
        <f>IF($D790="","",IF(AND($H790&lt;&gt;"",$I790&lt;&gt;""),"débit ET crédit",IF(AND($H790="",$I790=""),"montant manquant",IF(ISNA(MATCH($D790,'Plan comptable'!$H:$H,0)),"compte hors plan",IF(AND($A790&lt;&gt;"",YEAR($A790)&lt;&gt;Exercice),"hors exercice","")))))</f>
      </c>
    </row>
    <row r="791">
      <c r="A791" s="13"/>
      <c r="B791" s="10"/>
      <c r="C791" s="9"/>
      <c r="D791" s="20"/>
      <c r="E791" s="9">
        <f>IF($D791="","",IFERROR(VLOOKUP($D791,'Plan comptable'!$H:$I,2,FALSE),"compte hors plan"))</f>
      </c>
      <c r="F791" s="9"/>
      <c r="G791" s="10"/>
      <c r="H791" s="11"/>
      <c r="I791" s="11"/>
      <c r="J791" s="10">
        <f>IF($D791="","",IF(AND($H791&lt;&gt;"",$I791&lt;&gt;""),"débit ET crédit",IF(AND($H791="",$I791=""),"montant manquant",IF(ISNA(MATCH($D791,'Plan comptable'!$H:$H,0)),"compte hors plan",IF(AND($A791&lt;&gt;"",YEAR($A791)&lt;&gt;Exercice),"hors exercice","")))))</f>
      </c>
    </row>
    <row r="792">
      <c r="A792" s="13"/>
      <c r="B792" s="10"/>
      <c r="C792" s="9"/>
      <c r="D792" s="20"/>
      <c r="E792" s="9">
        <f>IF($D792="","",IFERROR(VLOOKUP($D792,'Plan comptable'!$H:$I,2,FALSE),"compte hors plan"))</f>
      </c>
      <c r="F792" s="9"/>
      <c r="G792" s="10"/>
      <c r="H792" s="11"/>
      <c r="I792" s="11"/>
      <c r="J792" s="10">
        <f>IF($D792="","",IF(AND($H792&lt;&gt;"",$I792&lt;&gt;""),"débit ET crédit",IF(AND($H792="",$I792=""),"montant manquant",IF(ISNA(MATCH($D792,'Plan comptable'!$H:$H,0)),"compte hors plan",IF(AND($A792&lt;&gt;"",YEAR($A792)&lt;&gt;Exercice),"hors exercice","")))))</f>
      </c>
    </row>
    <row r="793">
      <c r="A793" s="13"/>
      <c r="B793" s="10"/>
      <c r="C793" s="9"/>
      <c r="D793" s="20"/>
      <c r="E793" s="9">
        <f>IF($D793="","",IFERROR(VLOOKUP($D793,'Plan comptable'!$H:$I,2,FALSE),"compte hors plan"))</f>
      </c>
      <c r="F793" s="9"/>
      <c r="G793" s="10"/>
      <c r="H793" s="11"/>
      <c r="I793" s="11"/>
      <c r="J793" s="10">
        <f>IF($D793="","",IF(AND($H793&lt;&gt;"",$I793&lt;&gt;""),"débit ET crédit",IF(AND($H793="",$I793=""),"montant manquant",IF(ISNA(MATCH($D793,'Plan comptable'!$H:$H,0)),"compte hors plan",IF(AND($A793&lt;&gt;"",YEAR($A793)&lt;&gt;Exercice),"hors exercice","")))))</f>
      </c>
    </row>
    <row r="794">
      <c r="A794" s="13"/>
      <c r="B794" s="10"/>
      <c r="C794" s="9"/>
      <c r="D794" s="20"/>
      <c r="E794" s="9">
        <f>IF($D794="","",IFERROR(VLOOKUP($D794,'Plan comptable'!$H:$I,2,FALSE),"compte hors plan"))</f>
      </c>
      <c r="F794" s="9"/>
      <c r="G794" s="10"/>
      <c r="H794" s="11"/>
      <c r="I794" s="11"/>
      <c r="J794" s="10">
        <f>IF($D794="","",IF(AND($H794&lt;&gt;"",$I794&lt;&gt;""),"débit ET crédit",IF(AND($H794="",$I794=""),"montant manquant",IF(ISNA(MATCH($D794,'Plan comptable'!$H:$H,0)),"compte hors plan",IF(AND($A794&lt;&gt;"",YEAR($A794)&lt;&gt;Exercice),"hors exercice","")))))</f>
      </c>
    </row>
    <row r="795">
      <c r="A795" s="13"/>
      <c r="B795" s="10"/>
      <c r="C795" s="9"/>
      <c r="D795" s="20"/>
      <c r="E795" s="9">
        <f>IF($D795="","",IFERROR(VLOOKUP($D795,'Plan comptable'!$H:$I,2,FALSE),"compte hors plan"))</f>
      </c>
      <c r="F795" s="9"/>
      <c r="G795" s="10"/>
      <c r="H795" s="11"/>
      <c r="I795" s="11"/>
      <c r="J795" s="10">
        <f>IF($D795="","",IF(AND($H795&lt;&gt;"",$I795&lt;&gt;""),"débit ET crédit",IF(AND($H795="",$I795=""),"montant manquant",IF(ISNA(MATCH($D795,'Plan comptable'!$H:$H,0)),"compte hors plan",IF(AND($A795&lt;&gt;"",YEAR($A795)&lt;&gt;Exercice),"hors exercice","")))))</f>
      </c>
    </row>
    <row r="796">
      <c r="A796" s="13"/>
      <c r="B796" s="10"/>
      <c r="C796" s="9"/>
      <c r="D796" s="20"/>
      <c r="E796" s="9">
        <f>IF($D796="","",IFERROR(VLOOKUP($D796,'Plan comptable'!$H:$I,2,FALSE),"compte hors plan"))</f>
      </c>
      <c r="F796" s="9"/>
      <c r="G796" s="10"/>
      <c r="H796" s="11"/>
      <c r="I796" s="11"/>
      <c r="J796" s="10">
        <f>IF($D796="","",IF(AND($H796&lt;&gt;"",$I796&lt;&gt;""),"débit ET crédit",IF(AND($H796="",$I796=""),"montant manquant",IF(ISNA(MATCH($D796,'Plan comptable'!$H:$H,0)),"compte hors plan",IF(AND($A796&lt;&gt;"",YEAR($A796)&lt;&gt;Exercice),"hors exercice","")))))</f>
      </c>
    </row>
    <row r="797">
      <c r="A797" s="13"/>
      <c r="B797" s="10"/>
      <c r="C797" s="9"/>
      <c r="D797" s="20"/>
      <c r="E797" s="9">
        <f>IF($D797="","",IFERROR(VLOOKUP($D797,'Plan comptable'!$H:$I,2,FALSE),"compte hors plan"))</f>
      </c>
      <c r="F797" s="9"/>
      <c r="G797" s="10"/>
      <c r="H797" s="11"/>
      <c r="I797" s="11"/>
      <c r="J797" s="10">
        <f>IF($D797="","",IF(AND($H797&lt;&gt;"",$I797&lt;&gt;""),"débit ET crédit",IF(AND($H797="",$I797=""),"montant manquant",IF(ISNA(MATCH($D797,'Plan comptable'!$H:$H,0)),"compte hors plan",IF(AND($A797&lt;&gt;"",YEAR($A797)&lt;&gt;Exercice),"hors exercice","")))))</f>
      </c>
    </row>
    <row r="798">
      <c r="A798" s="13"/>
      <c r="B798" s="10"/>
      <c r="C798" s="9"/>
      <c r="D798" s="20"/>
      <c r="E798" s="9">
        <f>IF($D798="","",IFERROR(VLOOKUP($D798,'Plan comptable'!$H:$I,2,FALSE),"compte hors plan"))</f>
      </c>
      <c r="F798" s="9"/>
      <c r="G798" s="10"/>
      <c r="H798" s="11"/>
      <c r="I798" s="11"/>
      <c r="J798" s="10">
        <f>IF($D798="","",IF(AND($H798&lt;&gt;"",$I798&lt;&gt;""),"débit ET crédit",IF(AND($H798="",$I798=""),"montant manquant",IF(ISNA(MATCH($D798,'Plan comptable'!$H:$H,0)),"compte hors plan",IF(AND($A798&lt;&gt;"",YEAR($A798)&lt;&gt;Exercice),"hors exercice","")))))</f>
      </c>
    </row>
    <row r="799">
      <c r="A799" s="13"/>
      <c r="B799" s="10"/>
      <c r="C799" s="9"/>
      <c r="D799" s="20"/>
      <c r="E799" s="9">
        <f>IF($D799="","",IFERROR(VLOOKUP($D799,'Plan comptable'!$H:$I,2,FALSE),"compte hors plan"))</f>
      </c>
      <c r="F799" s="9"/>
      <c r="G799" s="10"/>
      <c r="H799" s="11"/>
      <c r="I799" s="11"/>
      <c r="J799" s="10">
        <f>IF($D799="","",IF(AND($H799&lt;&gt;"",$I799&lt;&gt;""),"débit ET crédit",IF(AND($H799="",$I799=""),"montant manquant",IF(ISNA(MATCH($D799,'Plan comptable'!$H:$H,0)),"compte hors plan",IF(AND($A799&lt;&gt;"",YEAR($A799)&lt;&gt;Exercice),"hors exercice","")))))</f>
      </c>
    </row>
    <row r="800">
      <c r="A800" s="13"/>
      <c r="B800" s="10"/>
      <c r="C800" s="9"/>
      <c r="D800" s="20"/>
      <c r="E800" s="9">
        <f>IF($D800="","",IFERROR(VLOOKUP($D800,'Plan comptable'!$H:$I,2,FALSE),"compte hors plan"))</f>
      </c>
      <c r="F800" s="9"/>
      <c r="G800" s="10"/>
      <c r="H800" s="11"/>
      <c r="I800" s="11"/>
      <c r="J800" s="10">
        <f>IF($D800="","",IF(AND($H800&lt;&gt;"",$I800&lt;&gt;""),"débit ET crédit",IF(AND($H800="",$I800=""),"montant manquant",IF(ISNA(MATCH($D800,'Plan comptable'!$H:$H,0)),"compte hors plan",IF(AND($A800&lt;&gt;"",YEAR($A800)&lt;&gt;Exercice),"hors exercice","")))))</f>
      </c>
    </row>
    <row r="801">
      <c r="A801" s="13"/>
      <c r="B801" s="10"/>
      <c r="C801" s="9"/>
      <c r="D801" s="20"/>
      <c r="E801" s="9">
        <f>IF($D801="","",IFERROR(VLOOKUP($D801,'Plan comptable'!$H:$I,2,FALSE),"compte hors plan"))</f>
      </c>
      <c r="F801" s="9"/>
      <c r="G801" s="10"/>
      <c r="H801" s="11"/>
      <c r="I801" s="11"/>
      <c r="J801" s="10">
        <f>IF($D801="","",IF(AND($H801&lt;&gt;"",$I801&lt;&gt;""),"débit ET crédit",IF(AND($H801="",$I801=""),"montant manquant",IF(ISNA(MATCH($D801,'Plan comptable'!$H:$H,0)),"compte hors plan",IF(AND($A801&lt;&gt;"",YEAR($A801)&lt;&gt;Exercice),"hors exercice","")))))</f>
      </c>
    </row>
    <row r="802">
      <c r="A802" s="13"/>
      <c r="B802" s="10"/>
      <c r="C802" s="9"/>
      <c r="D802" s="20"/>
      <c r="E802" s="9">
        <f>IF($D802="","",IFERROR(VLOOKUP($D802,'Plan comptable'!$H:$I,2,FALSE),"compte hors plan"))</f>
      </c>
      <c r="F802" s="9"/>
      <c r="G802" s="10"/>
      <c r="H802" s="11"/>
      <c r="I802" s="11"/>
      <c r="J802" s="10">
        <f>IF($D802="","",IF(AND($H802&lt;&gt;"",$I802&lt;&gt;""),"débit ET crédit",IF(AND($H802="",$I802=""),"montant manquant",IF(ISNA(MATCH($D802,'Plan comptable'!$H:$H,0)),"compte hors plan",IF(AND($A802&lt;&gt;"",YEAR($A802)&lt;&gt;Exercice),"hors exercice","")))))</f>
      </c>
    </row>
    <row r="803">
      <c r="A803" s="13"/>
      <c r="B803" s="10"/>
      <c r="C803" s="9"/>
      <c r="D803" s="20"/>
      <c r="E803" s="9">
        <f>IF($D803="","",IFERROR(VLOOKUP($D803,'Plan comptable'!$H:$I,2,FALSE),"compte hors plan"))</f>
      </c>
      <c r="F803" s="9"/>
      <c r="G803" s="10"/>
      <c r="H803" s="11"/>
      <c r="I803" s="11"/>
      <c r="J803" s="10">
        <f>IF($D803="","",IF(AND($H803&lt;&gt;"",$I803&lt;&gt;""),"débit ET crédit",IF(AND($H803="",$I803=""),"montant manquant",IF(ISNA(MATCH($D803,'Plan comptable'!$H:$H,0)),"compte hors plan",IF(AND($A803&lt;&gt;"",YEAR($A803)&lt;&gt;Exercice),"hors exercice","")))))</f>
      </c>
    </row>
    <row r="804">
      <c r="A804" s="13"/>
      <c r="B804" s="10"/>
      <c r="C804" s="9"/>
      <c r="D804" s="20"/>
      <c r="E804" s="9">
        <f>IF($D804="","",IFERROR(VLOOKUP($D804,'Plan comptable'!$H:$I,2,FALSE),"compte hors plan"))</f>
      </c>
      <c r="F804" s="9"/>
      <c r="G804" s="10"/>
      <c r="H804" s="11"/>
      <c r="I804" s="11"/>
      <c r="J804" s="10">
        <f>IF($D804="","",IF(AND($H804&lt;&gt;"",$I804&lt;&gt;""),"débit ET crédit",IF(AND($H804="",$I804=""),"montant manquant",IF(ISNA(MATCH($D804,'Plan comptable'!$H:$H,0)),"compte hors plan",IF(AND($A804&lt;&gt;"",YEAR($A804)&lt;&gt;Exercice),"hors exercice","")))))</f>
      </c>
    </row>
    <row r="805">
      <c r="A805" s="13"/>
      <c r="B805" s="10"/>
      <c r="C805" s="9"/>
      <c r="D805" s="20"/>
      <c r="E805" s="9">
        <f>IF($D805="","",IFERROR(VLOOKUP($D805,'Plan comptable'!$H:$I,2,FALSE),"compte hors plan"))</f>
      </c>
      <c r="F805" s="9"/>
      <c r="G805" s="10"/>
      <c r="H805" s="11"/>
      <c r="I805" s="11"/>
      <c r="J805" s="10">
        <f>IF($D805="","",IF(AND($H805&lt;&gt;"",$I805&lt;&gt;""),"débit ET crédit",IF(AND($H805="",$I805=""),"montant manquant",IF(ISNA(MATCH($D805,'Plan comptable'!$H:$H,0)),"compte hors plan",IF(AND($A805&lt;&gt;"",YEAR($A805)&lt;&gt;Exercice),"hors exercice","")))))</f>
      </c>
    </row>
    <row r="806">
      <c r="A806" s="13"/>
      <c r="B806" s="10"/>
      <c r="C806" s="9"/>
      <c r="D806" s="20"/>
      <c r="E806" s="9">
        <f>IF($D806="","",IFERROR(VLOOKUP($D806,'Plan comptable'!$H:$I,2,FALSE),"compte hors plan"))</f>
      </c>
      <c r="F806" s="9"/>
      <c r="G806" s="10"/>
      <c r="H806" s="11"/>
      <c r="I806" s="11"/>
      <c r="J806" s="10">
        <f>IF($D806="","",IF(AND($H806&lt;&gt;"",$I806&lt;&gt;""),"débit ET crédit",IF(AND($H806="",$I806=""),"montant manquant",IF(ISNA(MATCH($D806,'Plan comptable'!$H:$H,0)),"compte hors plan",IF(AND($A806&lt;&gt;"",YEAR($A806)&lt;&gt;Exercice),"hors exercice","")))))</f>
      </c>
    </row>
    <row r="807">
      <c r="A807" s="13"/>
      <c r="B807" s="10"/>
      <c r="C807" s="9"/>
      <c r="D807" s="20"/>
      <c r="E807" s="9">
        <f>IF($D807="","",IFERROR(VLOOKUP($D807,'Plan comptable'!$H:$I,2,FALSE),"compte hors plan"))</f>
      </c>
      <c r="F807" s="9"/>
      <c r="G807" s="10"/>
      <c r="H807" s="11"/>
      <c r="I807" s="11"/>
      <c r="J807" s="10">
        <f>IF($D807="","",IF(AND($H807&lt;&gt;"",$I807&lt;&gt;""),"débit ET crédit",IF(AND($H807="",$I807=""),"montant manquant",IF(ISNA(MATCH($D807,'Plan comptable'!$H:$H,0)),"compte hors plan",IF(AND($A807&lt;&gt;"",YEAR($A807)&lt;&gt;Exercice),"hors exercice","")))))</f>
      </c>
    </row>
    <row r="808">
      <c r="A808" s="13"/>
      <c r="B808" s="10"/>
      <c r="C808" s="9"/>
      <c r="D808" s="20"/>
      <c r="E808" s="9">
        <f>IF($D808="","",IFERROR(VLOOKUP($D808,'Plan comptable'!$H:$I,2,FALSE),"compte hors plan"))</f>
      </c>
      <c r="F808" s="9"/>
      <c r="G808" s="10"/>
      <c r="H808" s="11"/>
      <c r="I808" s="11"/>
      <c r="J808" s="10">
        <f>IF($D808="","",IF(AND($H808&lt;&gt;"",$I808&lt;&gt;""),"débit ET crédit",IF(AND($H808="",$I808=""),"montant manquant",IF(ISNA(MATCH($D808,'Plan comptable'!$H:$H,0)),"compte hors plan",IF(AND($A808&lt;&gt;"",YEAR($A808)&lt;&gt;Exercice),"hors exercice","")))))</f>
      </c>
    </row>
    <row r="809">
      <c r="A809" s="13"/>
      <c r="B809" s="10"/>
      <c r="C809" s="9"/>
      <c r="D809" s="20"/>
      <c r="E809" s="9">
        <f>IF($D809="","",IFERROR(VLOOKUP($D809,'Plan comptable'!$H:$I,2,FALSE),"compte hors plan"))</f>
      </c>
      <c r="F809" s="9"/>
      <c r="G809" s="10"/>
      <c r="H809" s="11"/>
      <c r="I809" s="11"/>
      <c r="J809" s="10">
        <f>IF($D809="","",IF(AND($H809&lt;&gt;"",$I809&lt;&gt;""),"débit ET crédit",IF(AND($H809="",$I809=""),"montant manquant",IF(ISNA(MATCH($D809,'Plan comptable'!$H:$H,0)),"compte hors plan",IF(AND($A809&lt;&gt;"",YEAR($A809)&lt;&gt;Exercice),"hors exercice","")))))</f>
      </c>
    </row>
    <row r="810">
      <c r="A810" s="13"/>
      <c r="B810" s="10"/>
      <c r="C810" s="9"/>
      <c r="D810" s="20"/>
      <c r="E810" s="9">
        <f>IF($D810="","",IFERROR(VLOOKUP($D810,'Plan comptable'!$H:$I,2,FALSE),"compte hors plan"))</f>
      </c>
      <c r="F810" s="9"/>
      <c r="G810" s="10"/>
      <c r="H810" s="11"/>
      <c r="I810" s="11"/>
      <c r="J810" s="10">
        <f>IF($D810="","",IF(AND($H810&lt;&gt;"",$I810&lt;&gt;""),"débit ET crédit",IF(AND($H810="",$I810=""),"montant manquant",IF(ISNA(MATCH($D810,'Plan comptable'!$H:$H,0)),"compte hors plan",IF(AND($A810&lt;&gt;"",YEAR($A810)&lt;&gt;Exercice),"hors exercice","")))))</f>
      </c>
    </row>
    <row r="811">
      <c r="A811" s="13"/>
      <c r="B811" s="10"/>
      <c r="C811" s="9"/>
      <c r="D811" s="20"/>
      <c r="E811" s="9">
        <f>IF($D811="","",IFERROR(VLOOKUP($D811,'Plan comptable'!$H:$I,2,FALSE),"compte hors plan"))</f>
      </c>
      <c r="F811" s="9"/>
      <c r="G811" s="10"/>
      <c r="H811" s="11"/>
      <c r="I811" s="11"/>
      <c r="J811" s="10">
        <f>IF($D811="","",IF(AND($H811&lt;&gt;"",$I811&lt;&gt;""),"débit ET crédit",IF(AND($H811="",$I811=""),"montant manquant",IF(ISNA(MATCH($D811,'Plan comptable'!$H:$H,0)),"compte hors plan",IF(AND($A811&lt;&gt;"",YEAR($A811)&lt;&gt;Exercice),"hors exercice","")))))</f>
      </c>
    </row>
    <row r="812">
      <c r="A812" s="13"/>
      <c r="B812" s="10"/>
      <c r="C812" s="9"/>
      <c r="D812" s="20"/>
      <c r="E812" s="9">
        <f>IF($D812="","",IFERROR(VLOOKUP($D812,'Plan comptable'!$H:$I,2,FALSE),"compte hors plan"))</f>
      </c>
      <c r="F812" s="9"/>
      <c r="G812" s="10"/>
      <c r="H812" s="11"/>
      <c r="I812" s="11"/>
      <c r="J812" s="10">
        <f>IF($D812="","",IF(AND($H812&lt;&gt;"",$I812&lt;&gt;""),"débit ET crédit",IF(AND($H812="",$I812=""),"montant manquant",IF(ISNA(MATCH($D812,'Plan comptable'!$H:$H,0)),"compte hors plan",IF(AND($A812&lt;&gt;"",YEAR($A812)&lt;&gt;Exercice),"hors exercice","")))))</f>
      </c>
    </row>
    <row r="813">
      <c r="A813" s="13"/>
      <c r="B813" s="10"/>
      <c r="C813" s="9"/>
      <c r="D813" s="20"/>
      <c r="E813" s="9">
        <f>IF($D813="","",IFERROR(VLOOKUP($D813,'Plan comptable'!$H:$I,2,FALSE),"compte hors plan"))</f>
      </c>
      <c r="F813" s="9"/>
      <c r="G813" s="10"/>
      <c r="H813" s="11"/>
      <c r="I813" s="11"/>
      <c r="J813" s="10">
        <f>IF($D813="","",IF(AND($H813&lt;&gt;"",$I813&lt;&gt;""),"débit ET crédit",IF(AND($H813="",$I813=""),"montant manquant",IF(ISNA(MATCH($D813,'Plan comptable'!$H:$H,0)),"compte hors plan",IF(AND($A813&lt;&gt;"",YEAR($A813)&lt;&gt;Exercice),"hors exercice","")))))</f>
      </c>
    </row>
    <row r="814">
      <c r="A814" s="13"/>
      <c r="B814" s="10"/>
      <c r="C814" s="9"/>
      <c r="D814" s="20"/>
      <c r="E814" s="9">
        <f>IF($D814="","",IFERROR(VLOOKUP($D814,'Plan comptable'!$H:$I,2,FALSE),"compte hors plan"))</f>
      </c>
      <c r="F814" s="9"/>
      <c r="G814" s="10"/>
      <c r="H814" s="11"/>
      <c r="I814" s="11"/>
      <c r="J814" s="10">
        <f>IF($D814="","",IF(AND($H814&lt;&gt;"",$I814&lt;&gt;""),"débit ET crédit",IF(AND($H814="",$I814=""),"montant manquant",IF(ISNA(MATCH($D814,'Plan comptable'!$H:$H,0)),"compte hors plan",IF(AND($A814&lt;&gt;"",YEAR($A814)&lt;&gt;Exercice),"hors exercice","")))))</f>
      </c>
    </row>
    <row r="815">
      <c r="A815" s="13"/>
      <c r="B815" s="10"/>
      <c r="C815" s="9"/>
      <c r="D815" s="20"/>
      <c r="E815" s="9">
        <f>IF($D815="","",IFERROR(VLOOKUP($D815,'Plan comptable'!$H:$I,2,FALSE),"compte hors plan"))</f>
      </c>
      <c r="F815" s="9"/>
      <c r="G815" s="10"/>
      <c r="H815" s="11"/>
      <c r="I815" s="11"/>
      <c r="J815" s="10">
        <f>IF($D815="","",IF(AND($H815&lt;&gt;"",$I815&lt;&gt;""),"débit ET crédit",IF(AND($H815="",$I815=""),"montant manquant",IF(ISNA(MATCH($D815,'Plan comptable'!$H:$H,0)),"compte hors plan",IF(AND($A815&lt;&gt;"",YEAR($A815)&lt;&gt;Exercice),"hors exercice","")))))</f>
      </c>
    </row>
    <row r="816">
      <c r="A816" s="13"/>
      <c r="B816" s="10"/>
      <c r="C816" s="9"/>
      <c r="D816" s="20"/>
      <c r="E816" s="9">
        <f>IF($D816="","",IFERROR(VLOOKUP($D816,'Plan comptable'!$H:$I,2,FALSE),"compte hors plan"))</f>
      </c>
      <c r="F816" s="9"/>
      <c r="G816" s="10"/>
      <c r="H816" s="11"/>
      <c r="I816" s="11"/>
      <c r="J816" s="10">
        <f>IF($D816="","",IF(AND($H816&lt;&gt;"",$I816&lt;&gt;""),"débit ET crédit",IF(AND($H816="",$I816=""),"montant manquant",IF(ISNA(MATCH($D816,'Plan comptable'!$H:$H,0)),"compte hors plan",IF(AND($A816&lt;&gt;"",YEAR($A816)&lt;&gt;Exercice),"hors exercice","")))))</f>
      </c>
    </row>
    <row r="817">
      <c r="A817" s="13"/>
      <c r="B817" s="10"/>
      <c r="C817" s="9"/>
      <c r="D817" s="20"/>
      <c r="E817" s="9">
        <f>IF($D817="","",IFERROR(VLOOKUP($D817,'Plan comptable'!$H:$I,2,FALSE),"compte hors plan"))</f>
      </c>
      <c r="F817" s="9"/>
      <c r="G817" s="10"/>
      <c r="H817" s="11"/>
      <c r="I817" s="11"/>
      <c r="J817" s="10">
        <f>IF($D817="","",IF(AND($H817&lt;&gt;"",$I817&lt;&gt;""),"débit ET crédit",IF(AND($H817="",$I817=""),"montant manquant",IF(ISNA(MATCH($D817,'Plan comptable'!$H:$H,0)),"compte hors plan",IF(AND($A817&lt;&gt;"",YEAR($A817)&lt;&gt;Exercice),"hors exercice","")))))</f>
      </c>
    </row>
    <row r="818">
      <c r="A818" s="13"/>
      <c r="B818" s="10"/>
      <c r="C818" s="9"/>
      <c r="D818" s="20"/>
      <c r="E818" s="9">
        <f>IF($D818="","",IFERROR(VLOOKUP($D818,'Plan comptable'!$H:$I,2,FALSE),"compte hors plan"))</f>
      </c>
      <c r="F818" s="9"/>
      <c r="G818" s="10"/>
      <c r="H818" s="11"/>
      <c r="I818" s="11"/>
      <c r="J818" s="10">
        <f>IF($D818="","",IF(AND($H818&lt;&gt;"",$I818&lt;&gt;""),"débit ET crédit",IF(AND($H818="",$I818=""),"montant manquant",IF(ISNA(MATCH($D818,'Plan comptable'!$H:$H,0)),"compte hors plan",IF(AND($A818&lt;&gt;"",YEAR($A818)&lt;&gt;Exercice),"hors exercice","")))))</f>
      </c>
    </row>
    <row r="819">
      <c r="A819" s="13"/>
      <c r="B819" s="10"/>
      <c r="C819" s="9"/>
      <c r="D819" s="20"/>
      <c r="E819" s="9">
        <f>IF($D819="","",IFERROR(VLOOKUP($D819,'Plan comptable'!$H:$I,2,FALSE),"compte hors plan"))</f>
      </c>
      <c r="F819" s="9"/>
      <c r="G819" s="10"/>
      <c r="H819" s="11"/>
      <c r="I819" s="11"/>
      <c r="J819" s="10">
        <f>IF($D819="","",IF(AND($H819&lt;&gt;"",$I819&lt;&gt;""),"débit ET crédit",IF(AND($H819="",$I819=""),"montant manquant",IF(ISNA(MATCH($D819,'Plan comptable'!$H:$H,0)),"compte hors plan",IF(AND($A819&lt;&gt;"",YEAR($A819)&lt;&gt;Exercice),"hors exercice","")))))</f>
      </c>
    </row>
    <row r="820">
      <c r="A820" s="13"/>
      <c r="B820" s="10"/>
      <c r="C820" s="9"/>
      <c r="D820" s="20"/>
      <c r="E820" s="9">
        <f>IF($D820="","",IFERROR(VLOOKUP($D820,'Plan comptable'!$H:$I,2,FALSE),"compte hors plan"))</f>
      </c>
      <c r="F820" s="9"/>
      <c r="G820" s="10"/>
      <c r="H820" s="11"/>
      <c r="I820" s="11"/>
      <c r="J820" s="10">
        <f>IF($D820="","",IF(AND($H820&lt;&gt;"",$I820&lt;&gt;""),"débit ET crédit",IF(AND($H820="",$I820=""),"montant manquant",IF(ISNA(MATCH($D820,'Plan comptable'!$H:$H,0)),"compte hors plan",IF(AND($A820&lt;&gt;"",YEAR($A820)&lt;&gt;Exercice),"hors exercice","")))))</f>
      </c>
    </row>
    <row r="821">
      <c r="A821" s="13"/>
      <c r="B821" s="10"/>
      <c r="C821" s="9"/>
      <c r="D821" s="20"/>
      <c r="E821" s="9">
        <f>IF($D821="","",IFERROR(VLOOKUP($D821,'Plan comptable'!$H:$I,2,FALSE),"compte hors plan"))</f>
      </c>
      <c r="F821" s="9"/>
      <c r="G821" s="10"/>
      <c r="H821" s="11"/>
      <c r="I821" s="11"/>
      <c r="J821" s="10">
        <f>IF($D821="","",IF(AND($H821&lt;&gt;"",$I821&lt;&gt;""),"débit ET crédit",IF(AND($H821="",$I821=""),"montant manquant",IF(ISNA(MATCH($D821,'Plan comptable'!$H:$H,0)),"compte hors plan",IF(AND($A821&lt;&gt;"",YEAR($A821)&lt;&gt;Exercice),"hors exercice","")))))</f>
      </c>
    </row>
    <row r="822">
      <c r="A822" s="13"/>
      <c r="B822" s="10"/>
      <c r="C822" s="9"/>
      <c r="D822" s="20"/>
      <c r="E822" s="9">
        <f>IF($D822="","",IFERROR(VLOOKUP($D822,'Plan comptable'!$H:$I,2,FALSE),"compte hors plan"))</f>
      </c>
      <c r="F822" s="9"/>
      <c r="G822" s="10"/>
      <c r="H822" s="11"/>
      <c r="I822" s="11"/>
      <c r="J822" s="10">
        <f>IF($D822="","",IF(AND($H822&lt;&gt;"",$I822&lt;&gt;""),"débit ET crédit",IF(AND($H822="",$I822=""),"montant manquant",IF(ISNA(MATCH($D822,'Plan comptable'!$H:$H,0)),"compte hors plan",IF(AND($A822&lt;&gt;"",YEAR($A822)&lt;&gt;Exercice),"hors exercice","")))))</f>
      </c>
    </row>
    <row r="823">
      <c r="A823" s="13"/>
      <c r="B823" s="10"/>
      <c r="C823" s="9"/>
      <c r="D823" s="20"/>
      <c r="E823" s="9">
        <f>IF($D823="","",IFERROR(VLOOKUP($D823,'Plan comptable'!$H:$I,2,FALSE),"compte hors plan"))</f>
      </c>
      <c r="F823" s="9"/>
      <c r="G823" s="10"/>
      <c r="H823" s="11"/>
      <c r="I823" s="11"/>
      <c r="J823" s="10">
        <f>IF($D823="","",IF(AND($H823&lt;&gt;"",$I823&lt;&gt;""),"débit ET crédit",IF(AND($H823="",$I823=""),"montant manquant",IF(ISNA(MATCH($D823,'Plan comptable'!$H:$H,0)),"compte hors plan",IF(AND($A823&lt;&gt;"",YEAR($A823)&lt;&gt;Exercice),"hors exercice","")))))</f>
      </c>
    </row>
    <row r="824">
      <c r="A824" s="13"/>
      <c r="B824" s="10"/>
      <c r="C824" s="9"/>
      <c r="D824" s="20"/>
      <c r="E824" s="9">
        <f>IF($D824="","",IFERROR(VLOOKUP($D824,'Plan comptable'!$H:$I,2,FALSE),"compte hors plan"))</f>
      </c>
      <c r="F824" s="9"/>
      <c r="G824" s="10"/>
      <c r="H824" s="11"/>
      <c r="I824" s="11"/>
      <c r="J824" s="10">
        <f>IF($D824="","",IF(AND($H824&lt;&gt;"",$I824&lt;&gt;""),"débit ET crédit",IF(AND($H824="",$I824=""),"montant manquant",IF(ISNA(MATCH($D824,'Plan comptable'!$H:$H,0)),"compte hors plan",IF(AND($A824&lt;&gt;"",YEAR($A824)&lt;&gt;Exercice),"hors exercice","")))))</f>
      </c>
    </row>
    <row r="825">
      <c r="A825" s="13"/>
      <c r="B825" s="10"/>
      <c r="C825" s="9"/>
      <c r="D825" s="20"/>
      <c r="E825" s="9">
        <f>IF($D825="","",IFERROR(VLOOKUP($D825,'Plan comptable'!$H:$I,2,FALSE),"compte hors plan"))</f>
      </c>
      <c r="F825" s="9"/>
      <c r="G825" s="10"/>
      <c r="H825" s="11"/>
      <c r="I825" s="11"/>
      <c r="J825" s="10">
        <f>IF($D825="","",IF(AND($H825&lt;&gt;"",$I825&lt;&gt;""),"débit ET crédit",IF(AND($H825="",$I825=""),"montant manquant",IF(ISNA(MATCH($D825,'Plan comptable'!$H:$H,0)),"compte hors plan",IF(AND($A825&lt;&gt;"",YEAR($A825)&lt;&gt;Exercice),"hors exercice","")))))</f>
      </c>
    </row>
    <row r="826">
      <c r="A826" s="13"/>
      <c r="B826" s="10"/>
      <c r="C826" s="9"/>
      <c r="D826" s="20"/>
      <c r="E826" s="9">
        <f>IF($D826="","",IFERROR(VLOOKUP($D826,'Plan comptable'!$H:$I,2,FALSE),"compte hors plan"))</f>
      </c>
      <c r="F826" s="9"/>
      <c r="G826" s="10"/>
      <c r="H826" s="11"/>
      <c r="I826" s="11"/>
      <c r="J826" s="10">
        <f>IF($D826="","",IF(AND($H826&lt;&gt;"",$I826&lt;&gt;""),"débit ET crédit",IF(AND($H826="",$I826=""),"montant manquant",IF(ISNA(MATCH($D826,'Plan comptable'!$H:$H,0)),"compte hors plan",IF(AND($A826&lt;&gt;"",YEAR($A826)&lt;&gt;Exercice),"hors exercice","")))))</f>
      </c>
    </row>
    <row r="827">
      <c r="A827" s="13"/>
      <c r="B827" s="10"/>
      <c r="C827" s="9"/>
      <c r="D827" s="20"/>
      <c r="E827" s="9">
        <f>IF($D827="","",IFERROR(VLOOKUP($D827,'Plan comptable'!$H:$I,2,FALSE),"compte hors plan"))</f>
      </c>
      <c r="F827" s="9"/>
      <c r="G827" s="10"/>
      <c r="H827" s="11"/>
      <c r="I827" s="11"/>
      <c r="J827" s="10">
        <f>IF($D827="","",IF(AND($H827&lt;&gt;"",$I827&lt;&gt;""),"débit ET crédit",IF(AND($H827="",$I827=""),"montant manquant",IF(ISNA(MATCH($D827,'Plan comptable'!$H:$H,0)),"compte hors plan",IF(AND($A827&lt;&gt;"",YEAR($A827)&lt;&gt;Exercice),"hors exercice","")))))</f>
      </c>
    </row>
    <row r="828">
      <c r="A828" s="13"/>
      <c r="B828" s="10"/>
      <c r="C828" s="9"/>
      <c r="D828" s="20"/>
      <c r="E828" s="9">
        <f>IF($D828="","",IFERROR(VLOOKUP($D828,'Plan comptable'!$H:$I,2,FALSE),"compte hors plan"))</f>
      </c>
      <c r="F828" s="9"/>
      <c r="G828" s="10"/>
      <c r="H828" s="11"/>
      <c r="I828" s="11"/>
      <c r="J828" s="10">
        <f>IF($D828="","",IF(AND($H828&lt;&gt;"",$I828&lt;&gt;""),"débit ET crédit",IF(AND($H828="",$I828=""),"montant manquant",IF(ISNA(MATCH($D828,'Plan comptable'!$H:$H,0)),"compte hors plan",IF(AND($A828&lt;&gt;"",YEAR($A828)&lt;&gt;Exercice),"hors exercice","")))))</f>
      </c>
    </row>
    <row r="829">
      <c r="A829" s="13"/>
      <c r="B829" s="10"/>
      <c r="C829" s="9"/>
      <c r="D829" s="20"/>
      <c r="E829" s="9">
        <f>IF($D829="","",IFERROR(VLOOKUP($D829,'Plan comptable'!$H:$I,2,FALSE),"compte hors plan"))</f>
      </c>
      <c r="F829" s="9"/>
      <c r="G829" s="10"/>
      <c r="H829" s="11"/>
      <c r="I829" s="11"/>
      <c r="J829" s="10">
        <f>IF($D829="","",IF(AND($H829&lt;&gt;"",$I829&lt;&gt;""),"débit ET crédit",IF(AND($H829="",$I829=""),"montant manquant",IF(ISNA(MATCH($D829,'Plan comptable'!$H:$H,0)),"compte hors plan",IF(AND($A829&lt;&gt;"",YEAR($A829)&lt;&gt;Exercice),"hors exercice","")))))</f>
      </c>
    </row>
    <row r="830">
      <c r="A830" s="13"/>
      <c r="B830" s="10"/>
      <c r="C830" s="9"/>
      <c r="D830" s="20"/>
      <c r="E830" s="9">
        <f>IF($D830="","",IFERROR(VLOOKUP($D830,'Plan comptable'!$H:$I,2,FALSE),"compte hors plan"))</f>
      </c>
      <c r="F830" s="9"/>
      <c r="G830" s="10"/>
      <c r="H830" s="11"/>
      <c r="I830" s="11"/>
      <c r="J830" s="10">
        <f>IF($D830="","",IF(AND($H830&lt;&gt;"",$I830&lt;&gt;""),"débit ET crédit",IF(AND($H830="",$I830=""),"montant manquant",IF(ISNA(MATCH($D830,'Plan comptable'!$H:$H,0)),"compte hors plan",IF(AND($A830&lt;&gt;"",YEAR($A830)&lt;&gt;Exercice),"hors exercice","")))))</f>
      </c>
    </row>
    <row r="831">
      <c r="A831" s="13"/>
      <c r="B831" s="10"/>
      <c r="C831" s="9"/>
      <c r="D831" s="20"/>
      <c r="E831" s="9">
        <f>IF($D831="","",IFERROR(VLOOKUP($D831,'Plan comptable'!$H:$I,2,FALSE),"compte hors plan"))</f>
      </c>
      <c r="F831" s="9"/>
      <c r="G831" s="10"/>
      <c r="H831" s="11"/>
      <c r="I831" s="11"/>
      <c r="J831" s="10">
        <f>IF($D831="","",IF(AND($H831&lt;&gt;"",$I831&lt;&gt;""),"débit ET crédit",IF(AND($H831="",$I831=""),"montant manquant",IF(ISNA(MATCH($D831,'Plan comptable'!$H:$H,0)),"compte hors plan",IF(AND($A831&lt;&gt;"",YEAR($A831)&lt;&gt;Exercice),"hors exercice","")))))</f>
      </c>
    </row>
    <row r="832">
      <c r="A832" s="13"/>
      <c r="B832" s="10"/>
      <c r="C832" s="9"/>
      <c r="D832" s="20"/>
      <c r="E832" s="9">
        <f>IF($D832="","",IFERROR(VLOOKUP($D832,'Plan comptable'!$H:$I,2,FALSE),"compte hors plan"))</f>
      </c>
      <c r="F832" s="9"/>
      <c r="G832" s="10"/>
      <c r="H832" s="11"/>
      <c r="I832" s="11"/>
      <c r="J832" s="10">
        <f>IF($D832="","",IF(AND($H832&lt;&gt;"",$I832&lt;&gt;""),"débit ET crédit",IF(AND($H832="",$I832=""),"montant manquant",IF(ISNA(MATCH($D832,'Plan comptable'!$H:$H,0)),"compte hors plan",IF(AND($A832&lt;&gt;"",YEAR($A832)&lt;&gt;Exercice),"hors exercice","")))))</f>
      </c>
    </row>
    <row r="833">
      <c r="A833" s="13"/>
      <c r="B833" s="10"/>
      <c r="C833" s="9"/>
      <c r="D833" s="20"/>
      <c r="E833" s="9">
        <f>IF($D833="","",IFERROR(VLOOKUP($D833,'Plan comptable'!$H:$I,2,FALSE),"compte hors plan"))</f>
      </c>
      <c r="F833" s="9"/>
      <c r="G833" s="10"/>
      <c r="H833" s="11"/>
      <c r="I833" s="11"/>
      <c r="J833" s="10">
        <f>IF($D833="","",IF(AND($H833&lt;&gt;"",$I833&lt;&gt;""),"débit ET crédit",IF(AND($H833="",$I833=""),"montant manquant",IF(ISNA(MATCH($D833,'Plan comptable'!$H:$H,0)),"compte hors plan",IF(AND($A833&lt;&gt;"",YEAR($A833)&lt;&gt;Exercice),"hors exercice","")))))</f>
      </c>
    </row>
    <row r="834">
      <c r="A834" s="13"/>
      <c r="B834" s="10"/>
      <c r="C834" s="9"/>
      <c r="D834" s="20"/>
      <c r="E834" s="9">
        <f>IF($D834="","",IFERROR(VLOOKUP($D834,'Plan comptable'!$H:$I,2,FALSE),"compte hors plan"))</f>
      </c>
      <c r="F834" s="9"/>
      <c r="G834" s="10"/>
      <c r="H834" s="11"/>
      <c r="I834" s="11"/>
      <c r="J834" s="10">
        <f>IF($D834="","",IF(AND($H834&lt;&gt;"",$I834&lt;&gt;""),"débit ET crédit",IF(AND($H834="",$I834=""),"montant manquant",IF(ISNA(MATCH($D834,'Plan comptable'!$H:$H,0)),"compte hors plan",IF(AND($A834&lt;&gt;"",YEAR($A834)&lt;&gt;Exercice),"hors exercice","")))))</f>
      </c>
    </row>
    <row r="835">
      <c r="A835" s="13"/>
      <c r="B835" s="10"/>
      <c r="C835" s="9"/>
      <c r="D835" s="20"/>
      <c r="E835" s="9">
        <f>IF($D835="","",IFERROR(VLOOKUP($D835,'Plan comptable'!$H:$I,2,FALSE),"compte hors plan"))</f>
      </c>
      <c r="F835" s="9"/>
      <c r="G835" s="10"/>
      <c r="H835" s="11"/>
      <c r="I835" s="11"/>
      <c r="J835" s="10">
        <f>IF($D835="","",IF(AND($H835&lt;&gt;"",$I835&lt;&gt;""),"débit ET crédit",IF(AND($H835="",$I835=""),"montant manquant",IF(ISNA(MATCH($D835,'Plan comptable'!$H:$H,0)),"compte hors plan",IF(AND($A835&lt;&gt;"",YEAR($A835)&lt;&gt;Exercice),"hors exercice","")))))</f>
      </c>
    </row>
    <row r="836">
      <c r="A836" s="13"/>
      <c r="B836" s="10"/>
      <c r="C836" s="9"/>
      <c r="D836" s="20"/>
      <c r="E836" s="9">
        <f>IF($D836="","",IFERROR(VLOOKUP($D836,'Plan comptable'!$H:$I,2,FALSE),"compte hors plan"))</f>
      </c>
      <c r="F836" s="9"/>
      <c r="G836" s="10"/>
      <c r="H836" s="11"/>
      <c r="I836" s="11"/>
      <c r="J836" s="10">
        <f>IF($D836="","",IF(AND($H836&lt;&gt;"",$I836&lt;&gt;""),"débit ET crédit",IF(AND($H836="",$I836=""),"montant manquant",IF(ISNA(MATCH($D836,'Plan comptable'!$H:$H,0)),"compte hors plan",IF(AND($A836&lt;&gt;"",YEAR($A836)&lt;&gt;Exercice),"hors exercice","")))))</f>
      </c>
    </row>
    <row r="837">
      <c r="A837" s="13"/>
      <c r="B837" s="10"/>
      <c r="C837" s="9"/>
      <c r="D837" s="20"/>
      <c r="E837" s="9">
        <f>IF($D837="","",IFERROR(VLOOKUP($D837,'Plan comptable'!$H:$I,2,FALSE),"compte hors plan"))</f>
      </c>
      <c r="F837" s="9"/>
      <c r="G837" s="10"/>
      <c r="H837" s="11"/>
      <c r="I837" s="11"/>
      <c r="J837" s="10">
        <f>IF($D837="","",IF(AND($H837&lt;&gt;"",$I837&lt;&gt;""),"débit ET crédit",IF(AND($H837="",$I837=""),"montant manquant",IF(ISNA(MATCH($D837,'Plan comptable'!$H:$H,0)),"compte hors plan",IF(AND($A837&lt;&gt;"",YEAR($A837)&lt;&gt;Exercice),"hors exercice","")))))</f>
      </c>
    </row>
    <row r="838">
      <c r="A838" s="13"/>
      <c r="B838" s="10"/>
      <c r="C838" s="9"/>
      <c r="D838" s="20"/>
      <c r="E838" s="9">
        <f>IF($D838="","",IFERROR(VLOOKUP($D838,'Plan comptable'!$H:$I,2,FALSE),"compte hors plan"))</f>
      </c>
      <c r="F838" s="9"/>
      <c r="G838" s="10"/>
      <c r="H838" s="11"/>
      <c r="I838" s="11"/>
      <c r="J838" s="10">
        <f>IF($D838="","",IF(AND($H838&lt;&gt;"",$I838&lt;&gt;""),"débit ET crédit",IF(AND($H838="",$I838=""),"montant manquant",IF(ISNA(MATCH($D838,'Plan comptable'!$H:$H,0)),"compte hors plan",IF(AND($A838&lt;&gt;"",YEAR($A838)&lt;&gt;Exercice),"hors exercice","")))))</f>
      </c>
    </row>
    <row r="839">
      <c r="A839" s="13"/>
      <c r="B839" s="10"/>
      <c r="C839" s="9"/>
      <c r="D839" s="20"/>
      <c r="E839" s="9">
        <f>IF($D839="","",IFERROR(VLOOKUP($D839,'Plan comptable'!$H:$I,2,FALSE),"compte hors plan"))</f>
      </c>
      <c r="F839" s="9"/>
      <c r="G839" s="10"/>
      <c r="H839" s="11"/>
      <c r="I839" s="11"/>
      <c r="J839" s="10">
        <f>IF($D839="","",IF(AND($H839&lt;&gt;"",$I839&lt;&gt;""),"débit ET crédit",IF(AND($H839="",$I839=""),"montant manquant",IF(ISNA(MATCH($D839,'Plan comptable'!$H:$H,0)),"compte hors plan",IF(AND($A839&lt;&gt;"",YEAR($A839)&lt;&gt;Exercice),"hors exercice","")))))</f>
      </c>
    </row>
    <row r="840">
      <c r="A840" s="13"/>
      <c r="B840" s="10"/>
      <c r="C840" s="9"/>
      <c r="D840" s="20"/>
      <c r="E840" s="9">
        <f>IF($D840="","",IFERROR(VLOOKUP($D840,'Plan comptable'!$H:$I,2,FALSE),"compte hors plan"))</f>
      </c>
      <c r="F840" s="9"/>
      <c r="G840" s="10"/>
      <c r="H840" s="11"/>
      <c r="I840" s="11"/>
      <c r="J840" s="10">
        <f>IF($D840="","",IF(AND($H840&lt;&gt;"",$I840&lt;&gt;""),"débit ET crédit",IF(AND($H840="",$I840=""),"montant manquant",IF(ISNA(MATCH($D840,'Plan comptable'!$H:$H,0)),"compte hors plan",IF(AND($A840&lt;&gt;"",YEAR($A840)&lt;&gt;Exercice),"hors exercice","")))))</f>
      </c>
    </row>
    <row r="841">
      <c r="A841" s="13"/>
      <c r="B841" s="10"/>
      <c r="C841" s="9"/>
      <c r="D841" s="20"/>
      <c r="E841" s="9">
        <f>IF($D841="","",IFERROR(VLOOKUP($D841,'Plan comptable'!$H:$I,2,FALSE),"compte hors plan"))</f>
      </c>
      <c r="F841" s="9"/>
      <c r="G841" s="10"/>
      <c r="H841" s="11"/>
      <c r="I841" s="11"/>
      <c r="J841" s="10">
        <f>IF($D841="","",IF(AND($H841&lt;&gt;"",$I841&lt;&gt;""),"débit ET crédit",IF(AND($H841="",$I841=""),"montant manquant",IF(ISNA(MATCH($D841,'Plan comptable'!$H:$H,0)),"compte hors plan",IF(AND($A841&lt;&gt;"",YEAR($A841)&lt;&gt;Exercice),"hors exercice","")))))</f>
      </c>
    </row>
    <row r="842">
      <c r="A842" s="13"/>
      <c r="B842" s="10"/>
      <c r="C842" s="9"/>
      <c r="D842" s="20"/>
      <c r="E842" s="9">
        <f>IF($D842="","",IFERROR(VLOOKUP($D842,'Plan comptable'!$H:$I,2,FALSE),"compte hors plan"))</f>
      </c>
      <c r="F842" s="9"/>
      <c r="G842" s="10"/>
      <c r="H842" s="11"/>
      <c r="I842" s="11"/>
      <c r="J842" s="10">
        <f>IF($D842="","",IF(AND($H842&lt;&gt;"",$I842&lt;&gt;""),"débit ET crédit",IF(AND($H842="",$I842=""),"montant manquant",IF(ISNA(MATCH($D842,'Plan comptable'!$H:$H,0)),"compte hors plan",IF(AND($A842&lt;&gt;"",YEAR($A842)&lt;&gt;Exercice),"hors exercice","")))))</f>
      </c>
    </row>
    <row r="843">
      <c r="A843" s="13"/>
      <c r="B843" s="10"/>
      <c r="C843" s="9"/>
      <c r="D843" s="20"/>
      <c r="E843" s="9">
        <f>IF($D843="","",IFERROR(VLOOKUP($D843,'Plan comptable'!$H:$I,2,FALSE),"compte hors plan"))</f>
      </c>
      <c r="F843" s="9"/>
      <c r="G843" s="10"/>
      <c r="H843" s="11"/>
      <c r="I843" s="11"/>
      <c r="J843" s="10">
        <f>IF($D843="","",IF(AND($H843&lt;&gt;"",$I843&lt;&gt;""),"débit ET crédit",IF(AND($H843="",$I843=""),"montant manquant",IF(ISNA(MATCH($D843,'Plan comptable'!$H:$H,0)),"compte hors plan",IF(AND($A843&lt;&gt;"",YEAR($A843)&lt;&gt;Exercice),"hors exercice","")))))</f>
      </c>
    </row>
    <row r="844">
      <c r="A844" s="13"/>
      <c r="B844" s="10"/>
      <c r="C844" s="9"/>
      <c r="D844" s="20"/>
      <c r="E844" s="9">
        <f>IF($D844="","",IFERROR(VLOOKUP($D844,'Plan comptable'!$H:$I,2,FALSE),"compte hors plan"))</f>
      </c>
      <c r="F844" s="9"/>
      <c r="G844" s="10"/>
      <c r="H844" s="11"/>
      <c r="I844" s="11"/>
      <c r="J844" s="10">
        <f>IF($D844="","",IF(AND($H844&lt;&gt;"",$I844&lt;&gt;""),"débit ET crédit",IF(AND($H844="",$I844=""),"montant manquant",IF(ISNA(MATCH($D844,'Plan comptable'!$H:$H,0)),"compte hors plan",IF(AND($A844&lt;&gt;"",YEAR($A844)&lt;&gt;Exercice),"hors exercice","")))))</f>
      </c>
    </row>
    <row r="845">
      <c r="A845" s="13"/>
      <c r="B845" s="10"/>
      <c r="C845" s="9"/>
      <c r="D845" s="20"/>
      <c r="E845" s="9">
        <f>IF($D845="","",IFERROR(VLOOKUP($D845,'Plan comptable'!$H:$I,2,FALSE),"compte hors plan"))</f>
      </c>
      <c r="F845" s="9"/>
      <c r="G845" s="10"/>
      <c r="H845" s="11"/>
      <c r="I845" s="11"/>
      <c r="J845" s="10">
        <f>IF($D845="","",IF(AND($H845&lt;&gt;"",$I845&lt;&gt;""),"débit ET crédit",IF(AND($H845="",$I845=""),"montant manquant",IF(ISNA(MATCH($D845,'Plan comptable'!$H:$H,0)),"compte hors plan",IF(AND($A845&lt;&gt;"",YEAR($A845)&lt;&gt;Exercice),"hors exercice","")))))</f>
      </c>
    </row>
    <row r="846">
      <c r="A846" s="13"/>
      <c r="B846" s="10"/>
      <c r="C846" s="9"/>
      <c r="D846" s="20"/>
      <c r="E846" s="9">
        <f>IF($D846="","",IFERROR(VLOOKUP($D846,'Plan comptable'!$H:$I,2,FALSE),"compte hors plan"))</f>
      </c>
      <c r="F846" s="9"/>
      <c r="G846" s="10"/>
      <c r="H846" s="11"/>
      <c r="I846" s="11"/>
      <c r="J846" s="10">
        <f>IF($D846="","",IF(AND($H846&lt;&gt;"",$I846&lt;&gt;""),"débit ET crédit",IF(AND($H846="",$I846=""),"montant manquant",IF(ISNA(MATCH($D846,'Plan comptable'!$H:$H,0)),"compte hors plan",IF(AND($A846&lt;&gt;"",YEAR($A846)&lt;&gt;Exercice),"hors exercice","")))))</f>
      </c>
    </row>
    <row r="847">
      <c r="A847" s="13"/>
      <c r="B847" s="10"/>
      <c r="C847" s="9"/>
      <c r="D847" s="20"/>
      <c r="E847" s="9">
        <f>IF($D847="","",IFERROR(VLOOKUP($D847,'Plan comptable'!$H:$I,2,FALSE),"compte hors plan"))</f>
      </c>
      <c r="F847" s="9"/>
      <c r="G847" s="10"/>
      <c r="H847" s="11"/>
      <c r="I847" s="11"/>
      <c r="J847" s="10">
        <f>IF($D847="","",IF(AND($H847&lt;&gt;"",$I847&lt;&gt;""),"débit ET crédit",IF(AND($H847="",$I847=""),"montant manquant",IF(ISNA(MATCH($D847,'Plan comptable'!$H:$H,0)),"compte hors plan",IF(AND($A847&lt;&gt;"",YEAR($A847)&lt;&gt;Exercice),"hors exercice","")))))</f>
      </c>
    </row>
    <row r="848">
      <c r="A848" s="13"/>
      <c r="B848" s="10"/>
      <c r="C848" s="9"/>
      <c r="D848" s="20"/>
      <c r="E848" s="9">
        <f>IF($D848="","",IFERROR(VLOOKUP($D848,'Plan comptable'!$H:$I,2,FALSE),"compte hors plan"))</f>
      </c>
      <c r="F848" s="9"/>
      <c r="G848" s="10"/>
      <c r="H848" s="11"/>
      <c r="I848" s="11"/>
      <c r="J848" s="10">
        <f>IF($D848="","",IF(AND($H848&lt;&gt;"",$I848&lt;&gt;""),"débit ET crédit",IF(AND($H848="",$I848=""),"montant manquant",IF(ISNA(MATCH($D848,'Plan comptable'!$H:$H,0)),"compte hors plan",IF(AND($A848&lt;&gt;"",YEAR($A848)&lt;&gt;Exercice),"hors exercice","")))))</f>
      </c>
    </row>
    <row r="849">
      <c r="A849" s="13"/>
      <c r="B849" s="10"/>
      <c r="C849" s="9"/>
      <c r="D849" s="20"/>
      <c r="E849" s="9">
        <f>IF($D849="","",IFERROR(VLOOKUP($D849,'Plan comptable'!$H:$I,2,FALSE),"compte hors plan"))</f>
      </c>
      <c r="F849" s="9"/>
      <c r="G849" s="10"/>
      <c r="H849" s="11"/>
      <c r="I849" s="11"/>
      <c r="J849" s="10">
        <f>IF($D849="","",IF(AND($H849&lt;&gt;"",$I849&lt;&gt;""),"débit ET crédit",IF(AND($H849="",$I849=""),"montant manquant",IF(ISNA(MATCH($D849,'Plan comptable'!$H:$H,0)),"compte hors plan",IF(AND($A849&lt;&gt;"",YEAR($A849)&lt;&gt;Exercice),"hors exercice","")))))</f>
      </c>
    </row>
    <row r="850">
      <c r="A850" s="13"/>
      <c r="B850" s="10"/>
      <c r="C850" s="9"/>
      <c r="D850" s="20"/>
      <c r="E850" s="9">
        <f>IF($D850="","",IFERROR(VLOOKUP($D850,'Plan comptable'!$H:$I,2,FALSE),"compte hors plan"))</f>
      </c>
      <c r="F850" s="9"/>
      <c r="G850" s="10"/>
      <c r="H850" s="11"/>
      <c r="I850" s="11"/>
      <c r="J850" s="10">
        <f>IF($D850="","",IF(AND($H850&lt;&gt;"",$I850&lt;&gt;""),"débit ET crédit",IF(AND($H850="",$I850=""),"montant manquant",IF(ISNA(MATCH($D850,'Plan comptable'!$H:$H,0)),"compte hors plan",IF(AND($A850&lt;&gt;"",YEAR($A850)&lt;&gt;Exercice),"hors exercice","")))))</f>
      </c>
    </row>
    <row r="851">
      <c r="A851" s="13"/>
      <c r="B851" s="10"/>
      <c r="C851" s="9"/>
      <c r="D851" s="20"/>
      <c r="E851" s="9">
        <f>IF($D851="","",IFERROR(VLOOKUP($D851,'Plan comptable'!$H:$I,2,FALSE),"compte hors plan"))</f>
      </c>
      <c r="F851" s="9"/>
      <c r="G851" s="10"/>
      <c r="H851" s="11"/>
      <c r="I851" s="11"/>
      <c r="J851" s="10">
        <f>IF($D851="","",IF(AND($H851&lt;&gt;"",$I851&lt;&gt;""),"débit ET crédit",IF(AND($H851="",$I851=""),"montant manquant",IF(ISNA(MATCH($D851,'Plan comptable'!$H:$H,0)),"compte hors plan",IF(AND($A851&lt;&gt;"",YEAR($A851)&lt;&gt;Exercice),"hors exercice","")))))</f>
      </c>
    </row>
    <row r="852">
      <c r="A852" s="13"/>
      <c r="B852" s="10"/>
      <c r="C852" s="9"/>
      <c r="D852" s="20"/>
      <c r="E852" s="9">
        <f>IF($D852="","",IFERROR(VLOOKUP($D852,'Plan comptable'!$H:$I,2,FALSE),"compte hors plan"))</f>
      </c>
      <c r="F852" s="9"/>
      <c r="G852" s="10"/>
      <c r="H852" s="11"/>
      <c r="I852" s="11"/>
      <c r="J852" s="10">
        <f>IF($D852="","",IF(AND($H852&lt;&gt;"",$I852&lt;&gt;""),"débit ET crédit",IF(AND($H852="",$I852=""),"montant manquant",IF(ISNA(MATCH($D852,'Plan comptable'!$H:$H,0)),"compte hors plan",IF(AND($A852&lt;&gt;"",YEAR($A852)&lt;&gt;Exercice),"hors exercice","")))))</f>
      </c>
    </row>
    <row r="853">
      <c r="A853" s="13"/>
      <c r="B853" s="10"/>
      <c r="C853" s="9"/>
      <c r="D853" s="20"/>
      <c r="E853" s="9">
        <f>IF($D853="","",IFERROR(VLOOKUP($D853,'Plan comptable'!$H:$I,2,FALSE),"compte hors plan"))</f>
      </c>
      <c r="F853" s="9"/>
      <c r="G853" s="10"/>
      <c r="H853" s="11"/>
      <c r="I853" s="11"/>
      <c r="J853" s="10">
        <f>IF($D853="","",IF(AND($H853&lt;&gt;"",$I853&lt;&gt;""),"débit ET crédit",IF(AND($H853="",$I853=""),"montant manquant",IF(ISNA(MATCH($D853,'Plan comptable'!$H:$H,0)),"compte hors plan",IF(AND($A853&lt;&gt;"",YEAR($A853)&lt;&gt;Exercice),"hors exercice","")))))</f>
      </c>
    </row>
    <row r="854">
      <c r="A854" s="13"/>
      <c r="B854" s="10"/>
      <c r="C854" s="9"/>
      <c r="D854" s="20"/>
      <c r="E854" s="9">
        <f>IF($D854="","",IFERROR(VLOOKUP($D854,'Plan comptable'!$H:$I,2,FALSE),"compte hors plan"))</f>
      </c>
      <c r="F854" s="9"/>
      <c r="G854" s="10"/>
      <c r="H854" s="11"/>
      <c r="I854" s="11"/>
      <c r="J854" s="10">
        <f>IF($D854="","",IF(AND($H854&lt;&gt;"",$I854&lt;&gt;""),"débit ET crédit",IF(AND($H854="",$I854=""),"montant manquant",IF(ISNA(MATCH($D854,'Plan comptable'!$H:$H,0)),"compte hors plan",IF(AND($A854&lt;&gt;"",YEAR($A854)&lt;&gt;Exercice),"hors exercice","")))))</f>
      </c>
    </row>
    <row r="855">
      <c r="A855" s="13"/>
      <c r="B855" s="10"/>
      <c r="C855" s="9"/>
      <c r="D855" s="20"/>
      <c r="E855" s="9">
        <f>IF($D855="","",IFERROR(VLOOKUP($D855,'Plan comptable'!$H:$I,2,FALSE),"compte hors plan"))</f>
      </c>
      <c r="F855" s="9"/>
      <c r="G855" s="10"/>
      <c r="H855" s="11"/>
      <c r="I855" s="11"/>
      <c r="J855" s="10">
        <f>IF($D855="","",IF(AND($H855&lt;&gt;"",$I855&lt;&gt;""),"débit ET crédit",IF(AND($H855="",$I855=""),"montant manquant",IF(ISNA(MATCH($D855,'Plan comptable'!$H:$H,0)),"compte hors plan",IF(AND($A855&lt;&gt;"",YEAR($A855)&lt;&gt;Exercice),"hors exercice","")))))</f>
      </c>
    </row>
    <row r="856">
      <c r="A856" s="13"/>
      <c r="B856" s="10"/>
      <c r="C856" s="9"/>
      <c r="D856" s="20"/>
      <c r="E856" s="9">
        <f>IF($D856="","",IFERROR(VLOOKUP($D856,'Plan comptable'!$H:$I,2,FALSE),"compte hors plan"))</f>
      </c>
      <c r="F856" s="9"/>
      <c r="G856" s="10"/>
      <c r="H856" s="11"/>
      <c r="I856" s="11"/>
      <c r="J856" s="10">
        <f>IF($D856="","",IF(AND($H856&lt;&gt;"",$I856&lt;&gt;""),"débit ET crédit",IF(AND($H856="",$I856=""),"montant manquant",IF(ISNA(MATCH($D856,'Plan comptable'!$H:$H,0)),"compte hors plan",IF(AND($A856&lt;&gt;"",YEAR($A856)&lt;&gt;Exercice),"hors exercice","")))))</f>
      </c>
    </row>
    <row r="857">
      <c r="A857" s="13"/>
      <c r="B857" s="10"/>
      <c r="C857" s="9"/>
      <c r="D857" s="20"/>
      <c r="E857" s="9">
        <f>IF($D857="","",IFERROR(VLOOKUP($D857,'Plan comptable'!$H:$I,2,FALSE),"compte hors plan"))</f>
      </c>
      <c r="F857" s="9"/>
      <c r="G857" s="10"/>
      <c r="H857" s="11"/>
      <c r="I857" s="11"/>
      <c r="J857" s="10">
        <f>IF($D857="","",IF(AND($H857&lt;&gt;"",$I857&lt;&gt;""),"débit ET crédit",IF(AND($H857="",$I857=""),"montant manquant",IF(ISNA(MATCH($D857,'Plan comptable'!$H:$H,0)),"compte hors plan",IF(AND($A857&lt;&gt;"",YEAR($A857)&lt;&gt;Exercice),"hors exercice","")))))</f>
      </c>
    </row>
    <row r="858">
      <c r="A858" s="13"/>
      <c r="B858" s="10"/>
      <c r="C858" s="9"/>
      <c r="D858" s="20"/>
      <c r="E858" s="9">
        <f>IF($D858="","",IFERROR(VLOOKUP($D858,'Plan comptable'!$H:$I,2,FALSE),"compte hors plan"))</f>
      </c>
      <c r="F858" s="9"/>
      <c r="G858" s="10"/>
      <c r="H858" s="11"/>
      <c r="I858" s="11"/>
      <c r="J858" s="10">
        <f>IF($D858="","",IF(AND($H858&lt;&gt;"",$I858&lt;&gt;""),"débit ET crédit",IF(AND($H858="",$I858=""),"montant manquant",IF(ISNA(MATCH($D858,'Plan comptable'!$H:$H,0)),"compte hors plan",IF(AND($A858&lt;&gt;"",YEAR($A858)&lt;&gt;Exercice),"hors exercice","")))))</f>
      </c>
    </row>
    <row r="859">
      <c r="A859" s="13"/>
      <c r="B859" s="10"/>
      <c r="C859" s="9"/>
      <c r="D859" s="20"/>
      <c r="E859" s="9">
        <f>IF($D859="","",IFERROR(VLOOKUP($D859,'Plan comptable'!$H:$I,2,FALSE),"compte hors plan"))</f>
      </c>
      <c r="F859" s="9"/>
      <c r="G859" s="10"/>
      <c r="H859" s="11"/>
      <c r="I859" s="11"/>
      <c r="J859" s="10">
        <f>IF($D859="","",IF(AND($H859&lt;&gt;"",$I859&lt;&gt;""),"débit ET crédit",IF(AND($H859="",$I859=""),"montant manquant",IF(ISNA(MATCH($D859,'Plan comptable'!$H:$H,0)),"compte hors plan",IF(AND($A859&lt;&gt;"",YEAR($A859)&lt;&gt;Exercice),"hors exercice","")))))</f>
      </c>
    </row>
    <row r="860">
      <c r="A860" s="13"/>
      <c r="B860" s="10"/>
      <c r="C860" s="9"/>
      <c r="D860" s="20"/>
      <c r="E860" s="9">
        <f>IF($D860="","",IFERROR(VLOOKUP($D860,'Plan comptable'!$H:$I,2,FALSE),"compte hors plan"))</f>
      </c>
      <c r="F860" s="9"/>
      <c r="G860" s="10"/>
      <c r="H860" s="11"/>
      <c r="I860" s="11"/>
      <c r="J860" s="10">
        <f>IF($D860="","",IF(AND($H860&lt;&gt;"",$I860&lt;&gt;""),"débit ET crédit",IF(AND($H860="",$I860=""),"montant manquant",IF(ISNA(MATCH($D860,'Plan comptable'!$H:$H,0)),"compte hors plan",IF(AND($A860&lt;&gt;"",YEAR($A860)&lt;&gt;Exercice),"hors exercice","")))))</f>
      </c>
    </row>
    <row r="861">
      <c r="A861" s="13"/>
      <c r="B861" s="10"/>
      <c r="C861" s="9"/>
      <c r="D861" s="20"/>
      <c r="E861" s="9">
        <f>IF($D861="","",IFERROR(VLOOKUP($D861,'Plan comptable'!$H:$I,2,FALSE),"compte hors plan"))</f>
      </c>
      <c r="F861" s="9"/>
      <c r="G861" s="10"/>
      <c r="H861" s="11"/>
      <c r="I861" s="11"/>
      <c r="J861" s="10">
        <f>IF($D861="","",IF(AND($H861&lt;&gt;"",$I861&lt;&gt;""),"débit ET crédit",IF(AND($H861="",$I861=""),"montant manquant",IF(ISNA(MATCH($D861,'Plan comptable'!$H:$H,0)),"compte hors plan",IF(AND($A861&lt;&gt;"",YEAR($A861)&lt;&gt;Exercice),"hors exercice","")))))</f>
      </c>
    </row>
    <row r="862">
      <c r="A862" s="13"/>
      <c r="B862" s="10"/>
      <c r="C862" s="9"/>
      <c r="D862" s="20"/>
      <c r="E862" s="9">
        <f>IF($D862="","",IFERROR(VLOOKUP($D862,'Plan comptable'!$H:$I,2,FALSE),"compte hors plan"))</f>
      </c>
      <c r="F862" s="9"/>
      <c r="G862" s="10"/>
      <c r="H862" s="11"/>
      <c r="I862" s="11"/>
      <c r="J862" s="10">
        <f>IF($D862="","",IF(AND($H862&lt;&gt;"",$I862&lt;&gt;""),"débit ET crédit",IF(AND($H862="",$I862=""),"montant manquant",IF(ISNA(MATCH($D862,'Plan comptable'!$H:$H,0)),"compte hors plan",IF(AND($A862&lt;&gt;"",YEAR($A862)&lt;&gt;Exercice),"hors exercice","")))))</f>
      </c>
    </row>
    <row r="863">
      <c r="A863" s="13"/>
      <c r="B863" s="10"/>
      <c r="C863" s="9"/>
      <c r="D863" s="20"/>
      <c r="E863" s="9">
        <f>IF($D863="","",IFERROR(VLOOKUP($D863,'Plan comptable'!$H:$I,2,FALSE),"compte hors plan"))</f>
      </c>
      <c r="F863" s="9"/>
      <c r="G863" s="10"/>
      <c r="H863" s="11"/>
      <c r="I863" s="11"/>
      <c r="J863" s="10">
        <f>IF($D863="","",IF(AND($H863&lt;&gt;"",$I863&lt;&gt;""),"débit ET crédit",IF(AND($H863="",$I863=""),"montant manquant",IF(ISNA(MATCH($D863,'Plan comptable'!$H:$H,0)),"compte hors plan",IF(AND($A863&lt;&gt;"",YEAR($A863)&lt;&gt;Exercice),"hors exercice","")))))</f>
      </c>
    </row>
    <row r="864">
      <c r="A864" s="13"/>
      <c r="B864" s="10"/>
      <c r="C864" s="9"/>
      <c r="D864" s="20"/>
      <c r="E864" s="9">
        <f>IF($D864="","",IFERROR(VLOOKUP($D864,'Plan comptable'!$H:$I,2,FALSE),"compte hors plan"))</f>
      </c>
      <c r="F864" s="9"/>
      <c r="G864" s="10"/>
      <c r="H864" s="11"/>
      <c r="I864" s="11"/>
      <c r="J864" s="10">
        <f>IF($D864="","",IF(AND($H864&lt;&gt;"",$I864&lt;&gt;""),"débit ET crédit",IF(AND($H864="",$I864=""),"montant manquant",IF(ISNA(MATCH($D864,'Plan comptable'!$H:$H,0)),"compte hors plan",IF(AND($A864&lt;&gt;"",YEAR($A864)&lt;&gt;Exercice),"hors exercice","")))))</f>
      </c>
    </row>
    <row r="865">
      <c r="A865" s="13"/>
      <c r="B865" s="10"/>
      <c r="C865" s="9"/>
      <c r="D865" s="20"/>
      <c r="E865" s="9">
        <f>IF($D865="","",IFERROR(VLOOKUP($D865,'Plan comptable'!$H:$I,2,FALSE),"compte hors plan"))</f>
      </c>
      <c r="F865" s="9"/>
      <c r="G865" s="10"/>
      <c r="H865" s="11"/>
      <c r="I865" s="11"/>
      <c r="J865" s="10">
        <f>IF($D865="","",IF(AND($H865&lt;&gt;"",$I865&lt;&gt;""),"débit ET crédit",IF(AND($H865="",$I865=""),"montant manquant",IF(ISNA(MATCH($D865,'Plan comptable'!$H:$H,0)),"compte hors plan",IF(AND($A865&lt;&gt;"",YEAR($A865)&lt;&gt;Exercice),"hors exercice","")))))</f>
      </c>
    </row>
    <row r="866">
      <c r="A866" s="13"/>
      <c r="B866" s="10"/>
      <c r="C866" s="9"/>
      <c r="D866" s="20"/>
      <c r="E866" s="9">
        <f>IF($D866="","",IFERROR(VLOOKUP($D866,'Plan comptable'!$H:$I,2,FALSE),"compte hors plan"))</f>
      </c>
      <c r="F866" s="9"/>
      <c r="G866" s="10"/>
      <c r="H866" s="11"/>
      <c r="I866" s="11"/>
      <c r="J866" s="10">
        <f>IF($D866="","",IF(AND($H866&lt;&gt;"",$I866&lt;&gt;""),"débit ET crédit",IF(AND($H866="",$I866=""),"montant manquant",IF(ISNA(MATCH($D866,'Plan comptable'!$H:$H,0)),"compte hors plan",IF(AND($A866&lt;&gt;"",YEAR($A866)&lt;&gt;Exercice),"hors exercice","")))))</f>
      </c>
    </row>
    <row r="867">
      <c r="A867" s="13"/>
      <c r="B867" s="10"/>
      <c r="C867" s="9"/>
      <c r="D867" s="20"/>
      <c r="E867" s="9">
        <f>IF($D867="","",IFERROR(VLOOKUP($D867,'Plan comptable'!$H:$I,2,FALSE),"compte hors plan"))</f>
      </c>
      <c r="F867" s="9"/>
      <c r="G867" s="10"/>
      <c r="H867" s="11"/>
      <c r="I867" s="11"/>
      <c r="J867" s="10">
        <f>IF($D867="","",IF(AND($H867&lt;&gt;"",$I867&lt;&gt;""),"débit ET crédit",IF(AND($H867="",$I867=""),"montant manquant",IF(ISNA(MATCH($D867,'Plan comptable'!$H:$H,0)),"compte hors plan",IF(AND($A867&lt;&gt;"",YEAR($A867)&lt;&gt;Exercice),"hors exercice","")))))</f>
      </c>
    </row>
    <row r="868">
      <c r="A868" s="13"/>
      <c r="B868" s="10"/>
      <c r="C868" s="9"/>
      <c r="D868" s="20"/>
      <c r="E868" s="9">
        <f>IF($D868="","",IFERROR(VLOOKUP($D868,'Plan comptable'!$H:$I,2,FALSE),"compte hors plan"))</f>
      </c>
      <c r="F868" s="9"/>
      <c r="G868" s="10"/>
      <c r="H868" s="11"/>
      <c r="I868" s="11"/>
      <c r="J868" s="10">
        <f>IF($D868="","",IF(AND($H868&lt;&gt;"",$I868&lt;&gt;""),"débit ET crédit",IF(AND($H868="",$I868=""),"montant manquant",IF(ISNA(MATCH($D868,'Plan comptable'!$H:$H,0)),"compte hors plan",IF(AND($A868&lt;&gt;"",YEAR($A868)&lt;&gt;Exercice),"hors exercice","")))))</f>
      </c>
    </row>
    <row r="869">
      <c r="A869" s="13"/>
      <c r="B869" s="10"/>
      <c r="C869" s="9"/>
      <c r="D869" s="20"/>
      <c r="E869" s="9">
        <f>IF($D869="","",IFERROR(VLOOKUP($D869,'Plan comptable'!$H:$I,2,FALSE),"compte hors plan"))</f>
      </c>
      <c r="F869" s="9"/>
      <c r="G869" s="10"/>
      <c r="H869" s="11"/>
      <c r="I869" s="11"/>
      <c r="J869" s="10">
        <f>IF($D869="","",IF(AND($H869&lt;&gt;"",$I869&lt;&gt;""),"débit ET crédit",IF(AND($H869="",$I869=""),"montant manquant",IF(ISNA(MATCH($D869,'Plan comptable'!$H:$H,0)),"compte hors plan",IF(AND($A869&lt;&gt;"",YEAR($A869)&lt;&gt;Exercice),"hors exercice","")))))</f>
      </c>
    </row>
    <row r="870">
      <c r="A870" s="13"/>
      <c r="B870" s="10"/>
      <c r="C870" s="9"/>
      <c r="D870" s="20"/>
      <c r="E870" s="9">
        <f>IF($D870="","",IFERROR(VLOOKUP($D870,'Plan comptable'!$H:$I,2,FALSE),"compte hors plan"))</f>
      </c>
      <c r="F870" s="9"/>
      <c r="G870" s="10"/>
      <c r="H870" s="11"/>
      <c r="I870" s="11"/>
      <c r="J870" s="10">
        <f>IF($D870="","",IF(AND($H870&lt;&gt;"",$I870&lt;&gt;""),"débit ET crédit",IF(AND($H870="",$I870=""),"montant manquant",IF(ISNA(MATCH($D870,'Plan comptable'!$H:$H,0)),"compte hors plan",IF(AND($A870&lt;&gt;"",YEAR($A870)&lt;&gt;Exercice),"hors exercice","")))))</f>
      </c>
    </row>
    <row r="871">
      <c r="A871" s="13"/>
      <c r="B871" s="10"/>
      <c r="C871" s="9"/>
      <c r="D871" s="20"/>
      <c r="E871" s="9">
        <f>IF($D871="","",IFERROR(VLOOKUP($D871,'Plan comptable'!$H:$I,2,FALSE),"compte hors plan"))</f>
      </c>
      <c r="F871" s="9"/>
      <c r="G871" s="10"/>
      <c r="H871" s="11"/>
      <c r="I871" s="11"/>
      <c r="J871" s="10">
        <f>IF($D871="","",IF(AND($H871&lt;&gt;"",$I871&lt;&gt;""),"débit ET crédit",IF(AND($H871="",$I871=""),"montant manquant",IF(ISNA(MATCH($D871,'Plan comptable'!$H:$H,0)),"compte hors plan",IF(AND($A871&lt;&gt;"",YEAR($A871)&lt;&gt;Exercice),"hors exercice","")))))</f>
      </c>
    </row>
    <row r="872">
      <c r="A872" s="13"/>
      <c r="B872" s="10"/>
      <c r="C872" s="9"/>
      <c r="D872" s="20"/>
      <c r="E872" s="9">
        <f>IF($D872="","",IFERROR(VLOOKUP($D872,'Plan comptable'!$H:$I,2,FALSE),"compte hors plan"))</f>
      </c>
      <c r="F872" s="9"/>
      <c r="G872" s="10"/>
      <c r="H872" s="11"/>
      <c r="I872" s="11"/>
      <c r="J872" s="10">
        <f>IF($D872="","",IF(AND($H872&lt;&gt;"",$I872&lt;&gt;""),"débit ET crédit",IF(AND($H872="",$I872=""),"montant manquant",IF(ISNA(MATCH($D872,'Plan comptable'!$H:$H,0)),"compte hors plan",IF(AND($A872&lt;&gt;"",YEAR($A872)&lt;&gt;Exercice),"hors exercice","")))))</f>
      </c>
    </row>
    <row r="873">
      <c r="A873" s="13"/>
      <c r="B873" s="10"/>
      <c r="C873" s="9"/>
      <c r="D873" s="20"/>
      <c r="E873" s="9">
        <f>IF($D873="","",IFERROR(VLOOKUP($D873,'Plan comptable'!$H:$I,2,FALSE),"compte hors plan"))</f>
      </c>
      <c r="F873" s="9"/>
      <c r="G873" s="10"/>
      <c r="H873" s="11"/>
      <c r="I873" s="11"/>
      <c r="J873" s="10">
        <f>IF($D873="","",IF(AND($H873&lt;&gt;"",$I873&lt;&gt;""),"débit ET crédit",IF(AND($H873="",$I873=""),"montant manquant",IF(ISNA(MATCH($D873,'Plan comptable'!$H:$H,0)),"compte hors plan",IF(AND($A873&lt;&gt;"",YEAR($A873)&lt;&gt;Exercice),"hors exercice","")))))</f>
      </c>
    </row>
    <row r="874">
      <c r="A874" s="13"/>
      <c r="B874" s="10"/>
      <c r="C874" s="9"/>
      <c r="D874" s="20"/>
      <c r="E874" s="9">
        <f>IF($D874="","",IFERROR(VLOOKUP($D874,'Plan comptable'!$H:$I,2,FALSE),"compte hors plan"))</f>
      </c>
      <c r="F874" s="9"/>
      <c r="G874" s="10"/>
      <c r="H874" s="11"/>
      <c r="I874" s="11"/>
      <c r="J874" s="10">
        <f>IF($D874="","",IF(AND($H874&lt;&gt;"",$I874&lt;&gt;""),"débit ET crédit",IF(AND($H874="",$I874=""),"montant manquant",IF(ISNA(MATCH($D874,'Plan comptable'!$H:$H,0)),"compte hors plan",IF(AND($A874&lt;&gt;"",YEAR($A874)&lt;&gt;Exercice),"hors exercice","")))))</f>
      </c>
    </row>
    <row r="875">
      <c r="A875" s="13"/>
      <c r="B875" s="10"/>
      <c r="C875" s="9"/>
      <c r="D875" s="20"/>
      <c r="E875" s="9">
        <f>IF($D875="","",IFERROR(VLOOKUP($D875,'Plan comptable'!$H:$I,2,FALSE),"compte hors plan"))</f>
      </c>
      <c r="F875" s="9"/>
      <c r="G875" s="10"/>
      <c r="H875" s="11"/>
      <c r="I875" s="11"/>
      <c r="J875" s="10">
        <f>IF($D875="","",IF(AND($H875&lt;&gt;"",$I875&lt;&gt;""),"débit ET crédit",IF(AND($H875="",$I875=""),"montant manquant",IF(ISNA(MATCH($D875,'Plan comptable'!$H:$H,0)),"compte hors plan",IF(AND($A875&lt;&gt;"",YEAR($A875)&lt;&gt;Exercice),"hors exercice","")))))</f>
      </c>
    </row>
    <row r="876">
      <c r="A876" s="13"/>
      <c r="B876" s="10"/>
      <c r="C876" s="9"/>
      <c r="D876" s="20"/>
      <c r="E876" s="9">
        <f>IF($D876="","",IFERROR(VLOOKUP($D876,'Plan comptable'!$H:$I,2,FALSE),"compte hors plan"))</f>
      </c>
      <c r="F876" s="9"/>
      <c r="G876" s="10"/>
      <c r="H876" s="11"/>
      <c r="I876" s="11"/>
      <c r="J876" s="10">
        <f>IF($D876="","",IF(AND($H876&lt;&gt;"",$I876&lt;&gt;""),"débit ET crédit",IF(AND($H876="",$I876=""),"montant manquant",IF(ISNA(MATCH($D876,'Plan comptable'!$H:$H,0)),"compte hors plan",IF(AND($A876&lt;&gt;"",YEAR($A876)&lt;&gt;Exercice),"hors exercice","")))))</f>
      </c>
    </row>
    <row r="877">
      <c r="A877" s="13"/>
      <c r="B877" s="10"/>
      <c r="C877" s="9"/>
      <c r="D877" s="20"/>
      <c r="E877" s="9">
        <f>IF($D877="","",IFERROR(VLOOKUP($D877,'Plan comptable'!$H:$I,2,FALSE),"compte hors plan"))</f>
      </c>
      <c r="F877" s="9"/>
      <c r="G877" s="10"/>
      <c r="H877" s="11"/>
      <c r="I877" s="11"/>
      <c r="J877" s="10">
        <f>IF($D877="","",IF(AND($H877&lt;&gt;"",$I877&lt;&gt;""),"débit ET crédit",IF(AND($H877="",$I877=""),"montant manquant",IF(ISNA(MATCH($D877,'Plan comptable'!$H:$H,0)),"compte hors plan",IF(AND($A877&lt;&gt;"",YEAR($A877)&lt;&gt;Exercice),"hors exercice","")))))</f>
      </c>
    </row>
    <row r="878">
      <c r="A878" s="13"/>
      <c r="B878" s="10"/>
      <c r="C878" s="9"/>
      <c r="D878" s="20"/>
      <c r="E878" s="9">
        <f>IF($D878="","",IFERROR(VLOOKUP($D878,'Plan comptable'!$H:$I,2,FALSE),"compte hors plan"))</f>
      </c>
      <c r="F878" s="9"/>
      <c r="G878" s="10"/>
      <c r="H878" s="11"/>
      <c r="I878" s="11"/>
      <c r="J878" s="10">
        <f>IF($D878="","",IF(AND($H878&lt;&gt;"",$I878&lt;&gt;""),"débit ET crédit",IF(AND($H878="",$I878=""),"montant manquant",IF(ISNA(MATCH($D878,'Plan comptable'!$H:$H,0)),"compte hors plan",IF(AND($A878&lt;&gt;"",YEAR($A878)&lt;&gt;Exercice),"hors exercice","")))))</f>
      </c>
    </row>
    <row r="879">
      <c r="A879" s="13"/>
      <c r="B879" s="10"/>
      <c r="C879" s="9"/>
      <c r="D879" s="20"/>
      <c r="E879" s="9">
        <f>IF($D879="","",IFERROR(VLOOKUP($D879,'Plan comptable'!$H:$I,2,FALSE),"compte hors plan"))</f>
      </c>
      <c r="F879" s="9"/>
      <c r="G879" s="10"/>
      <c r="H879" s="11"/>
      <c r="I879" s="11"/>
      <c r="J879" s="10">
        <f>IF($D879="","",IF(AND($H879&lt;&gt;"",$I879&lt;&gt;""),"débit ET crédit",IF(AND($H879="",$I879=""),"montant manquant",IF(ISNA(MATCH($D879,'Plan comptable'!$H:$H,0)),"compte hors plan",IF(AND($A879&lt;&gt;"",YEAR($A879)&lt;&gt;Exercice),"hors exercice","")))))</f>
      </c>
    </row>
    <row r="880">
      <c r="A880" s="13"/>
      <c r="B880" s="10"/>
      <c r="C880" s="9"/>
      <c r="D880" s="20"/>
      <c r="E880" s="9">
        <f>IF($D880="","",IFERROR(VLOOKUP($D880,'Plan comptable'!$H:$I,2,FALSE),"compte hors plan"))</f>
      </c>
      <c r="F880" s="9"/>
      <c r="G880" s="10"/>
      <c r="H880" s="11"/>
      <c r="I880" s="11"/>
      <c r="J880" s="10">
        <f>IF($D880="","",IF(AND($H880&lt;&gt;"",$I880&lt;&gt;""),"débit ET crédit",IF(AND($H880="",$I880=""),"montant manquant",IF(ISNA(MATCH($D880,'Plan comptable'!$H:$H,0)),"compte hors plan",IF(AND($A880&lt;&gt;"",YEAR($A880)&lt;&gt;Exercice),"hors exercice","")))))</f>
      </c>
    </row>
    <row r="881">
      <c r="A881" s="13"/>
      <c r="B881" s="10"/>
      <c r="C881" s="9"/>
      <c r="D881" s="20"/>
      <c r="E881" s="9">
        <f>IF($D881="","",IFERROR(VLOOKUP($D881,'Plan comptable'!$H:$I,2,FALSE),"compte hors plan"))</f>
      </c>
      <c r="F881" s="9"/>
      <c r="G881" s="10"/>
      <c r="H881" s="11"/>
      <c r="I881" s="11"/>
      <c r="J881" s="10">
        <f>IF($D881="","",IF(AND($H881&lt;&gt;"",$I881&lt;&gt;""),"débit ET crédit",IF(AND($H881="",$I881=""),"montant manquant",IF(ISNA(MATCH($D881,'Plan comptable'!$H:$H,0)),"compte hors plan",IF(AND($A881&lt;&gt;"",YEAR($A881)&lt;&gt;Exercice),"hors exercice","")))))</f>
      </c>
    </row>
    <row r="882">
      <c r="A882" s="13"/>
      <c r="B882" s="10"/>
      <c r="C882" s="9"/>
      <c r="D882" s="20"/>
      <c r="E882" s="9">
        <f>IF($D882="","",IFERROR(VLOOKUP($D882,'Plan comptable'!$H:$I,2,FALSE),"compte hors plan"))</f>
      </c>
      <c r="F882" s="9"/>
      <c r="G882" s="10"/>
      <c r="H882" s="11"/>
      <c r="I882" s="11"/>
      <c r="J882" s="10">
        <f>IF($D882="","",IF(AND($H882&lt;&gt;"",$I882&lt;&gt;""),"débit ET crédit",IF(AND($H882="",$I882=""),"montant manquant",IF(ISNA(MATCH($D882,'Plan comptable'!$H:$H,0)),"compte hors plan",IF(AND($A882&lt;&gt;"",YEAR($A882)&lt;&gt;Exercice),"hors exercice","")))))</f>
      </c>
    </row>
    <row r="883">
      <c r="A883" s="13"/>
      <c r="B883" s="10"/>
      <c r="C883" s="9"/>
      <c r="D883" s="20"/>
      <c r="E883" s="9">
        <f>IF($D883="","",IFERROR(VLOOKUP($D883,'Plan comptable'!$H:$I,2,FALSE),"compte hors plan"))</f>
      </c>
      <c r="F883" s="9"/>
      <c r="G883" s="10"/>
      <c r="H883" s="11"/>
      <c r="I883" s="11"/>
      <c r="J883" s="10">
        <f>IF($D883="","",IF(AND($H883&lt;&gt;"",$I883&lt;&gt;""),"débit ET crédit",IF(AND($H883="",$I883=""),"montant manquant",IF(ISNA(MATCH($D883,'Plan comptable'!$H:$H,0)),"compte hors plan",IF(AND($A883&lt;&gt;"",YEAR($A883)&lt;&gt;Exercice),"hors exercice","")))))</f>
      </c>
    </row>
    <row r="884">
      <c r="A884" s="13"/>
      <c r="B884" s="10"/>
      <c r="C884" s="9"/>
      <c r="D884" s="20"/>
      <c r="E884" s="9">
        <f>IF($D884="","",IFERROR(VLOOKUP($D884,'Plan comptable'!$H:$I,2,FALSE),"compte hors plan"))</f>
      </c>
      <c r="F884" s="9"/>
      <c r="G884" s="10"/>
      <c r="H884" s="11"/>
      <c r="I884" s="11"/>
      <c r="J884" s="10">
        <f>IF($D884="","",IF(AND($H884&lt;&gt;"",$I884&lt;&gt;""),"débit ET crédit",IF(AND($H884="",$I884=""),"montant manquant",IF(ISNA(MATCH($D884,'Plan comptable'!$H:$H,0)),"compte hors plan",IF(AND($A884&lt;&gt;"",YEAR($A884)&lt;&gt;Exercice),"hors exercice","")))))</f>
      </c>
    </row>
    <row r="885">
      <c r="A885" s="13"/>
      <c r="B885" s="10"/>
      <c r="C885" s="9"/>
      <c r="D885" s="20"/>
      <c r="E885" s="9">
        <f>IF($D885="","",IFERROR(VLOOKUP($D885,'Plan comptable'!$H:$I,2,FALSE),"compte hors plan"))</f>
      </c>
      <c r="F885" s="9"/>
      <c r="G885" s="10"/>
      <c r="H885" s="11"/>
      <c r="I885" s="11"/>
      <c r="J885" s="10">
        <f>IF($D885="","",IF(AND($H885&lt;&gt;"",$I885&lt;&gt;""),"débit ET crédit",IF(AND($H885="",$I885=""),"montant manquant",IF(ISNA(MATCH($D885,'Plan comptable'!$H:$H,0)),"compte hors plan",IF(AND($A885&lt;&gt;"",YEAR($A885)&lt;&gt;Exercice),"hors exercice","")))))</f>
      </c>
    </row>
    <row r="886">
      <c r="A886" s="13"/>
      <c r="B886" s="10"/>
      <c r="C886" s="9"/>
      <c r="D886" s="20"/>
      <c r="E886" s="9">
        <f>IF($D886="","",IFERROR(VLOOKUP($D886,'Plan comptable'!$H:$I,2,FALSE),"compte hors plan"))</f>
      </c>
      <c r="F886" s="9"/>
      <c r="G886" s="10"/>
      <c r="H886" s="11"/>
      <c r="I886" s="11"/>
      <c r="J886" s="10">
        <f>IF($D886="","",IF(AND($H886&lt;&gt;"",$I886&lt;&gt;""),"débit ET crédit",IF(AND($H886="",$I886=""),"montant manquant",IF(ISNA(MATCH($D886,'Plan comptable'!$H:$H,0)),"compte hors plan",IF(AND($A886&lt;&gt;"",YEAR($A886)&lt;&gt;Exercice),"hors exercice","")))))</f>
      </c>
    </row>
    <row r="887">
      <c r="A887" s="13"/>
      <c r="B887" s="10"/>
      <c r="C887" s="9"/>
      <c r="D887" s="20"/>
      <c r="E887" s="9">
        <f>IF($D887="","",IFERROR(VLOOKUP($D887,'Plan comptable'!$H:$I,2,FALSE),"compte hors plan"))</f>
      </c>
      <c r="F887" s="9"/>
      <c r="G887" s="10"/>
      <c r="H887" s="11"/>
      <c r="I887" s="11"/>
      <c r="J887" s="10">
        <f>IF($D887="","",IF(AND($H887&lt;&gt;"",$I887&lt;&gt;""),"débit ET crédit",IF(AND($H887="",$I887=""),"montant manquant",IF(ISNA(MATCH($D887,'Plan comptable'!$H:$H,0)),"compte hors plan",IF(AND($A887&lt;&gt;"",YEAR($A887)&lt;&gt;Exercice),"hors exercice","")))))</f>
      </c>
    </row>
    <row r="888">
      <c r="A888" s="13"/>
      <c r="B888" s="10"/>
      <c r="C888" s="9"/>
      <c r="D888" s="20"/>
      <c r="E888" s="9">
        <f>IF($D888="","",IFERROR(VLOOKUP($D888,'Plan comptable'!$H:$I,2,FALSE),"compte hors plan"))</f>
      </c>
      <c r="F888" s="9"/>
      <c r="G888" s="10"/>
      <c r="H888" s="11"/>
      <c r="I888" s="11"/>
      <c r="J888" s="10">
        <f>IF($D888="","",IF(AND($H888&lt;&gt;"",$I888&lt;&gt;""),"débit ET crédit",IF(AND($H888="",$I888=""),"montant manquant",IF(ISNA(MATCH($D888,'Plan comptable'!$H:$H,0)),"compte hors plan",IF(AND($A888&lt;&gt;"",YEAR($A888)&lt;&gt;Exercice),"hors exercice","")))))</f>
      </c>
    </row>
    <row r="889">
      <c r="A889" s="13"/>
      <c r="B889" s="10"/>
      <c r="C889" s="9"/>
      <c r="D889" s="20"/>
      <c r="E889" s="9">
        <f>IF($D889="","",IFERROR(VLOOKUP($D889,'Plan comptable'!$H:$I,2,FALSE),"compte hors plan"))</f>
      </c>
      <c r="F889" s="9"/>
      <c r="G889" s="10"/>
      <c r="H889" s="11"/>
      <c r="I889" s="11"/>
      <c r="J889" s="10">
        <f>IF($D889="","",IF(AND($H889&lt;&gt;"",$I889&lt;&gt;""),"débit ET crédit",IF(AND($H889="",$I889=""),"montant manquant",IF(ISNA(MATCH($D889,'Plan comptable'!$H:$H,0)),"compte hors plan",IF(AND($A889&lt;&gt;"",YEAR($A889)&lt;&gt;Exercice),"hors exercice","")))))</f>
      </c>
    </row>
    <row r="890">
      <c r="A890" s="13"/>
      <c r="B890" s="10"/>
      <c r="C890" s="9"/>
      <c r="D890" s="20"/>
      <c r="E890" s="9">
        <f>IF($D890="","",IFERROR(VLOOKUP($D890,'Plan comptable'!$H:$I,2,FALSE),"compte hors plan"))</f>
      </c>
      <c r="F890" s="9"/>
      <c r="G890" s="10"/>
      <c r="H890" s="11"/>
      <c r="I890" s="11"/>
      <c r="J890" s="10">
        <f>IF($D890="","",IF(AND($H890&lt;&gt;"",$I890&lt;&gt;""),"débit ET crédit",IF(AND($H890="",$I890=""),"montant manquant",IF(ISNA(MATCH($D890,'Plan comptable'!$H:$H,0)),"compte hors plan",IF(AND($A890&lt;&gt;"",YEAR($A890)&lt;&gt;Exercice),"hors exercice","")))))</f>
      </c>
    </row>
    <row r="891">
      <c r="A891" s="13"/>
      <c r="B891" s="10"/>
      <c r="C891" s="9"/>
      <c r="D891" s="20"/>
      <c r="E891" s="9">
        <f>IF($D891="","",IFERROR(VLOOKUP($D891,'Plan comptable'!$H:$I,2,FALSE),"compte hors plan"))</f>
      </c>
      <c r="F891" s="9"/>
      <c r="G891" s="10"/>
      <c r="H891" s="11"/>
      <c r="I891" s="11"/>
      <c r="J891" s="10">
        <f>IF($D891="","",IF(AND($H891&lt;&gt;"",$I891&lt;&gt;""),"débit ET crédit",IF(AND($H891="",$I891=""),"montant manquant",IF(ISNA(MATCH($D891,'Plan comptable'!$H:$H,0)),"compte hors plan",IF(AND($A891&lt;&gt;"",YEAR($A891)&lt;&gt;Exercice),"hors exercice","")))))</f>
      </c>
    </row>
    <row r="892">
      <c r="A892" s="13"/>
      <c r="B892" s="10"/>
      <c r="C892" s="9"/>
      <c r="D892" s="20"/>
      <c r="E892" s="9">
        <f>IF($D892="","",IFERROR(VLOOKUP($D892,'Plan comptable'!$H:$I,2,FALSE),"compte hors plan"))</f>
      </c>
      <c r="F892" s="9"/>
      <c r="G892" s="10"/>
      <c r="H892" s="11"/>
      <c r="I892" s="11"/>
      <c r="J892" s="10">
        <f>IF($D892="","",IF(AND($H892&lt;&gt;"",$I892&lt;&gt;""),"débit ET crédit",IF(AND($H892="",$I892=""),"montant manquant",IF(ISNA(MATCH($D892,'Plan comptable'!$H:$H,0)),"compte hors plan",IF(AND($A892&lt;&gt;"",YEAR($A892)&lt;&gt;Exercice),"hors exercice","")))))</f>
      </c>
    </row>
    <row r="893">
      <c r="A893" s="13"/>
      <c r="B893" s="10"/>
      <c r="C893" s="9"/>
      <c r="D893" s="20"/>
      <c r="E893" s="9">
        <f>IF($D893="","",IFERROR(VLOOKUP($D893,'Plan comptable'!$H:$I,2,FALSE),"compte hors plan"))</f>
      </c>
      <c r="F893" s="9"/>
      <c r="G893" s="10"/>
      <c r="H893" s="11"/>
      <c r="I893" s="11"/>
      <c r="J893" s="10">
        <f>IF($D893="","",IF(AND($H893&lt;&gt;"",$I893&lt;&gt;""),"débit ET crédit",IF(AND($H893="",$I893=""),"montant manquant",IF(ISNA(MATCH($D893,'Plan comptable'!$H:$H,0)),"compte hors plan",IF(AND($A893&lt;&gt;"",YEAR($A893)&lt;&gt;Exercice),"hors exercice","")))))</f>
      </c>
    </row>
    <row r="894">
      <c r="A894" s="13"/>
      <c r="B894" s="10"/>
      <c r="C894" s="9"/>
      <c r="D894" s="20"/>
      <c r="E894" s="9">
        <f>IF($D894="","",IFERROR(VLOOKUP($D894,'Plan comptable'!$H:$I,2,FALSE),"compte hors plan"))</f>
      </c>
      <c r="F894" s="9"/>
      <c r="G894" s="10"/>
      <c r="H894" s="11"/>
      <c r="I894" s="11"/>
      <c r="J894" s="10">
        <f>IF($D894="","",IF(AND($H894&lt;&gt;"",$I894&lt;&gt;""),"débit ET crédit",IF(AND($H894="",$I894=""),"montant manquant",IF(ISNA(MATCH($D894,'Plan comptable'!$H:$H,0)),"compte hors plan",IF(AND($A894&lt;&gt;"",YEAR($A894)&lt;&gt;Exercice),"hors exercice","")))))</f>
      </c>
    </row>
    <row r="895">
      <c r="A895" s="13"/>
      <c r="B895" s="10"/>
      <c r="C895" s="9"/>
      <c r="D895" s="20"/>
      <c r="E895" s="9">
        <f>IF($D895="","",IFERROR(VLOOKUP($D895,'Plan comptable'!$H:$I,2,FALSE),"compte hors plan"))</f>
      </c>
      <c r="F895" s="9"/>
      <c r="G895" s="10"/>
      <c r="H895" s="11"/>
      <c r="I895" s="11"/>
      <c r="J895" s="10">
        <f>IF($D895="","",IF(AND($H895&lt;&gt;"",$I895&lt;&gt;""),"débit ET crédit",IF(AND($H895="",$I895=""),"montant manquant",IF(ISNA(MATCH($D895,'Plan comptable'!$H:$H,0)),"compte hors plan",IF(AND($A895&lt;&gt;"",YEAR($A895)&lt;&gt;Exercice),"hors exercice","")))))</f>
      </c>
    </row>
    <row r="896">
      <c r="A896" s="13"/>
      <c r="B896" s="10"/>
      <c r="C896" s="9"/>
      <c r="D896" s="20"/>
      <c r="E896" s="9">
        <f>IF($D896="","",IFERROR(VLOOKUP($D896,'Plan comptable'!$H:$I,2,FALSE),"compte hors plan"))</f>
      </c>
      <c r="F896" s="9"/>
      <c r="G896" s="10"/>
      <c r="H896" s="11"/>
      <c r="I896" s="11"/>
      <c r="J896" s="10">
        <f>IF($D896="","",IF(AND($H896&lt;&gt;"",$I896&lt;&gt;""),"débit ET crédit",IF(AND($H896="",$I896=""),"montant manquant",IF(ISNA(MATCH($D896,'Plan comptable'!$H:$H,0)),"compte hors plan",IF(AND($A896&lt;&gt;"",YEAR($A896)&lt;&gt;Exercice),"hors exercice","")))))</f>
      </c>
    </row>
    <row r="897">
      <c r="A897" s="13"/>
      <c r="B897" s="10"/>
      <c r="C897" s="9"/>
      <c r="D897" s="20"/>
      <c r="E897" s="9">
        <f>IF($D897="","",IFERROR(VLOOKUP($D897,'Plan comptable'!$H:$I,2,FALSE),"compte hors plan"))</f>
      </c>
      <c r="F897" s="9"/>
      <c r="G897" s="10"/>
      <c r="H897" s="11"/>
      <c r="I897" s="11"/>
      <c r="J897" s="10">
        <f>IF($D897="","",IF(AND($H897&lt;&gt;"",$I897&lt;&gt;""),"débit ET crédit",IF(AND($H897="",$I897=""),"montant manquant",IF(ISNA(MATCH($D897,'Plan comptable'!$H:$H,0)),"compte hors plan",IF(AND($A897&lt;&gt;"",YEAR($A897)&lt;&gt;Exercice),"hors exercice","")))))</f>
      </c>
    </row>
    <row r="898">
      <c r="A898" s="13"/>
      <c r="B898" s="10"/>
      <c r="C898" s="9"/>
      <c r="D898" s="20"/>
      <c r="E898" s="9">
        <f>IF($D898="","",IFERROR(VLOOKUP($D898,'Plan comptable'!$H:$I,2,FALSE),"compte hors plan"))</f>
      </c>
      <c r="F898" s="9"/>
      <c r="G898" s="10"/>
      <c r="H898" s="11"/>
      <c r="I898" s="11"/>
      <c r="J898" s="10">
        <f>IF($D898="","",IF(AND($H898&lt;&gt;"",$I898&lt;&gt;""),"débit ET crédit",IF(AND($H898="",$I898=""),"montant manquant",IF(ISNA(MATCH($D898,'Plan comptable'!$H:$H,0)),"compte hors plan",IF(AND($A898&lt;&gt;"",YEAR($A898)&lt;&gt;Exercice),"hors exercice","")))))</f>
      </c>
    </row>
    <row r="899">
      <c r="A899" s="13"/>
      <c r="B899" s="10"/>
      <c r="C899" s="9"/>
      <c r="D899" s="20"/>
      <c r="E899" s="9">
        <f>IF($D899="","",IFERROR(VLOOKUP($D899,'Plan comptable'!$H:$I,2,FALSE),"compte hors plan"))</f>
      </c>
      <c r="F899" s="9"/>
      <c r="G899" s="10"/>
      <c r="H899" s="11"/>
      <c r="I899" s="11"/>
      <c r="J899" s="10">
        <f>IF($D899="","",IF(AND($H899&lt;&gt;"",$I899&lt;&gt;""),"débit ET crédit",IF(AND($H899="",$I899=""),"montant manquant",IF(ISNA(MATCH($D899,'Plan comptable'!$H:$H,0)),"compte hors plan",IF(AND($A899&lt;&gt;"",YEAR($A899)&lt;&gt;Exercice),"hors exercice","")))))</f>
      </c>
    </row>
    <row r="900">
      <c r="A900" s="13"/>
      <c r="B900" s="10"/>
      <c r="C900" s="9"/>
      <c r="D900" s="20"/>
      <c r="E900" s="9">
        <f>IF($D900="","",IFERROR(VLOOKUP($D900,'Plan comptable'!$H:$I,2,FALSE),"compte hors plan"))</f>
      </c>
      <c r="F900" s="9"/>
      <c r="G900" s="10"/>
      <c r="H900" s="11"/>
      <c r="I900" s="11"/>
      <c r="J900" s="10">
        <f>IF($D900="","",IF(AND($H900&lt;&gt;"",$I900&lt;&gt;""),"débit ET crédit",IF(AND($H900="",$I900=""),"montant manquant",IF(ISNA(MATCH($D900,'Plan comptable'!$H:$H,0)),"compte hors plan",IF(AND($A900&lt;&gt;"",YEAR($A900)&lt;&gt;Exercice),"hors exercice","")))))</f>
      </c>
    </row>
    <row r="901">
      <c r="A901" s="13"/>
      <c r="B901" s="10"/>
      <c r="C901" s="9"/>
      <c r="D901" s="20"/>
      <c r="E901" s="9">
        <f>IF($D901="","",IFERROR(VLOOKUP($D901,'Plan comptable'!$H:$I,2,FALSE),"compte hors plan"))</f>
      </c>
      <c r="F901" s="9"/>
      <c r="G901" s="10"/>
      <c r="H901" s="11"/>
      <c r="I901" s="11"/>
      <c r="J901" s="10">
        <f>IF($D901="","",IF(AND($H901&lt;&gt;"",$I901&lt;&gt;""),"débit ET crédit",IF(AND($H901="",$I901=""),"montant manquant",IF(ISNA(MATCH($D901,'Plan comptable'!$H:$H,0)),"compte hors plan",IF(AND($A901&lt;&gt;"",YEAR($A901)&lt;&gt;Exercice),"hors exercice","")))))</f>
      </c>
    </row>
    <row r="902">
      <c r="A902" s="13"/>
      <c r="B902" s="10"/>
      <c r="C902" s="9"/>
      <c r="D902" s="20"/>
      <c r="E902" s="9">
        <f>IF($D902="","",IFERROR(VLOOKUP($D902,'Plan comptable'!$H:$I,2,FALSE),"compte hors plan"))</f>
      </c>
      <c r="F902" s="9"/>
      <c r="G902" s="10"/>
      <c r="H902" s="11"/>
      <c r="I902" s="11"/>
      <c r="J902" s="10">
        <f>IF($D902="","",IF(AND($H902&lt;&gt;"",$I902&lt;&gt;""),"débit ET crédit",IF(AND($H902="",$I902=""),"montant manquant",IF(ISNA(MATCH($D902,'Plan comptable'!$H:$H,0)),"compte hors plan",IF(AND($A902&lt;&gt;"",YEAR($A902)&lt;&gt;Exercice),"hors exercice","")))))</f>
      </c>
    </row>
    <row r="903">
      <c r="A903" s="13"/>
      <c r="B903" s="10"/>
      <c r="C903" s="9"/>
      <c r="D903" s="20"/>
      <c r="E903" s="9">
        <f>IF($D903="","",IFERROR(VLOOKUP($D903,'Plan comptable'!$H:$I,2,FALSE),"compte hors plan"))</f>
      </c>
      <c r="F903" s="9"/>
      <c r="G903" s="10"/>
      <c r="H903" s="11"/>
      <c r="I903" s="11"/>
      <c r="J903" s="10">
        <f>IF($D903="","",IF(AND($H903&lt;&gt;"",$I903&lt;&gt;""),"débit ET crédit",IF(AND($H903="",$I903=""),"montant manquant",IF(ISNA(MATCH($D903,'Plan comptable'!$H:$H,0)),"compte hors plan",IF(AND($A903&lt;&gt;"",YEAR($A903)&lt;&gt;Exercice),"hors exercice","")))))</f>
      </c>
    </row>
    <row r="904">
      <c r="A904" s="13"/>
      <c r="B904" s="10"/>
      <c r="C904" s="9"/>
      <c r="D904" s="20"/>
      <c r="E904" s="9">
        <f>IF($D904="","",IFERROR(VLOOKUP($D904,'Plan comptable'!$H:$I,2,FALSE),"compte hors plan"))</f>
      </c>
      <c r="F904" s="9"/>
      <c r="G904" s="10"/>
      <c r="H904" s="11"/>
      <c r="I904" s="11"/>
      <c r="J904" s="10">
        <f>IF($D904="","",IF(AND($H904&lt;&gt;"",$I904&lt;&gt;""),"débit ET crédit",IF(AND($H904="",$I904=""),"montant manquant",IF(ISNA(MATCH($D904,'Plan comptable'!$H:$H,0)),"compte hors plan",IF(AND($A904&lt;&gt;"",YEAR($A904)&lt;&gt;Exercice),"hors exercice","")))))</f>
      </c>
    </row>
    <row r="905">
      <c r="A905" s="13"/>
      <c r="B905" s="10"/>
      <c r="C905" s="9"/>
      <c r="D905" s="20"/>
      <c r="E905" s="9">
        <f>IF($D905="","",IFERROR(VLOOKUP($D905,'Plan comptable'!$H:$I,2,FALSE),"compte hors plan"))</f>
      </c>
      <c r="F905" s="9"/>
      <c r="G905" s="10"/>
      <c r="H905" s="11"/>
      <c r="I905" s="11"/>
      <c r="J905" s="10">
        <f>IF($D905="","",IF(AND($H905&lt;&gt;"",$I905&lt;&gt;""),"débit ET crédit",IF(AND($H905="",$I905=""),"montant manquant",IF(ISNA(MATCH($D905,'Plan comptable'!$H:$H,0)),"compte hors plan",IF(AND($A905&lt;&gt;"",YEAR($A905)&lt;&gt;Exercice),"hors exercice","")))))</f>
      </c>
    </row>
    <row r="906">
      <c r="A906" s="13"/>
      <c r="B906" s="10"/>
      <c r="C906" s="9"/>
      <c r="D906" s="20"/>
      <c r="E906" s="9">
        <f>IF($D906="","",IFERROR(VLOOKUP($D906,'Plan comptable'!$H:$I,2,FALSE),"compte hors plan"))</f>
      </c>
      <c r="F906" s="9"/>
      <c r="G906" s="10"/>
      <c r="H906" s="11"/>
      <c r="I906" s="11"/>
      <c r="J906" s="10">
        <f>IF($D906="","",IF(AND($H906&lt;&gt;"",$I906&lt;&gt;""),"débit ET crédit",IF(AND($H906="",$I906=""),"montant manquant",IF(ISNA(MATCH($D906,'Plan comptable'!$H:$H,0)),"compte hors plan",IF(AND($A906&lt;&gt;"",YEAR($A906)&lt;&gt;Exercice),"hors exercice","")))))</f>
      </c>
    </row>
    <row r="907">
      <c r="A907" s="13"/>
      <c r="B907" s="10"/>
      <c r="C907" s="9"/>
      <c r="D907" s="20"/>
      <c r="E907" s="9">
        <f>IF($D907="","",IFERROR(VLOOKUP($D907,'Plan comptable'!$H:$I,2,FALSE),"compte hors plan"))</f>
      </c>
      <c r="F907" s="9"/>
      <c r="G907" s="10"/>
      <c r="H907" s="11"/>
      <c r="I907" s="11"/>
      <c r="J907" s="10">
        <f>IF($D907="","",IF(AND($H907&lt;&gt;"",$I907&lt;&gt;""),"débit ET crédit",IF(AND($H907="",$I907=""),"montant manquant",IF(ISNA(MATCH($D907,'Plan comptable'!$H:$H,0)),"compte hors plan",IF(AND($A907&lt;&gt;"",YEAR($A907)&lt;&gt;Exercice),"hors exercice","")))))</f>
      </c>
    </row>
    <row r="908">
      <c r="A908" s="13"/>
      <c r="B908" s="10"/>
      <c r="C908" s="9"/>
      <c r="D908" s="20"/>
      <c r="E908" s="9">
        <f>IF($D908="","",IFERROR(VLOOKUP($D908,'Plan comptable'!$H:$I,2,FALSE),"compte hors plan"))</f>
      </c>
      <c r="F908" s="9"/>
      <c r="G908" s="10"/>
      <c r="H908" s="11"/>
      <c r="I908" s="11"/>
      <c r="J908" s="10">
        <f>IF($D908="","",IF(AND($H908&lt;&gt;"",$I908&lt;&gt;""),"débit ET crédit",IF(AND($H908="",$I908=""),"montant manquant",IF(ISNA(MATCH($D908,'Plan comptable'!$H:$H,0)),"compte hors plan",IF(AND($A908&lt;&gt;"",YEAR($A908)&lt;&gt;Exercice),"hors exercice","")))))</f>
      </c>
    </row>
    <row r="909">
      <c r="A909" s="13"/>
      <c r="B909" s="10"/>
      <c r="C909" s="9"/>
      <c r="D909" s="20"/>
      <c r="E909" s="9">
        <f>IF($D909="","",IFERROR(VLOOKUP($D909,'Plan comptable'!$H:$I,2,FALSE),"compte hors plan"))</f>
      </c>
      <c r="F909" s="9"/>
      <c r="G909" s="10"/>
      <c r="H909" s="11"/>
      <c r="I909" s="11"/>
      <c r="J909" s="10">
        <f>IF($D909="","",IF(AND($H909&lt;&gt;"",$I909&lt;&gt;""),"débit ET crédit",IF(AND($H909="",$I909=""),"montant manquant",IF(ISNA(MATCH($D909,'Plan comptable'!$H:$H,0)),"compte hors plan",IF(AND($A909&lt;&gt;"",YEAR($A909)&lt;&gt;Exercice),"hors exercice","")))))</f>
      </c>
    </row>
    <row r="910">
      <c r="A910" s="13"/>
      <c r="B910" s="10"/>
      <c r="C910" s="9"/>
      <c r="D910" s="20"/>
      <c r="E910" s="9">
        <f>IF($D910="","",IFERROR(VLOOKUP($D910,'Plan comptable'!$H:$I,2,FALSE),"compte hors plan"))</f>
      </c>
      <c r="F910" s="9"/>
      <c r="G910" s="10"/>
      <c r="H910" s="11"/>
      <c r="I910" s="11"/>
      <c r="J910" s="10">
        <f>IF($D910="","",IF(AND($H910&lt;&gt;"",$I910&lt;&gt;""),"débit ET crédit",IF(AND($H910="",$I910=""),"montant manquant",IF(ISNA(MATCH($D910,'Plan comptable'!$H:$H,0)),"compte hors plan",IF(AND($A910&lt;&gt;"",YEAR($A910)&lt;&gt;Exercice),"hors exercice","")))))</f>
      </c>
    </row>
    <row r="911">
      <c r="A911" s="13"/>
      <c r="B911" s="10"/>
      <c r="C911" s="9"/>
      <c r="D911" s="20"/>
      <c r="E911" s="9">
        <f>IF($D911="","",IFERROR(VLOOKUP($D911,'Plan comptable'!$H:$I,2,FALSE),"compte hors plan"))</f>
      </c>
      <c r="F911" s="9"/>
      <c r="G911" s="10"/>
      <c r="H911" s="11"/>
      <c r="I911" s="11"/>
      <c r="J911" s="10">
        <f>IF($D911="","",IF(AND($H911&lt;&gt;"",$I911&lt;&gt;""),"débit ET crédit",IF(AND($H911="",$I911=""),"montant manquant",IF(ISNA(MATCH($D911,'Plan comptable'!$H:$H,0)),"compte hors plan",IF(AND($A911&lt;&gt;"",YEAR($A911)&lt;&gt;Exercice),"hors exercice","")))))</f>
      </c>
    </row>
    <row r="912">
      <c r="A912" s="13"/>
      <c r="B912" s="10"/>
      <c r="C912" s="9"/>
      <c r="D912" s="20"/>
      <c r="E912" s="9">
        <f>IF($D912="","",IFERROR(VLOOKUP($D912,'Plan comptable'!$H:$I,2,FALSE),"compte hors plan"))</f>
      </c>
      <c r="F912" s="9"/>
      <c r="G912" s="10"/>
      <c r="H912" s="11"/>
      <c r="I912" s="11"/>
      <c r="J912" s="10">
        <f>IF($D912="","",IF(AND($H912&lt;&gt;"",$I912&lt;&gt;""),"débit ET crédit",IF(AND($H912="",$I912=""),"montant manquant",IF(ISNA(MATCH($D912,'Plan comptable'!$H:$H,0)),"compte hors plan",IF(AND($A912&lt;&gt;"",YEAR($A912)&lt;&gt;Exercice),"hors exercice","")))))</f>
      </c>
    </row>
    <row r="913">
      <c r="A913" s="13"/>
      <c r="B913" s="10"/>
      <c r="C913" s="9"/>
      <c r="D913" s="20"/>
      <c r="E913" s="9">
        <f>IF($D913="","",IFERROR(VLOOKUP($D913,'Plan comptable'!$H:$I,2,FALSE),"compte hors plan"))</f>
      </c>
      <c r="F913" s="9"/>
      <c r="G913" s="10"/>
      <c r="H913" s="11"/>
      <c r="I913" s="11"/>
      <c r="J913" s="10">
        <f>IF($D913="","",IF(AND($H913&lt;&gt;"",$I913&lt;&gt;""),"débit ET crédit",IF(AND($H913="",$I913=""),"montant manquant",IF(ISNA(MATCH($D913,'Plan comptable'!$H:$H,0)),"compte hors plan",IF(AND($A913&lt;&gt;"",YEAR($A913)&lt;&gt;Exercice),"hors exercice","")))))</f>
      </c>
    </row>
    <row r="914">
      <c r="A914" s="13"/>
      <c r="B914" s="10"/>
      <c r="C914" s="9"/>
      <c r="D914" s="20"/>
      <c r="E914" s="9">
        <f>IF($D914="","",IFERROR(VLOOKUP($D914,'Plan comptable'!$H:$I,2,FALSE),"compte hors plan"))</f>
      </c>
      <c r="F914" s="9"/>
      <c r="G914" s="10"/>
      <c r="H914" s="11"/>
      <c r="I914" s="11"/>
      <c r="J914" s="10">
        <f>IF($D914="","",IF(AND($H914&lt;&gt;"",$I914&lt;&gt;""),"débit ET crédit",IF(AND($H914="",$I914=""),"montant manquant",IF(ISNA(MATCH($D914,'Plan comptable'!$H:$H,0)),"compte hors plan",IF(AND($A914&lt;&gt;"",YEAR($A914)&lt;&gt;Exercice),"hors exercice","")))))</f>
      </c>
    </row>
    <row r="915">
      <c r="A915" s="13"/>
      <c r="B915" s="10"/>
      <c r="C915" s="9"/>
      <c r="D915" s="20"/>
      <c r="E915" s="9">
        <f>IF($D915="","",IFERROR(VLOOKUP($D915,'Plan comptable'!$H:$I,2,FALSE),"compte hors plan"))</f>
      </c>
      <c r="F915" s="9"/>
      <c r="G915" s="10"/>
      <c r="H915" s="11"/>
      <c r="I915" s="11"/>
      <c r="J915" s="10">
        <f>IF($D915="","",IF(AND($H915&lt;&gt;"",$I915&lt;&gt;""),"débit ET crédit",IF(AND($H915="",$I915=""),"montant manquant",IF(ISNA(MATCH($D915,'Plan comptable'!$H:$H,0)),"compte hors plan",IF(AND($A915&lt;&gt;"",YEAR($A915)&lt;&gt;Exercice),"hors exercice","")))))</f>
      </c>
    </row>
    <row r="916">
      <c r="A916" s="13"/>
      <c r="B916" s="10"/>
      <c r="C916" s="9"/>
      <c r="D916" s="20"/>
      <c r="E916" s="9">
        <f>IF($D916="","",IFERROR(VLOOKUP($D916,'Plan comptable'!$H:$I,2,FALSE),"compte hors plan"))</f>
      </c>
      <c r="F916" s="9"/>
      <c r="G916" s="10"/>
      <c r="H916" s="11"/>
      <c r="I916" s="11"/>
      <c r="J916" s="10">
        <f>IF($D916="","",IF(AND($H916&lt;&gt;"",$I916&lt;&gt;""),"débit ET crédit",IF(AND($H916="",$I916=""),"montant manquant",IF(ISNA(MATCH($D916,'Plan comptable'!$H:$H,0)),"compte hors plan",IF(AND($A916&lt;&gt;"",YEAR($A916)&lt;&gt;Exercice),"hors exercice","")))))</f>
      </c>
    </row>
    <row r="917">
      <c r="A917" s="13"/>
      <c r="B917" s="10"/>
      <c r="C917" s="9"/>
      <c r="D917" s="20"/>
      <c r="E917" s="9">
        <f>IF($D917="","",IFERROR(VLOOKUP($D917,'Plan comptable'!$H:$I,2,FALSE),"compte hors plan"))</f>
      </c>
      <c r="F917" s="9"/>
      <c r="G917" s="10"/>
      <c r="H917" s="11"/>
      <c r="I917" s="11"/>
      <c r="J917" s="10">
        <f>IF($D917="","",IF(AND($H917&lt;&gt;"",$I917&lt;&gt;""),"débit ET crédit",IF(AND($H917="",$I917=""),"montant manquant",IF(ISNA(MATCH($D917,'Plan comptable'!$H:$H,0)),"compte hors plan",IF(AND($A917&lt;&gt;"",YEAR($A917)&lt;&gt;Exercice),"hors exercice","")))))</f>
      </c>
    </row>
    <row r="918">
      <c r="A918" s="13"/>
      <c r="B918" s="10"/>
      <c r="C918" s="9"/>
      <c r="D918" s="20"/>
      <c r="E918" s="9">
        <f>IF($D918="","",IFERROR(VLOOKUP($D918,'Plan comptable'!$H:$I,2,FALSE),"compte hors plan"))</f>
      </c>
      <c r="F918" s="9"/>
      <c r="G918" s="10"/>
      <c r="H918" s="11"/>
      <c r="I918" s="11"/>
      <c r="J918" s="10">
        <f>IF($D918="","",IF(AND($H918&lt;&gt;"",$I918&lt;&gt;""),"débit ET crédit",IF(AND($H918="",$I918=""),"montant manquant",IF(ISNA(MATCH($D918,'Plan comptable'!$H:$H,0)),"compte hors plan",IF(AND($A918&lt;&gt;"",YEAR($A918)&lt;&gt;Exercice),"hors exercice","")))))</f>
      </c>
    </row>
    <row r="919">
      <c r="A919" s="13"/>
      <c r="B919" s="10"/>
      <c r="C919" s="9"/>
      <c r="D919" s="20"/>
      <c r="E919" s="9">
        <f>IF($D919="","",IFERROR(VLOOKUP($D919,'Plan comptable'!$H:$I,2,FALSE),"compte hors plan"))</f>
      </c>
      <c r="F919" s="9"/>
      <c r="G919" s="10"/>
      <c r="H919" s="11"/>
      <c r="I919" s="11"/>
      <c r="J919" s="10">
        <f>IF($D919="","",IF(AND($H919&lt;&gt;"",$I919&lt;&gt;""),"débit ET crédit",IF(AND($H919="",$I919=""),"montant manquant",IF(ISNA(MATCH($D919,'Plan comptable'!$H:$H,0)),"compte hors plan",IF(AND($A919&lt;&gt;"",YEAR($A919)&lt;&gt;Exercice),"hors exercice","")))))</f>
      </c>
    </row>
    <row r="920">
      <c r="A920" s="13"/>
      <c r="B920" s="10"/>
      <c r="C920" s="9"/>
      <c r="D920" s="20"/>
      <c r="E920" s="9">
        <f>IF($D920="","",IFERROR(VLOOKUP($D920,'Plan comptable'!$H:$I,2,FALSE),"compte hors plan"))</f>
      </c>
      <c r="F920" s="9"/>
      <c r="G920" s="10"/>
      <c r="H920" s="11"/>
      <c r="I920" s="11"/>
      <c r="J920" s="10">
        <f>IF($D920="","",IF(AND($H920&lt;&gt;"",$I920&lt;&gt;""),"débit ET crédit",IF(AND($H920="",$I920=""),"montant manquant",IF(ISNA(MATCH($D920,'Plan comptable'!$H:$H,0)),"compte hors plan",IF(AND($A920&lt;&gt;"",YEAR($A920)&lt;&gt;Exercice),"hors exercice","")))))</f>
      </c>
    </row>
    <row r="921">
      <c r="A921" s="13"/>
      <c r="B921" s="10"/>
      <c r="C921" s="9"/>
      <c r="D921" s="20"/>
      <c r="E921" s="9">
        <f>IF($D921="","",IFERROR(VLOOKUP($D921,'Plan comptable'!$H:$I,2,FALSE),"compte hors plan"))</f>
      </c>
      <c r="F921" s="9"/>
      <c r="G921" s="10"/>
      <c r="H921" s="11"/>
      <c r="I921" s="11"/>
      <c r="J921" s="10">
        <f>IF($D921="","",IF(AND($H921&lt;&gt;"",$I921&lt;&gt;""),"débit ET crédit",IF(AND($H921="",$I921=""),"montant manquant",IF(ISNA(MATCH($D921,'Plan comptable'!$H:$H,0)),"compte hors plan",IF(AND($A921&lt;&gt;"",YEAR($A921)&lt;&gt;Exercice),"hors exercice","")))))</f>
      </c>
    </row>
    <row r="922">
      <c r="A922" s="13"/>
      <c r="B922" s="10"/>
      <c r="C922" s="9"/>
      <c r="D922" s="20"/>
      <c r="E922" s="9">
        <f>IF($D922="","",IFERROR(VLOOKUP($D922,'Plan comptable'!$H:$I,2,FALSE),"compte hors plan"))</f>
      </c>
      <c r="F922" s="9"/>
      <c r="G922" s="10"/>
      <c r="H922" s="11"/>
      <c r="I922" s="11"/>
      <c r="J922" s="10">
        <f>IF($D922="","",IF(AND($H922&lt;&gt;"",$I922&lt;&gt;""),"débit ET crédit",IF(AND($H922="",$I922=""),"montant manquant",IF(ISNA(MATCH($D922,'Plan comptable'!$H:$H,0)),"compte hors plan",IF(AND($A922&lt;&gt;"",YEAR($A922)&lt;&gt;Exercice),"hors exercice","")))))</f>
      </c>
    </row>
    <row r="923">
      <c r="A923" s="13"/>
      <c r="B923" s="10"/>
      <c r="C923" s="9"/>
      <c r="D923" s="20"/>
      <c r="E923" s="9">
        <f>IF($D923="","",IFERROR(VLOOKUP($D923,'Plan comptable'!$H:$I,2,FALSE),"compte hors plan"))</f>
      </c>
      <c r="F923" s="9"/>
      <c r="G923" s="10"/>
      <c r="H923" s="11"/>
      <c r="I923" s="11"/>
      <c r="J923" s="10">
        <f>IF($D923="","",IF(AND($H923&lt;&gt;"",$I923&lt;&gt;""),"débit ET crédit",IF(AND($H923="",$I923=""),"montant manquant",IF(ISNA(MATCH($D923,'Plan comptable'!$H:$H,0)),"compte hors plan",IF(AND($A923&lt;&gt;"",YEAR($A923)&lt;&gt;Exercice),"hors exercice","")))))</f>
      </c>
    </row>
    <row r="924">
      <c r="A924" s="13"/>
      <c r="B924" s="10"/>
      <c r="C924" s="9"/>
      <c r="D924" s="20"/>
      <c r="E924" s="9">
        <f>IF($D924="","",IFERROR(VLOOKUP($D924,'Plan comptable'!$H:$I,2,FALSE),"compte hors plan"))</f>
      </c>
      <c r="F924" s="9"/>
      <c r="G924" s="10"/>
      <c r="H924" s="11"/>
      <c r="I924" s="11"/>
      <c r="J924" s="10">
        <f>IF($D924="","",IF(AND($H924&lt;&gt;"",$I924&lt;&gt;""),"débit ET crédit",IF(AND($H924="",$I924=""),"montant manquant",IF(ISNA(MATCH($D924,'Plan comptable'!$H:$H,0)),"compte hors plan",IF(AND($A924&lt;&gt;"",YEAR($A924)&lt;&gt;Exercice),"hors exercice","")))))</f>
      </c>
    </row>
    <row r="925">
      <c r="A925" s="13"/>
      <c r="B925" s="10"/>
      <c r="C925" s="9"/>
      <c r="D925" s="20"/>
      <c r="E925" s="9">
        <f>IF($D925="","",IFERROR(VLOOKUP($D925,'Plan comptable'!$H:$I,2,FALSE),"compte hors plan"))</f>
      </c>
      <c r="F925" s="9"/>
      <c r="G925" s="10"/>
      <c r="H925" s="11"/>
      <c r="I925" s="11"/>
      <c r="J925" s="10">
        <f>IF($D925="","",IF(AND($H925&lt;&gt;"",$I925&lt;&gt;""),"débit ET crédit",IF(AND($H925="",$I925=""),"montant manquant",IF(ISNA(MATCH($D925,'Plan comptable'!$H:$H,0)),"compte hors plan",IF(AND($A925&lt;&gt;"",YEAR($A925)&lt;&gt;Exercice),"hors exercice","")))))</f>
      </c>
    </row>
    <row r="926">
      <c r="A926" s="13"/>
      <c r="B926" s="10"/>
      <c r="C926" s="9"/>
      <c r="D926" s="20"/>
      <c r="E926" s="9">
        <f>IF($D926="","",IFERROR(VLOOKUP($D926,'Plan comptable'!$H:$I,2,FALSE),"compte hors plan"))</f>
      </c>
      <c r="F926" s="9"/>
      <c r="G926" s="10"/>
      <c r="H926" s="11"/>
      <c r="I926" s="11"/>
      <c r="J926" s="10">
        <f>IF($D926="","",IF(AND($H926&lt;&gt;"",$I926&lt;&gt;""),"débit ET crédit",IF(AND($H926="",$I926=""),"montant manquant",IF(ISNA(MATCH($D926,'Plan comptable'!$H:$H,0)),"compte hors plan",IF(AND($A926&lt;&gt;"",YEAR($A926)&lt;&gt;Exercice),"hors exercice","")))))</f>
      </c>
    </row>
    <row r="927">
      <c r="A927" s="13"/>
      <c r="B927" s="10"/>
      <c r="C927" s="9"/>
      <c r="D927" s="20"/>
      <c r="E927" s="9">
        <f>IF($D927="","",IFERROR(VLOOKUP($D927,'Plan comptable'!$H:$I,2,FALSE),"compte hors plan"))</f>
      </c>
      <c r="F927" s="9"/>
      <c r="G927" s="10"/>
      <c r="H927" s="11"/>
      <c r="I927" s="11"/>
      <c r="J927" s="10">
        <f>IF($D927="","",IF(AND($H927&lt;&gt;"",$I927&lt;&gt;""),"débit ET crédit",IF(AND($H927="",$I927=""),"montant manquant",IF(ISNA(MATCH($D927,'Plan comptable'!$H:$H,0)),"compte hors plan",IF(AND($A927&lt;&gt;"",YEAR($A927)&lt;&gt;Exercice),"hors exercice","")))))</f>
      </c>
    </row>
    <row r="928">
      <c r="A928" s="13"/>
      <c r="B928" s="10"/>
      <c r="C928" s="9"/>
      <c r="D928" s="20"/>
      <c r="E928" s="9">
        <f>IF($D928="","",IFERROR(VLOOKUP($D928,'Plan comptable'!$H:$I,2,FALSE),"compte hors plan"))</f>
      </c>
      <c r="F928" s="9"/>
      <c r="G928" s="10"/>
      <c r="H928" s="11"/>
      <c r="I928" s="11"/>
      <c r="J928" s="10">
        <f>IF($D928="","",IF(AND($H928&lt;&gt;"",$I928&lt;&gt;""),"débit ET crédit",IF(AND($H928="",$I928=""),"montant manquant",IF(ISNA(MATCH($D928,'Plan comptable'!$H:$H,0)),"compte hors plan",IF(AND($A928&lt;&gt;"",YEAR($A928)&lt;&gt;Exercice),"hors exercice","")))))</f>
      </c>
    </row>
    <row r="929">
      <c r="A929" s="13"/>
      <c r="B929" s="10"/>
      <c r="C929" s="9"/>
      <c r="D929" s="20"/>
      <c r="E929" s="9">
        <f>IF($D929="","",IFERROR(VLOOKUP($D929,'Plan comptable'!$H:$I,2,FALSE),"compte hors plan"))</f>
      </c>
      <c r="F929" s="9"/>
      <c r="G929" s="10"/>
      <c r="H929" s="11"/>
      <c r="I929" s="11"/>
      <c r="J929" s="10">
        <f>IF($D929="","",IF(AND($H929&lt;&gt;"",$I929&lt;&gt;""),"débit ET crédit",IF(AND($H929="",$I929=""),"montant manquant",IF(ISNA(MATCH($D929,'Plan comptable'!$H:$H,0)),"compte hors plan",IF(AND($A929&lt;&gt;"",YEAR($A929)&lt;&gt;Exercice),"hors exercice","")))))</f>
      </c>
    </row>
    <row r="930">
      <c r="A930" s="13"/>
      <c r="B930" s="10"/>
      <c r="C930" s="9"/>
      <c r="D930" s="20"/>
      <c r="E930" s="9">
        <f>IF($D930="","",IFERROR(VLOOKUP($D930,'Plan comptable'!$H:$I,2,FALSE),"compte hors plan"))</f>
      </c>
      <c r="F930" s="9"/>
      <c r="G930" s="10"/>
      <c r="H930" s="11"/>
      <c r="I930" s="11"/>
      <c r="J930" s="10">
        <f>IF($D930="","",IF(AND($H930&lt;&gt;"",$I930&lt;&gt;""),"débit ET crédit",IF(AND($H930="",$I930=""),"montant manquant",IF(ISNA(MATCH($D930,'Plan comptable'!$H:$H,0)),"compte hors plan",IF(AND($A930&lt;&gt;"",YEAR($A930)&lt;&gt;Exercice),"hors exercice","")))))</f>
      </c>
    </row>
    <row r="931">
      <c r="A931" s="13"/>
      <c r="B931" s="10"/>
      <c r="C931" s="9"/>
      <c r="D931" s="20"/>
      <c r="E931" s="9">
        <f>IF($D931="","",IFERROR(VLOOKUP($D931,'Plan comptable'!$H:$I,2,FALSE),"compte hors plan"))</f>
      </c>
      <c r="F931" s="9"/>
      <c r="G931" s="10"/>
      <c r="H931" s="11"/>
      <c r="I931" s="11"/>
      <c r="J931" s="10">
        <f>IF($D931="","",IF(AND($H931&lt;&gt;"",$I931&lt;&gt;""),"débit ET crédit",IF(AND($H931="",$I931=""),"montant manquant",IF(ISNA(MATCH($D931,'Plan comptable'!$H:$H,0)),"compte hors plan",IF(AND($A931&lt;&gt;"",YEAR($A931)&lt;&gt;Exercice),"hors exercice","")))))</f>
      </c>
    </row>
    <row r="932">
      <c r="A932" s="13"/>
      <c r="B932" s="10"/>
      <c r="C932" s="9"/>
      <c r="D932" s="20"/>
      <c r="E932" s="9">
        <f>IF($D932="","",IFERROR(VLOOKUP($D932,'Plan comptable'!$H:$I,2,FALSE),"compte hors plan"))</f>
      </c>
      <c r="F932" s="9"/>
      <c r="G932" s="10"/>
      <c r="H932" s="11"/>
      <c r="I932" s="11"/>
      <c r="J932" s="10">
        <f>IF($D932="","",IF(AND($H932&lt;&gt;"",$I932&lt;&gt;""),"débit ET crédit",IF(AND($H932="",$I932=""),"montant manquant",IF(ISNA(MATCH($D932,'Plan comptable'!$H:$H,0)),"compte hors plan",IF(AND($A932&lt;&gt;"",YEAR($A932)&lt;&gt;Exercice),"hors exercice","")))))</f>
      </c>
    </row>
    <row r="933">
      <c r="A933" s="13"/>
      <c r="B933" s="10"/>
      <c r="C933" s="9"/>
      <c r="D933" s="20"/>
      <c r="E933" s="9">
        <f>IF($D933="","",IFERROR(VLOOKUP($D933,'Plan comptable'!$H:$I,2,FALSE),"compte hors plan"))</f>
      </c>
      <c r="F933" s="9"/>
      <c r="G933" s="10"/>
      <c r="H933" s="11"/>
      <c r="I933" s="11"/>
      <c r="J933" s="10">
        <f>IF($D933="","",IF(AND($H933&lt;&gt;"",$I933&lt;&gt;""),"débit ET crédit",IF(AND($H933="",$I933=""),"montant manquant",IF(ISNA(MATCH($D933,'Plan comptable'!$H:$H,0)),"compte hors plan",IF(AND($A933&lt;&gt;"",YEAR($A933)&lt;&gt;Exercice),"hors exercice","")))))</f>
      </c>
    </row>
    <row r="934">
      <c r="A934" s="13"/>
      <c r="B934" s="10"/>
      <c r="C934" s="9"/>
      <c r="D934" s="20"/>
      <c r="E934" s="9">
        <f>IF($D934="","",IFERROR(VLOOKUP($D934,'Plan comptable'!$H:$I,2,FALSE),"compte hors plan"))</f>
      </c>
      <c r="F934" s="9"/>
      <c r="G934" s="10"/>
      <c r="H934" s="11"/>
      <c r="I934" s="11"/>
      <c r="J934" s="10">
        <f>IF($D934="","",IF(AND($H934&lt;&gt;"",$I934&lt;&gt;""),"débit ET crédit",IF(AND($H934="",$I934=""),"montant manquant",IF(ISNA(MATCH($D934,'Plan comptable'!$H:$H,0)),"compte hors plan",IF(AND($A934&lt;&gt;"",YEAR($A934)&lt;&gt;Exercice),"hors exercice","")))))</f>
      </c>
    </row>
    <row r="935">
      <c r="A935" s="13"/>
      <c r="B935" s="10"/>
      <c r="C935" s="9"/>
      <c r="D935" s="20"/>
      <c r="E935" s="9">
        <f>IF($D935="","",IFERROR(VLOOKUP($D935,'Plan comptable'!$H:$I,2,FALSE),"compte hors plan"))</f>
      </c>
      <c r="F935" s="9"/>
      <c r="G935" s="10"/>
      <c r="H935" s="11"/>
      <c r="I935" s="11"/>
      <c r="J935" s="10">
        <f>IF($D935="","",IF(AND($H935&lt;&gt;"",$I935&lt;&gt;""),"débit ET crédit",IF(AND($H935="",$I935=""),"montant manquant",IF(ISNA(MATCH($D935,'Plan comptable'!$H:$H,0)),"compte hors plan",IF(AND($A935&lt;&gt;"",YEAR($A935)&lt;&gt;Exercice),"hors exercice","")))))</f>
      </c>
    </row>
    <row r="936">
      <c r="A936" s="13"/>
      <c r="B936" s="10"/>
      <c r="C936" s="9"/>
      <c r="D936" s="20"/>
      <c r="E936" s="9">
        <f>IF($D936="","",IFERROR(VLOOKUP($D936,'Plan comptable'!$H:$I,2,FALSE),"compte hors plan"))</f>
      </c>
      <c r="F936" s="9"/>
      <c r="G936" s="10"/>
      <c r="H936" s="11"/>
      <c r="I936" s="11"/>
      <c r="J936" s="10">
        <f>IF($D936="","",IF(AND($H936&lt;&gt;"",$I936&lt;&gt;""),"débit ET crédit",IF(AND($H936="",$I936=""),"montant manquant",IF(ISNA(MATCH($D936,'Plan comptable'!$H:$H,0)),"compte hors plan",IF(AND($A936&lt;&gt;"",YEAR($A936)&lt;&gt;Exercice),"hors exercice","")))))</f>
      </c>
    </row>
    <row r="937">
      <c r="A937" s="13"/>
      <c r="B937" s="10"/>
      <c r="C937" s="9"/>
      <c r="D937" s="20"/>
      <c r="E937" s="9">
        <f>IF($D937="","",IFERROR(VLOOKUP($D937,'Plan comptable'!$H:$I,2,FALSE),"compte hors plan"))</f>
      </c>
      <c r="F937" s="9"/>
      <c r="G937" s="10"/>
      <c r="H937" s="11"/>
      <c r="I937" s="11"/>
      <c r="J937" s="10">
        <f>IF($D937="","",IF(AND($H937&lt;&gt;"",$I937&lt;&gt;""),"débit ET crédit",IF(AND($H937="",$I937=""),"montant manquant",IF(ISNA(MATCH($D937,'Plan comptable'!$H:$H,0)),"compte hors plan",IF(AND($A937&lt;&gt;"",YEAR($A937)&lt;&gt;Exercice),"hors exercice","")))))</f>
      </c>
    </row>
    <row r="938">
      <c r="A938" s="13"/>
      <c r="B938" s="10"/>
      <c r="C938" s="9"/>
      <c r="D938" s="20"/>
      <c r="E938" s="9">
        <f>IF($D938="","",IFERROR(VLOOKUP($D938,'Plan comptable'!$H:$I,2,FALSE),"compte hors plan"))</f>
      </c>
      <c r="F938" s="9"/>
      <c r="G938" s="10"/>
      <c r="H938" s="11"/>
      <c r="I938" s="11"/>
      <c r="J938" s="10">
        <f>IF($D938="","",IF(AND($H938&lt;&gt;"",$I938&lt;&gt;""),"débit ET crédit",IF(AND($H938="",$I938=""),"montant manquant",IF(ISNA(MATCH($D938,'Plan comptable'!$H:$H,0)),"compte hors plan",IF(AND($A938&lt;&gt;"",YEAR($A938)&lt;&gt;Exercice),"hors exercice","")))))</f>
      </c>
    </row>
    <row r="939">
      <c r="A939" s="13"/>
      <c r="B939" s="10"/>
      <c r="C939" s="9"/>
      <c r="D939" s="20"/>
      <c r="E939" s="9">
        <f>IF($D939="","",IFERROR(VLOOKUP($D939,'Plan comptable'!$H:$I,2,FALSE),"compte hors plan"))</f>
      </c>
      <c r="F939" s="9"/>
      <c r="G939" s="10"/>
      <c r="H939" s="11"/>
      <c r="I939" s="11"/>
      <c r="J939" s="10">
        <f>IF($D939="","",IF(AND($H939&lt;&gt;"",$I939&lt;&gt;""),"débit ET crédit",IF(AND($H939="",$I939=""),"montant manquant",IF(ISNA(MATCH($D939,'Plan comptable'!$H:$H,0)),"compte hors plan",IF(AND($A939&lt;&gt;"",YEAR($A939)&lt;&gt;Exercice),"hors exercice","")))))</f>
      </c>
    </row>
    <row r="940">
      <c r="A940" s="13"/>
      <c r="B940" s="10"/>
      <c r="C940" s="9"/>
      <c r="D940" s="20"/>
      <c r="E940" s="9">
        <f>IF($D940="","",IFERROR(VLOOKUP($D940,'Plan comptable'!$H:$I,2,FALSE),"compte hors plan"))</f>
      </c>
      <c r="F940" s="9"/>
      <c r="G940" s="10"/>
      <c r="H940" s="11"/>
      <c r="I940" s="11"/>
      <c r="J940" s="10">
        <f>IF($D940="","",IF(AND($H940&lt;&gt;"",$I940&lt;&gt;""),"débit ET crédit",IF(AND($H940="",$I940=""),"montant manquant",IF(ISNA(MATCH($D940,'Plan comptable'!$H:$H,0)),"compte hors plan",IF(AND($A940&lt;&gt;"",YEAR($A940)&lt;&gt;Exercice),"hors exercice","")))))</f>
      </c>
    </row>
    <row r="941">
      <c r="A941" s="13"/>
      <c r="B941" s="10"/>
      <c r="C941" s="9"/>
      <c r="D941" s="20"/>
      <c r="E941" s="9">
        <f>IF($D941="","",IFERROR(VLOOKUP($D941,'Plan comptable'!$H:$I,2,FALSE),"compte hors plan"))</f>
      </c>
      <c r="F941" s="9"/>
      <c r="G941" s="10"/>
      <c r="H941" s="11"/>
      <c r="I941" s="11"/>
      <c r="J941" s="10">
        <f>IF($D941="","",IF(AND($H941&lt;&gt;"",$I941&lt;&gt;""),"débit ET crédit",IF(AND($H941="",$I941=""),"montant manquant",IF(ISNA(MATCH($D941,'Plan comptable'!$H:$H,0)),"compte hors plan",IF(AND($A941&lt;&gt;"",YEAR($A941)&lt;&gt;Exercice),"hors exercice","")))))</f>
      </c>
    </row>
    <row r="942">
      <c r="A942" s="13"/>
      <c r="B942" s="10"/>
      <c r="C942" s="9"/>
      <c r="D942" s="20"/>
      <c r="E942" s="9">
        <f>IF($D942="","",IFERROR(VLOOKUP($D942,'Plan comptable'!$H:$I,2,FALSE),"compte hors plan"))</f>
      </c>
      <c r="F942" s="9"/>
      <c r="G942" s="10"/>
      <c r="H942" s="11"/>
      <c r="I942" s="11"/>
      <c r="J942" s="10">
        <f>IF($D942="","",IF(AND($H942&lt;&gt;"",$I942&lt;&gt;""),"débit ET crédit",IF(AND($H942="",$I942=""),"montant manquant",IF(ISNA(MATCH($D942,'Plan comptable'!$H:$H,0)),"compte hors plan",IF(AND($A942&lt;&gt;"",YEAR($A942)&lt;&gt;Exercice),"hors exercice","")))))</f>
      </c>
    </row>
    <row r="943">
      <c r="A943" s="13"/>
      <c r="B943" s="10"/>
      <c r="C943" s="9"/>
      <c r="D943" s="20"/>
      <c r="E943" s="9">
        <f>IF($D943="","",IFERROR(VLOOKUP($D943,'Plan comptable'!$H:$I,2,FALSE),"compte hors plan"))</f>
      </c>
      <c r="F943" s="9"/>
      <c r="G943" s="10"/>
      <c r="H943" s="11"/>
      <c r="I943" s="11"/>
      <c r="J943" s="10">
        <f>IF($D943="","",IF(AND($H943&lt;&gt;"",$I943&lt;&gt;""),"débit ET crédit",IF(AND($H943="",$I943=""),"montant manquant",IF(ISNA(MATCH($D943,'Plan comptable'!$H:$H,0)),"compte hors plan",IF(AND($A943&lt;&gt;"",YEAR($A943)&lt;&gt;Exercice),"hors exercice","")))))</f>
      </c>
    </row>
    <row r="944">
      <c r="A944" s="13"/>
      <c r="B944" s="10"/>
      <c r="C944" s="9"/>
      <c r="D944" s="20"/>
      <c r="E944" s="9">
        <f>IF($D944="","",IFERROR(VLOOKUP($D944,'Plan comptable'!$H:$I,2,FALSE),"compte hors plan"))</f>
      </c>
      <c r="F944" s="9"/>
      <c r="G944" s="10"/>
      <c r="H944" s="11"/>
      <c r="I944" s="11"/>
      <c r="J944" s="10">
        <f>IF($D944="","",IF(AND($H944&lt;&gt;"",$I944&lt;&gt;""),"débit ET crédit",IF(AND($H944="",$I944=""),"montant manquant",IF(ISNA(MATCH($D944,'Plan comptable'!$H:$H,0)),"compte hors plan",IF(AND($A944&lt;&gt;"",YEAR($A944)&lt;&gt;Exercice),"hors exercice","")))))</f>
      </c>
    </row>
    <row r="945">
      <c r="A945" s="13"/>
      <c r="B945" s="10"/>
      <c r="C945" s="9"/>
      <c r="D945" s="20"/>
      <c r="E945" s="9">
        <f>IF($D945="","",IFERROR(VLOOKUP($D945,'Plan comptable'!$H:$I,2,FALSE),"compte hors plan"))</f>
      </c>
      <c r="F945" s="9"/>
      <c r="G945" s="10"/>
      <c r="H945" s="11"/>
      <c r="I945" s="11"/>
      <c r="J945" s="10">
        <f>IF($D945="","",IF(AND($H945&lt;&gt;"",$I945&lt;&gt;""),"débit ET crédit",IF(AND($H945="",$I945=""),"montant manquant",IF(ISNA(MATCH($D945,'Plan comptable'!$H:$H,0)),"compte hors plan",IF(AND($A945&lt;&gt;"",YEAR($A945)&lt;&gt;Exercice),"hors exercice","")))))</f>
      </c>
    </row>
    <row r="946">
      <c r="A946" s="13"/>
      <c r="B946" s="10"/>
      <c r="C946" s="9"/>
      <c r="D946" s="20"/>
      <c r="E946" s="9">
        <f>IF($D946="","",IFERROR(VLOOKUP($D946,'Plan comptable'!$H:$I,2,FALSE),"compte hors plan"))</f>
      </c>
      <c r="F946" s="9"/>
      <c r="G946" s="10"/>
      <c r="H946" s="11"/>
      <c r="I946" s="11"/>
      <c r="J946" s="10">
        <f>IF($D946="","",IF(AND($H946&lt;&gt;"",$I946&lt;&gt;""),"débit ET crédit",IF(AND($H946="",$I946=""),"montant manquant",IF(ISNA(MATCH($D946,'Plan comptable'!$H:$H,0)),"compte hors plan",IF(AND($A946&lt;&gt;"",YEAR($A946)&lt;&gt;Exercice),"hors exercice","")))))</f>
      </c>
    </row>
    <row r="947">
      <c r="A947" s="13"/>
      <c r="B947" s="10"/>
      <c r="C947" s="9"/>
      <c r="D947" s="20"/>
      <c r="E947" s="9">
        <f>IF($D947="","",IFERROR(VLOOKUP($D947,'Plan comptable'!$H:$I,2,FALSE),"compte hors plan"))</f>
      </c>
      <c r="F947" s="9"/>
      <c r="G947" s="10"/>
      <c r="H947" s="11"/>
      <c r="I947" s="11"/>
      <c r="J947" s="10">
        <f>IF($D947="","",IF(AND($H947&lt;&gt;"",$I947&lt;&gt;""),"débit ET crédit",IF(AND($H947="",$I947=""),"montant manquant",IF(ISNA(MATCH($D947,'Plan comptable'!$H:$H,0)),"compte hors plan",IF(AND($A947&lt;&gt;"",YEAR($A947)&lt;&gt;Exercice),"hors exercice","")))))</f>
      </c>
    </row>
    <row r="948">
      <c r="A948" s="13"/>
      <c r="B948" s="10"/>
      <c r="C948" s="9"/>
      <c r="D948" s="20"/>
      <c r="E948" s="9">
        <f>IF($D948="","",IFERROR(VLOOKUP($D948,'Plan comptable'!$H:$I,2,FALSE),"compte hors plan"))</f>
      </c>
      <c r="F948" s="9"/>
      <c r="G948" s="10"/>
      <c r="H948" s="11"/>
      <c r="I948" s="11"/>
      <c r="J948" s="10">
        <f>IF($D948="","",IF(AND($H948&lt;&gt;"",$I948&lt;&gt;""),"débit ET crédit",IF(AND($H948="",$I948=""),"montant manquant",IF(ISNA(MATCH($D948,'Plan comptable'!$H:$H,0)),"compte hors plan",IF(AND($A948&lt;&gt;"",YEAR($A948)&lt;&gt;Exercice),"hors exercice","")))))</f>
      </c>
    </row>
    <row r="949">
      <c r="A949" s="13"/>
      <c r="B949" s="10"/>
      <c r="C949" s="9"/>
      <c r="D949" s="20"/>
      <c r="E949" s="9">
        <f>IF($D949="","",IFERROR(VLOOKUP($D949,'Plan comptable'!$H:$I,2,FALSE),"compte hors plan"))</f>
      </c>
      <c r="F949" s="9"/>
      <c r="G949" s="10"/>
      <c r="H949" s="11"/>
      <c r="I949" s="11"/>
      <c r="J949" s="10">
        <f>IF($D949="","",IF(AND($H949&lt;&gt;"",$I949&lt;&gt;""),"débit ET crédit",IF(AND($H949="",$I949=""),"montant manquant",IF(ISNA(MATCH($D949,'Plan comptable'!$H:$H,0)),"compte hors plan",IF(AND($A949&lt;&gt;"",YEAR($A949)&lt;&gt;Exercice),"hors exercice","")))))</f>
      </c>
    </row>
    <row r="950">
      <c r="A950" s="13"/>
      <c r="B950" s="10"/>
      <c r="C950" s="9"/>
      <c r="D950" s="20"/>
      <c r="E950" s="9">
        <f>IF($D950="","",IFERROR(VLOOKUP($D950,'Plan comptable'!$H:$I,2,FALSE),"compte hors plan"))</f>
      </c>
      <c r="F950" s="9"/>
      <c r="G950" s="10"/>
      <c r="H950" s="11"/>
      <c r="I950" s="11"/>
      <c r="J950" s="10">
        <f>IF($D950="","",IF(AND($H950&lt;&gt;"",$I950&lt;&gt;""),"débit ET crédit",IF(AND($H950="",$I950=""),"montant manquant",IF(ISNA(MATCH($D950,'Plan comptable'!$H:$H,0)),"compte hors plan",IF(AND($A950&lt;&gt;"",YEAR($A950)&lt;&gt;Exercice),"hors exercice","")))))</f>
      </c>
    </row>
    <row r="951">
      <c r="A951" s="13"/>
      <c r="B951" s="10"/>
      <c r="C951" s="9"/>
      <c r="D951" s="20"/>
      <c r="E951" s="9">
        <f>IF($D951="","",IFERROR(VLOOKUP($D951,'Plan comptable'!$H:$I,2,FALSE),"compte hors plan"))</f>
      </c>
      <c r="F951" s="9"/>
      <c r="G951" s="10"/>
      <c r="H951" s="11"/>
      <c r="I951" s="11"/>
      <c r="J951" s="10">
        <f>IF($D951="","",IF(AND($H951&lt;&gt;"",$I951&lt;&gt;""),"débit ET crédit",IF(AND($H951="",$I951=""),"montant manquant",IF(ISNA(MATCH($D951,'Plan comptable'!$H:$H,0)),"compte hors plan",IF(AND($A951&lt;&gt;"",YEAR($A951)&lt;&gt;Exercice),"hors exercice","")))))</f>
      </c>
    </row>
    <row r="952">
      <c r="A952" s="13"/>
      <c r="B952" s="10"/>
      <c r="C952" s="9"/>
      <c r="D952" s="20"/>
      <c r="E952" s="9">
        <f>IF($D952="","",IFERROR(VLOOKUP($D952,'Plan comptable'!$H:$I,2,FALSE),"compte hors plan"))</f>
      </c>
      <c r="F952" s="9"/>
      <c r="G952" s="10"/>
      <c r="H952" s="11"/>
      <c r="I952" s="11"/>
      <c r="J952" s="10">
        <f>IF($D952="","",IF(AND($H952&lt;&gt;"",$I952&lt;&gt;""),"débit ET crédit",IF(AND($H952="",$I952=""),"montant manquant",IF(ISNA(MATCH($D952,'Plan comptable'!$H:$H,0)),"compte hors plan",IF(AND($A952&lt;&gt;"",YEAR($A952)&lt;&gt;Exercice),"hors exercice","")))))</f>
      </c>
    </row>
    <row r="953">
      <c r="A953" s="13"/>
      <c r="B953" s="10"/>
      <c r="C953" s="9"/>
      <c r="D953" s="20"/>
      <c r="E953" s="9">
        <f>IF($D953="","",IFERROR(VLOOKUP($D953,'Plan comptable'!$H:$I,2,FALSE),"compte hors plan"))</f>
      </c>
      <c r="F953" s="9"/>
      <c r="G953" s="10"/>
      <c r="H953" s="11"/>
      <c r="I953" s="11"/>
      <c r="J953" s="10">
        <f>IF($D953="","",IF(AND($H953&lt;&gt;"",$I953&lt;&gt;""),"débit ET crédit",IF(AND($H953="",$I953=""),"montant manquant",IF(ISNA(MATCH($D953,'Plan comptable'!$H:$H,0)),"compte hors plan",IF(AND($A953&lt;&gt;"",YEAR($A953)&lt;&gt;Exercice),"hors exercice","")))))</f>
      </c>
    </row>
    <row r="954">
      <c r="A954" s="13"/>
      <c r="B954" s="10"/>
      <c r="C954" s="9"/>
      <c r="D954" s="20"/>
      <c r="E954" s="9">
        <f>IF($D954="","",IFERROR(VLOOKUP($D954,'Plan comptable'!$H:$I,2,FALSE),"compte hors plan"))</f>
      </c>
      <c r="F954" s="9"/>
      <c r="G954" s="10"/>
      <c r="H954" s="11"/>
      <c r="I954" s="11"/>
      <c r="J954" s="10">
        <f>IF($D954="","",IF(AND($H954&lt;&gt;"",$I954&lt;&gt;""),"débit ET crédit",IF(AND($H954="",$I954=""),"montant manquant",IF(ISNA(MATCH($D954,'Plan comptable'!$H:$H,0)),"compte hors plan",IF(AND($A954&lt;&gt;"",YEAR($A954)&lt;&gt;Exercice),"hors exercice","")))))</f>
      </c>
    </row>
    <row r="955">
      <c r="A955" s="13"/>
      <c r="B955" s="10"/>
      <c r="C955" s="9"/>
      <c r="D955" s="20"/>
      <c r="E955" s="9">
        <f>IF($D955="","",IFERROR(VLOOKUP($D955,'Plan comptable'!$H:$I,2,FALSE),"compte hors plan"))</f>
      </c>
      <c r="F955" s="9"/>
      <c r="G955" s="10"/>
      <c r="H955" s="11"/>
      <c r="I955" s="11"/>
      <c r="J955" s="10">
        <f>IF($D955="","",IF(AND($H955&lt;&gt;"",$I955&lt;&gt;""),"débit ET crédit",IF(AND($H955="",$I955=""),"montant manquant",IF(ISNA(MATCH($D955,'Plan comptable'!$H:$H,0)),"compte hors plan",IF(AND($A955&lt;&gt;"",YEAR($A955)&lt;&gt;Exercice),"hors exercice","")))))</f>
      </c>
    </row>
    <row r="956">
      <c r="A956" s="13"/>
      <c r="B956" s="10"/>
      <c r="C956" s="9"/>
      <c r="D956" s="20"/>
      <c r="E956" s="9">
        <f>IF($D956="","",IFERROR(VLOOKUP($D956,'Plan comptable'!$H:$I,2,FALSE),"compte hors plan"))</f>
      </c>
      <c r="F956" s="9"/>
      <c r="G956" s="10"/>
      <c r="H956" s="11"/>
      <c r="I956" s="11"/>
      <c r="J956" s="10">
        <f>IF($D956="","",IF(AND($H956&lt;&gt;"",$I956&lt;&gt;""),"débit ET crédit",IF(AND($H956="",$I956=""),"montant manquant",IF(ISNA(MATCH($D956,'Plan comptable'!$H:$H,0)),"compte hors plan",IF(AND($A956&lt;&gt;"",YEAR($A956)&lt;&gt;Exercice),"hors exercice","")))))</f>
      </c>
    </row>
    <row r="957">
      <c r="A957" s="13"/>
      <c r="B957" s="10"/>
      <c r="C957" s="9"/>
      <c r="D957" s="20"/>
      <c r="E957" s="9">
        <f>IF($D957="","",IFERROR(VLOOKUP($D957,'Plan comptable'!$H:$I,2,FALSE),"compte hors plan"))</f>
      </c>
      <c r="F957" s="9"/>
      <c r="G957" s="10"/>
      <c r="H957" s="11"/>
      <c r="I957" s="11"/>
      <c r="J957" s="10">
        <f>IF($D957="","",IF(AND($H957&lt;&gt;"",$I957&lt;&gt;""),"débit ET crédit",IF(AND($H957="",$I957=""),"montant manquant",IF(ISNA(MATCH($D957,'Plan comptable'!$H:$H,0)),"compte hors plan",IF(AND($A957&lt;&gt;"",YEAR($A957)&lt;&gt;Exercice),"hors exercice","")))))</f>
      </c>
    </row>
    <row r="958">
      <c r="A958" s="13"/>
      <c r="B958" s="10"/>
      <c r="C958" s="9"/>
      <c r="D958" s="20"/>
      <c r="E958" s="9">
        <f>IF($D958="","",IFERROR(VLOOKUP($D958,'Plan comptable'!$H:$I,2,FALSE),"compte hors plan"))</f>
      </c>
      <c r="F958" s="9"/>
      <c r="G958" s="10"/>
      <c r="H958" s="11"/>
      <c r="I958" s="11"/>
      <c r="J958" s="10">
        <f>IF($D958="","",IF(AND($H958&lt;&gt;"",$I958&lt;&gt;""),"débit ET crédit",IF(AND($H958="",$I958=""),"montant manquant",IF(ISNA(MATCH($D958,'Plan comptable'!$H:$H,0)),"compte hors plan",IF(AND($A958&lt;&gt;"",YEAR($A958)&lt;&gt;Exercice),"hors exercice","")))))</f>
      </c>
    </row>
    <row r="959">
      <c r="A959" s="13"/>
      <c r="B959" s="10"/>
      <c r="C959" s="9"/>
      <c r="D959" s="20"/>
      <c r="E959" s="9">
        <f>IF($D959="","",IFERROR(VLOOKUP($D959,'Plan comptable'!$H:$I,2,FALSE),"compte hors plan"))</f>
      </c>
      <c r="F959" s="9"/>
      <c r="G959" s="10"/>
      <c r="H959" s="11"/>
      <c r="I959" s="11"/>
      <c r="J959" s="10">
        <f>IF($D959="","",IF(AND($H959&lt;&gt;"",$I959&lt;&gt;""),"débit ET crédit",IF(AND($H959="",$I959=""),"montant manquant",IF(ISNA(MATCH($D959,'Plan comptable'!$H:$H,0)),"compte hors plan",IF(AND($A959&lt;&gt;"",YEAR($A959)&lt;&gt;Exercice),"hors exercice","")))))</f>
      </c>
    </row>
    <row r="960">
      <c r="A960" s="13"/>
      <c r="B960" s="10"/>
      <c r="C960" s="9"/>
      <c r="D960" s="20"/>
      <c r="E960" s="9">
        <f>IF($D960="","",IFERROR(VLOOKUP($D960,'Plan comptable'!$H:$I,2,FALSE),"compte hors plan"))</f>
      </c>
      <c r="F960" s="9"/>
      <c r="G960" s="10"/>
      <c r="H960" s="11"/>
      <c r="I960" s="11"/>
      <c r="J960" s="10">
        <f>IF($D960="","",IF(AND($H960&lt;&gt;"",$I960&lt;&gt;""),"débit ET crédit",IF(AND($H960="",$I960=""),"montant manquant",IF(ISNA(MATCH($D960,'Plan comptable'!$H:$H,0)),"compte hors plan",IF(AND($A960&lt;&gt;"",YEAR($A960)&lt;&gt;Exercice),"hors exercice","")))))</f>
      </c>
    </row>
    <row r="961">
      <c r="A961" s="13"/>
      <c r="B961" s="10"/>
      <c r="C961" s="9"/>
      <c r="D961" s="20"/>
      <c r="E961" s="9">
        <f>IF($D961="","",IFERROR(VLOOKUP($D961,'Plan comptable'!$H:$I,2,FALSE),"compte hors plan"))</f>
      </c>
      <c r="F961" s="9"/>
      <c r="G961" s="10"/>
      <c r="H961" s="11"/>
      <c r="I961" s="11"/>
      <c r="J961" s="10">
        <f>IF($D961="","",IF(AND($H961&lt;&gt;"",$I961&lt;&gt;""),"débit ET crédit",IF(AND($H961="",$I961=""),"montant manquant",IF(ISNA(MATCH($D961,'Plan comptable'!$H:$H,0)),"compte hors plan",IF(AND($A961&lt;&gt;"",YEAR($A961)&lt;&gt;Exercice),"hors exercice","")))))</f>
      </c>
    </row>
    <row r="962">
      <c r="A962" s="13"/>
      <c r="B962" s="10"/>
      <c r="C962" s="9"/>
      <c r="D962" s="20"/>
      <c r="E962" s="9">
        <f>IF($D962="","",IFERROR(VLOOKUP($D962,'Plan comptable'!$H:$I,2,FALSE),"compte hors plan"))</f>
      </c>
      <c r="F962" s="9"/>
      <c r="G962" s="10"/>
      <c r="H962" s="11"/>
      <c r="I962" s="11"/>
      <c r="J962" s="10">
        <f>IF($D962="","",IF(AND($H962&lt;&gt;"",$I962&lt;&gt;""),"débit ET crédit",IF(AND($H962="",$I962=""),"montant manquant",IF(ISNA(MATCH($D962,'Plan comptable'!$H:$H,0)),"compte hors plan",IF(AND($A962&lt;&gt;"",YEAR($A962)&lt;&gt;Exercice),"hors exercice","")))))</f>
      </c>
    </row>
    <row r="963">
      <c r="A963" s="13"/>
      <c r="B963" s="10"/>
      <c r="C963" s="9"/>
      <c r="D963" s="20"/>
      <c r="E963" s="9">
        <f>IF($D963="","",IFERROR(VLOOKUP($D963,'Plan comptable'!$H:$I,2,FALSE),"compte hors plan"))</f>
      </c>
      <c r="F963" s="9"/>
      <c r="G963" s="10"/>
      <c r="H963" s="11"/>
      <c r="I963" s="11"/>
      <c r="J963" s="10">
        <f>IF($D963="","",IF(AND($H963&lt;&gt;"",$I963&lt;&gt;""),"débit ET crédit",IF(AND($H963="",$I963=""),"montant manquant",IF(ISNA(MATCH($D963,'Plan comptable'!$H:$H,0)),"compte hors plan",IF(AND($A963&lt;&gt;"",YEAR($A963)&lt;&gt;Exercice),"hors exercice","")))))</f>
      </c>
    </row>
    <row r="964">
      <c r="A964" s="13"/>
      <c r="B964" s="10"/>
      <c r="C964" s="9"/>
      <c r="D964" s="20"/>
      <c r="E964" s="9">
        <f>IF($D964="","",IFERROR(VLOOKUP($D964,'Plan comptable'!$H:$I,2,FALSE),"compte hors plan"))</f>
      </c>
      <c r="F964" s="9"/>
      <c r="G964" s="10"/>
      <c r="H964" s="11"/>
      <c r="I964" s="11"/>
      <c r="J964" s="10">
        <f>IF($D964="","",IF(AND($H964&lt;&gt;"",$I964&lt;&gt;""),"débit ET crédit",IF(AND($H964="",$I964=""),"montant manquant",IF(ISNA(MATCH($D964,'Plan comptable'!$H:$H,0)),"compte hors plan",IF(AND($A964&lt;&gt;"",YEAR($A964)&lt;&gt;Exercice),"hors exercice","")))))</f>
      </c>
    </row>
    <row r="965">
      <c r="A965" s="13"/>
      <c r="B965" s="10"/>
      <c r="C965" s="9"/>
      <c r="D965" s="20"/>
      <c r="E965" s="9">
        <f>IF($D965="","",IFERROR(VLOOKUP($D965,'Plan comptable'!$H:$I,2,FALSE),"compte hors plan"))</f>
      </c>
      <c r="F965" s="9"/>
      <c r="G965" s="10"/>
      <c r="H965" s="11"/>
      <c r="I965" s="11"/>
      <c r="J965" s="10">
        <f>IF($D965="","",IF(AND($H965&lt;&gt;"",$I965&lt;&gt;""),"débit ET crédit",IF(AND($H965="",$I965=""),"montant manquant",IF(ISNA(MATCH($D965,'Plan comptable'!$H:$H,0)),"compte hors plan",IF(AND($A965&lt;&gt;"",YEAR($A965)&lt;&gt;Exercice),"hors exercice","")))))</f>
      </c>
    </row>
    <row r="966">
      <c r="A966" s="13"/>
      <c r="B966" s="10"/>
      <c r="C966" s="9"/>
      <c r="D966" s="20"/>
      <c r="E966" s="9">
        <f>IF($D966="","",IFERROR(VLOOKUP($D966,'Plan comptable'!$H:$I,2,FALSE),"compte hors plan"))</f>
      </c>
      <c r="F966" s="9"/>
      <c r="G966" s="10"/>
      <c r="H966" s="11"/>
      <c r="I966" s="11"/>
      <c r="J966" s="10">
        <f>IF($D966="","",IF(AND($H966&lt;&gt;"",$I966&lt;&gt;""),"débit ET crédit",IF(AND($H966="",$I966=""),"montant manquant",IF(ISNA(MATCH($D966,'Plan comptable'!$H:$H,0)),"compte hors plan",IF(AND($A966&lt;&gt;"",YEAR($A966)&lt;&gt;Exercice),"hors exercice","")))))</f>
      </c>
    </row>
    <row r="967">
      <c r="A967" s="13"/>
      <c r="B967" s="10"/>
      <c r="C967" s="9"/>
      <c r="D967" s="20"/>
      <c r="E967" s="9">
        <f>IF($D967="","",IFERROR(VLOOKUP($D967,'Plan comptable'!$H:$I,2,FALSE),"compte hors plan"))</f>
      </c>
      <c r="F967" s="9"/>
      <c r="G967" s="10"/>
      <c r="H967" s="11"/>
      <c r="I967" s="11"/>
      <c r="J967" s="10">
        <f>IF($D967="","",IF(AND($H967&lt;&gt;"",$I967&lt;&gt;""),"débit ET crédit",IF(AND($H967="",$I967=""),"montant manquant",IF(ISNA(MATCH($D967,'Plan comptable'!$H:$H,0)),"compte hors plan",IF(AND($A967&lt;&gt;"",YEAR($A967)&lt;&gt;Exercice),"hors exercice","")))))</f>
      </c>
    </row>
    <row r="968">
      <c r="A968" s="13"/>
      <c r="B968" s="10"/>
      <c r="C968" s="9"/>
      <c r="D968" s="20"/>
      <c r="E968" s="9">
        <f>IF($D968="","",IFERROR(VLOOKUP($D968,'Plan comptable'!$H:$I,2,FALSE),"compte hors plan"))</f>
      </c>
      <c r="F968" s="9"/>
      <c r="G968" s="10"/>
      <c r="H968" s="11"/>
      <c r="I968" s="11"/>
      <c r="J968" s="10">
        <f>IF($D968="","",IF(AND($H968&lt;&gt;"",$I968&lt;&gt;""),"débit ET crédit",IF(AND($H968="",$I968=""),"montant manquant",IF(ISNA(MATCH($D968,'Plan comptable'!$H:$H,0)),"compte hors plan",IF(AND($A968&lt;&gt;"",YEAR($A968)&lt;&gt;Exercice),"hors exercice","")))))</f>
      </c>
    </row>
    <row r="969">
      <c r="A969" s="13"/>
      <c r="B969" s="10"/>
      <c r="C969" s="9"/>
      <c r="D969" s="20"/>
      <c r="E969" s="9">
        <f>IF($D969="","",IFERROR(VLOOKUP($D969,'Plan comptable'!$H:$I,2,FALSE),"compte hors plan"))</f>
      </c>
      <c r="F969" s="9"/>
      <c r="G969" s="10"/>
      <c r="H969" s="11"/>
      <c r="I969" s="11"/>
      <c r="J969" s="10">
        <f>IF($D969="","",IF(AND($H969&lt;&gt;"",$I969&lt;&gt;""),"débit ET crédit",IF(AND($H969="",$I969=""),"montant manquant",IF(ISNA(MATCH($D969,'Plan comptable'!$H:$H,0)),"compte hors plan",IF(AND($A969&lt;&gt;"",YEAR($A969)&lt;&gt;Exercice),"hors exercice","")))))</f>
      </c>
    </row>
    <row r="970">
      <c r="A970" s="13"/>
      <c r="B970" s="10"/>
      <c r="C970" s="9"/>
      <c r="D970" s="20"/>
      <c r="E970" s="9">
        <f>IF($D970="","",IFERROR(VLOOKUP($D970,'Plan comptable'!$H:$I,2,FALSE),"compte hors plan"))</f>
      </c>
      <c r="F970" s="9"/>
      <c r="G970" s="10"/>
      <c r="H970" s="11"/>
      <c r="I970" s="11"/>
      <c r="J970" s="10">
        <f>IF($D970="","",IF(AND($H970&lt;&gt;"",$I970&lt;&gt;""),"débit ET crédit",IF(AND($H970="",$I970=""),"montant manquant",IF(ISNA(MATCH($D970,'Plan comptable'!$H:$H,0)),"compte hors plan",IF(AND($A970&lt;&gt;"",YEAR($A970)&lt;&gt;Exercice),"hors exercice","")))))</f>
      </c>
    </row>
    <row r="971">
      <c r="A971" s="13"/>
      <c r="B971" s="10"/>
      <c r="C971" s="9"/>
      <c r="D971" s="20"/>
      <c r="E971" s="9">
        <f>IF($D971="","",IFERROR(VLOOKUP($D971,'Plan comptable'!$H:$I,2,FALSE),"compte hors plan"))</f>
      </c>
      <c r="F971" s="9"/>
      <c r="G971" s="10"/>
      <c r="H971" s="11"/>
      <c r="I971" s="11"/>
      <c r="J971" s="10">
        <f>IF($D971="","",IF(AND($H971&lt;&gt;"",$I971&lt;&gt;""),"débit ET crédit",IF(AND($H971="",$I971=""),"montant manquant",IF(ISNA(MATCH($D971,'Plan comptable'!$H:$H,0)),"compte hors plan",IF(AND($A971&lt;&gt;"",YEAR($A971)&lt;&gt;Exercice),"hors exercice","")))))</f>
      </c>
    </row>
    <row r="972">
      <c r="A972" s="13"/>
      <c r="B972" s="10"/>
      <c r="C972" s="9"/>
      <c r="D972" s="20"/>
      <c r="E972" s="9">
        <f>IF($D972="","",IFERROR(VLOOKUP($D972,'Plan comptable'!$H:$I,2,FALSE),"compte hors plan"))</f>
      </c>
      <c r="F972" s="9"/>
      <c r="G972" s="10"/>
      <c r="H972" s="11"/>
      <c r="I972" s="11"/>
      <c r="J972" s="10">
        <f>IF($D972="","",IF(AND($H972&lt;&gt;"",$I972&lt;&gt;""),"débit ET crédit",IF(AND($H972="",$I972=""),"montant manquant",IF(ISNA(MATCH($D972,'Plan comptable'!$H:$H,0)),"compte hors plan",IF(AND($A972&lt;&gt;"",YEAR($A972)&lt;&gt;Exercice),"hors exercice","")))))</f>
      </c>
    </row>
    <row r="973">
      <c r="A973" s="13"/>
      <c r="B973" s="10"/>
      <c r="C973" s="9"/>
      <c r="D973" s="20"/>
      <c r="E973" s="9">
        <f>IF($D973="","",IFERROR(VLOOKUP($D973,'Plan comptable'!$H:$I,2,FALSE),"compte hors plan"))</f>
      </c>
      <c r="F973" s="9"/>
      <c r="G973" s="10"/>
      <c r="H973" s="11"/>
      <c r="I973" s="11"/>
      <c r="J973" s="10">
        <f>IF($D973="","",IF(AND($H973&lt;&gt;"",$I973&lt;&gt;""),"débit ET crédit",IF(AND($H973="",$I973=""),"montant manquant",IF(ISNA(MATCH($D973,'Plan comptable'!$H:$H,0)),"compte hors plan",IF(AND($A973&lt;&gt;"",YEAR($A973)&lt;&gt;Exercice),"hors exercice","")))))</f>
      </c>
    </row>
    <row r="974">
      <c r="A974" s="13"/>
      <c r="B974" s="10"/>
      <c r="C974" s="9"/>
      <c r="D974" s="20"/>
      <c r="E974" s="9">
        <f>IF($D974="","",IFERROR(VLOOKUP($D974,'Plan comptable'!$H:$I,2,FALSE),"compte hors plan"))</f>
      </c>
      <c r="F974" s="9"/>
      <c r="G974" s="10"/>
      <c r="H974" s="11"/>
      <c r="I974" s="11"/>
      <c r="J974" s="10">
        <f>IF($D974="","",IF(AND($H974&lt;&gt;"",$I974&lt;&gt;""),"débit ET crédit",IF(AND($H974="",$I974=""),"montant manquant",IF(ISNA(MATCH($D974,'Plan comptable'!$H:$H,0)),"compte hors plan",IF(AND($A974&lt;&gt;"",YEAR($A974)&lt;&gt;Exercice),"hors exercice","")))))</f>
      </c>
    </row>
    <row r="975">
      <c r="A975" s="13"/>
      <c r="B975" s="10"/>
      <c r="C975" s="9"/>
      <c r="D975" s="20"/>
      <c r="E975" s="9">
        <f>IF($D975="","",IFERROR(VLOOKUP($D975,'Plan comptable'!$H:$I,2,FALSE),"compte hors plan"))</f>
      </c>
      <c r="F975" s="9"/>
      <c r="G975" s="10"/>
      <c r="H975" s="11"/>
      <c r="I975" s="11"/>
      <c r="J975" s="10">
        <f>IF($D975="","",IF(AND($H975&lt;&gt;"",$I975&lt;&gt;""),"débit ET crédit",IF(AND($H975="",$I975=""),"montant manquant",IF(ISNA(MATCH($D975,'Plan comptable'!$H:$H,0)),"compte hors plan",IF(AND($A975&lt;&gt;"",YEAR($A975)&lt;&gt;Exercice),"hors exercice","")))))</f>
      </c>
    </row>
    <row r="976">
      <c r="A976" s="13"/>
      <c r="B976" s="10"/>
      <c r="C976" s="9"/>
      <c r="D976" s="20"/>
      <c r="E976" s="9">
        <f>IF($D976="","",IFERROR(VLOOKUP($D976,'Plan comptable'!$H:$I,2,FALSE),"compte hors plan"))</f>
      </c>
      <c r="F976" s="9"/>
      <c r="G976" s="10"/>
      <c r="H976" s="11"/>
      <c r="I976" s="11"/>
      <c r="J976" s="10">
        <f>IF($D976="","",IF(AND($H976&lt;&gt;"",$I976&lt;&gt;""),"débit ET crédit",IF(AND($H976="",$I976=""),"montant manquant",IF(ISNA(MATCH($D976,'Plan comptable'!$H:$H,0)),"compte hors plan",IF(AND($A976&lt;&gt;"",YEAR($A976)&lt;&gt;Exercice),"hors exercice","")))))</f>
      </c>
    </row>
    <row r="977">
      <c r="A977" s="13"/>
      <c r="B977" s="10"/>
      <c r="C977" s="9"/>
      <c r="D977" s="20"/>
      <c r="E977" s="9">
        <f>IF($D977="","",IFERROR(VLOOKUP($D977,'Plan comptable'!$H:$I,2,FALSE),"compte hors plan"))</f>
      </c>
      <c r="F977" s="9"/>
      <c r="G977" s="10"/>
      <c r="H977" s="11"/>
      <c r="I977" s="11"/>
      <c r="J977" s="10">
        <f>IF($D977="","",IF(AND($H977&lt;&gt;"",$I977&lt;&gt;""),"débit ET crédit",IF(AND($H977="",$I977=""),"montant manquant",IF(ISNA(MATCH($D977,'Plan comptable'!$H:$H,0)),"compte hors plan",IF(AND($A977&lt;&gt;"",YEAR($A977)&lt;&gt;Exercice),"hors exercice","")))))</f>
      </c>
    </row>
    <row r="978">
      <c r="A978" s="13"/>
      <c r="B978" s="10"/>
      <c r="C978" s="9"/>
      <c r="D978" s="20"/>
      <c r="E978" s="9">
        <f>IF($D978="","",IFERROR(VLOOKUP($D978,'Plan comptable'!$H:$I,2,FALSE),"compte hors plan"))</f>
      </c>
      <c r="F978" s="9"/>
      <c r="G978" s="10"/>
      <c r="H978" s="11"/>
      <c r="I978" s="11"/>
      <c r="J978" s="10">
        <f>IF($D978="","",IF(AND($H978&lt;&gt;"",$I978&lt;&gt;""),"débit ET crédit",IF(AND($H978="",$I978=""),"montant manquant",IF(ISNA(MATCH($D978,'Plan comptable'!$H:$H,0)),"compte hors plan",IF(AND($A978&lt;&gt;"",YEAR($A978)&lt;&gt;Exercice),"hors exercice","")))))</f>
      </c>
    </row>
    <row r="979">
      <c r="A979" s="13"/>
      <c r="B979" s="10"/>
      <c r="C979" s="9"/>
      <c r="D979" s="20"/>
      <c r="E979" s="9">
        <f>IF($D979="","",IFERROR(VLOOKUP($D979,'Plan comptable'!$H:$I,2,FALSE),"compte hors plan"))</f>
      </c>
      <c r="F979" s="9"/>
      <c r="G979" s="10"/>
      <c r="H979" s="11"/>
      <c r="I979" s="11"/>
      <c r="J979" s="10">
        <f>IF($D979="","",IF(AND($H979&lt;&gt;"",$I979&lt;&gt;""),"débit ET crédit",IF(AND($H979="",$I979=""),"montant manquant",IF(ISNA(MATCH($D979,'Plan comptable'!$H:$H,0)),"compte hors plan",IF(AND($A979&lt;&gt;"",YEAR($A979)&lt;&gt;Exercice),"hors exercice","")))))</f>
      </c>
    </row>
    <row r="980">
      <c r="A980" s="13"/>
      <c r="B980" s="10"/>
      <c r="C980" s="9"/>
      <c r="D980" s="20"/>
      <c r="E980" s="9">
        <f>IF($D980="","",IFERROR(VLOOKUP($D980,'Plan comptable'!$H:$I,2,FALSE),"compte hors plan"))</f>
      </c>
      <c r="F980" s="9"/>
      <c r="G980" s="10"/>
      <c r="H980" s="11"/>
      <c r="I980" s="11"/>
      <c r="J980" s="10">
        <f>IF($D980="","",IF(AND($H980&lt;&gt;"",$I980&lt;&gt;""),"débit ET crédit",IF(AND($H980="",$I980=""),"montant manquant",IF(ISNA(MATCH($D980,'Plan comptable'!$H:$H,0)),"compte hors plan",IF(AND($A980&lt;&gt;"",YEAR($A980)&lt;&gt;Exercice),"hors exercice","")))))</f>
      </c>
    </row>
    <row r="981">
      <c r="A981" s="13"/>
      <c r="B981" s="10"/>
      <c r="C981" s="9"/>
      <c r="D981" s="20"/>
      <c r="E981" s="9">
        <f>IF($D981="","",IFERROR(VLOOKUP($D981,'Plan comptable'!$H:$I,2,FALSE),"compte hors plan"))</f>
      </c>
      <c r="F981" s="9"/>
      <c r="G981" s="10"/>
      <c r="H981" s="11"/>
      <c r="I981" s="11"/>
      <c r="J981" s="10">
        <f>IF($D981="","",IF(AND($H981&lt;&gt;"",$I981&lt;&gt;""),"débit ET crédit",IF(AND($H981="",$I981=""),"montant manquant",IF(ISNA(MATCH($D981,'Plan comptable'!$H:$H,0)),"compte hors plan",IF(AND($A981&lt;&gt;"",YEAR($A981)&lt;&gt;Exercice),"hors exercice","")))))</f>
      </c>
    </row>
    <row r="982">
      <c r="A982" s="13"/>
      <c r="B982" s="10"/>
      <c r="C982" s="9"/>
      <c r="D982" s="20"/>
      <c r="E982" s="9">
        <f>IF($D982="","",IFERROR(VLOOKUP($D982,'Plan comptable'!$H:$I,2,FALSE),"compte hors plan"))</f>
      </c>
      <c r="F982" s="9"/>
      <c r="G982" s="10"/>
      <c r="H982" s="11"/>
      <c r="I982" s="11"/>
      <c r="J982" s="10">
        <f>IF($D982="","",IF(AND($H982&lt;&gt;"",$I982&lt;&gt;""),"débit ET crédit",IF(AND($H982="",$I982=""),"montant manquant",IF(ISNA(MATCH($D982,'Plan comptable'!$H:$H,0)),"compte hors plan",IF(AND($A982&lt;&gt;"",YEAR($A982)&lt;&gt;Exercice),"hors exercice","")))))</f>
      </c>
    </row>
    <row r="983">
      <c r="A983" s="13"/>
      <c r="B983" s="10"/>
      <c r="C983" s="9"/>
      <c r="D983" s="20"/>
      <c r="E983" s="9">
        <f>IF($D983="","",IFERROR(VLOOKUP($D983,'Plan comptable'!$H:$I,2,FALSE),"compte hors plan"))</f>
      </c>
      <c r="F983" s="9"/>
      <c r="G983" s="10"/>
      <c r="H983" s="11"/>
      <c r="I983" s="11"/>
      <c r="J983" s="10">
        <f>IF($D983="","",IF(AND($H983&lt;&gt;"",$I983&lt;&gt;""),"débit ET crédit",IF(AND($H983="",$I983=""),"montant manquant",IF(ISNA(MATCH($D983,'Plan comptable'!$H:$H,0)),"compte hors plan",IF(AND($A983&lt;&gt;"",YEAR($A983)&lt;&gt;Exercice),"hors exercice","")))))</f>
      </c>
    </row>
    <row r="984">
      <c r="A984" s="13"/>
      <c r="B984" s="10"/>
      <c r="C984" s="9"/>
      <c r="D984" s="20"/>
      <c r="E984" s="9">
        <f>IF($D984="","",IFERROR(VLOOKUP($D984,'Plan comptable'!$H:$I,2,FALSE),"compte hors plan"))</f>
      </c>
      <c r="F984" s="9"/>
      <c r="G984" s="10"/>
      <c r="H984" s="11"/>
      <c r="I984" s="11"/>
      <c r="J984" s="10">
        <f>IF($D984="","",IF(AND($H984&lt;&gt;"",$I984&lt;&gt;""),"débit ET crédit",IF(AND($H984="",$I984=""),"montant manquant",IF(ISNA(MATCH($D984,'Plan comptable'!$H:$H,0)),"compte hors plan",IF(AND($A984&lt;&gt;"",YEAR($A984)&lt;&gt;Exercice),"hors exercice","")))))</f>
      </c>
    </row>
    <row r="985">
      <c r="A985" s="13"/>
      <c r="B985" s="10"/>
      <c r="C985" s="9"/>
      <c r="D985" s="20"/>
      <c r="E985" s="9">
        <f>IF($D985="","",IFERROR(VLOOKUP($D985,'Plan comptable'!$H:$I,2,FALSE),"compte hors plan"))</f>
      </c>
      <c r="F985" s="9"/>
      <c r="G985" s="10"/>
      <c r="H985" s="11"/>
      <c r="I985" s="11"/>
      <c r="J985" s="10">
        <f>IF($D985="","",IF(AND($H985&lt;&gt;"",$I985&lt;&gt;""),"débit ET crédit",IF(AND($H985="",$I985=""),"montant manquant",IF(ISNA(MATCH($D985,'Plan comptable'!$H:$H,0)),"compte hors plan",IF(AND($A985&lt;&gt;"",YEAR($A985)&lt;&gt;Exercice),"hors exercice","")))))</f>
      </c>
    </row>
    <row r="986">
      <c r="A986" s="13"/>
      <c r="B986" s="10"/>
      <c r="C986" s="9"/>
      <c r="D986" s="20"/>
      <c r="E986" s="9">
        <f>IF($D986="","",IFERROR(VLOOKUP($D986,'Plan comptable'!$H:$I,2,FALSE),"compte hors plan"))</f>
      </c>
      <c r="F986" s="9"/>
      <c r="G986" s="10"/>
      <c r="H986" s="11"/>
      <c r="I986" s="11"/>
      <c r="J986" s="10">
        <f>IF($D986="","",IF(AND($H986&lt;&gt;"",$I986&lt;&gt;""),"débit ET crédit",IF(AND($H986="",$I986=""),"montant manquant",IF(ISNA(MATCH($D986,'Plan comptable'!$H:$H,0)),"compte hors plan",IF(AND($A986&lt;&gt;"",YEAR($A986)&lt;&gt;Exercice),"hors exercice","")))))</f>
      </c>
    </row>
    <row r="987">
      <c r="A987" s="13"/>
      <c r="B987" s="10"/>
      <c r="C987" s="9"/>
      <c r="D987" s="20"/>
      <c r="E987" s="9">
        <f>IF($D987="","",IFERROR(VLOOKUP($D987,'Plan comptable'!$H:$I,2,FALSE),"compte hors plan"))</f>
      </c>
      <c r="F987" s="9"/>
      <c r="G987" s="10"/>
      <c r="H987" s="11"/>
      <c r="I987" s="11"/>
      <c r="J987" s="10">
        <f>IF($D987="","",IF(AND($H987&lt;&gt;"",$I987&lt;&gt;""),"débit ET crédit",IF(AND($H987="",$I987=""),"montant manquant",IF(ISNA(MATCH($D987,'Plan comptable'!$H:$H,0)),"compte hors plan",IF(AND($A987&lt;&gt;"",YEAR($A987)&lt;&gt;Exercice),"hors exercice","")))))</f>
      </c>
    </row>
    <row r="988">
      <c r="A988" s="13"/>
      <c r="B988" s="10"/>
      <c r="C988" s="9"/>
      <c r="D988" s="20"/>
      <c r="E988" s="9">
        <f>IF($D988="","",IFERROR(VLOOKUP($D988,'Plan comptable'!$H:$I,2,FALSE),"compte hors plan"))</f>
      </c>
      <c r="F988" s="9"/>
      <c r="G988" s="10"/>
      <c r="H988" s="11"/>
      <c r="I988" s="11"/>
      <c r="J988" s="10">
        <f>IF($D988="","",IF(AND($H988&lt;&gt;"",$I988&lt;&gt;""),"débit ET crédit",IF(AND($H988="",$I988=""),"montant manquant",IF(ISNA(MATCH($D988,'Plan comptable'!$H:$H,0)),"compte hors plan",IF(AND($A988&lt;&gt;"",YEAR($A988)&lt;&gt;Exercice),"hors exercice","")))))</f>
      </c>
    </row>
    <row r="989">
      <c r="A989" s="13"/>
      <c r="B989" s="10"/>
      <c r="C989" s="9"/>
      <c r="D989" s="20"/>
      <c r="E989" s="9">
        <f>IF($D989="","",IFERROR(VLOOKUP($D989,'Plan comptable'!$H:$I,2,FALSE),"compte hors plan"))</f>
      </c>
      <c r="F989" s="9"/>
      <c r="G989" s="10"/>
      <c r="H989" s="11"/>
      <c r="I989" s="11"/>
      <c r="J989" s="10">
        <f>IF($D989="","",IF(AND($H989&lt;&gt;"",$I989&lt;&gt;""),"débit ET crédit",IF(AND($H989="",$I989=""),"montant manquant",IF(ISNA(MATCH($D989,'Plan comptable'!$H:$H,0)),"compte hors plan",IF(AND($A989&lt;&gt;"",YEAR($A989)&lt;&gt;Exercice),"hors exercice","")))))</f>
      </c>
    </row>
    <row r="990">
      <c r="A990" s="13"/>
      <c r="B990" s="10"/>
      <c r="C990" s="9"/>
      <c r="D990" s="20"/>
      <c r="E990" s="9">
        <f>IF($D990="","",IFERROR(VLOOKUP($D990,'Plan comptable'!$H:$I,2,FALSE),"compte hors plan"))</f>
      </c>
      <c r="F990" s="9"/>
      <c r="G990" s="10"/>
      <c r="H990" s="11"/>
      <c r="I990" s="11"/>
      <c r="J990" s="10">
        <f>IF($D990="","",IF(AND($H990&lt;&gt;"",$I990&lt;&gt;""),"débit ET crédit",IF(AND($H990="",$I990=""),"montant manquant",IF(ISNA(MATCH($D990,'Plan comptable'!$H:$H,0)),"compte hors plan",IF(AND($A990&lt;&gt;"",YEAR($A990)&lt;&gt;Exercice),"hors exercice","")))))</f>
      </c>
    </row>
    <row r="991">
      <c r="A991" s="13"/>
      <c r="B991" s="10"/>
      <c r="C991" s="9"/>
      <c r="D991" s="20"/>
      <c r="E991" s="9">
        <f>IF($D991="","",IFERROR(VLOOKUP($D991,'Plan comptable'!$H:$I,2,FALSE),"compte hors plan"))</f>
      </c>
      <c r="F991" s="9"/>
      <c r="G991" s="10"/>
      <c r="H991" s="11"/>
      <c r="I991" s="11"/>
      <c r="J991" s="10">
        <f>IF($D991="","",IF(AND($H991&lt;&gt;"",$I991&lt;&gt;""),"débit ET crédit",IF(AND($H991="",$I991=""),"montant manquant",IF(ISNA(MATCH($D991,'Plan comptable'!$H:$H,0)),"compte hors plan",IF(AND($A991&lt;&gt;"",YEAR($A991)&lt;&gt;Exercice),"hors exercice","")))))</f>
      </c>
    </row>
    <row r="992">
      <c r="A992" s="13"/>
      <c r="B992" s="10"/>
      <c r="C992" s="9"/>
      <c r="D992" s="20"/>
      <c r="E992" s="9">
        <f>IF($D992="","",IFERROR(VLOOKUP($D992,'Plan comptable'!$H:$I,2,FALSE),"compte hors plan"))</f>
      </c>
      <c r="F992" s="9"/>
      <c r="G992" s="10"/>
      <c r="H992" s="11"/>
      <c r="I992" s="11"/>
      <c r="J992" s="10">
        <f>IF($D992="","",IF(AND($H992&lt;&gt;"",$I992&lt;&gt;""),"débit ET crédit",IF(AND($H992="",$I992=""),"montant manquant",IF(ISNA(MATCH($D992,'Plan comptable'!$H:$H,0)),"compte hors plan",IF(AND($A992&lt;&gt;"",YEAR($A992)&lt;&gt;Exercice),"hors exercice","")))))</f>
      </c>
    </row>
    <row r="993">
      <c r="A993" s="13"/>
      <c r="B993" s="10"/>
      <c r="C993" s="9"/>
      <c r="D993" s="20"/>
      <c r="E993" s="9">
        <f>IF($D993="","",IFERROR(VLOOKUP($D993,'Plan comptable'!$H:$I,2,FALSE),"compte hors plan"))</f>
      </c>
      <c r="F993" s="9"/>
      <c r="G993" s="10"/>
      <c r="H993" s="11"/>
      <c r="I993" s="11"/>
      <c r="J993" s="10">
        <f>IF($D993="","",IF(AND($H993&lt;&gt;"",$I993&lt;&gt;""),"débit ET crédit",IF(AND($H993="",$I993=""),"montant manquant",IF(ISNA(MATCH($D993,'Plan comptable'!$H:$H,0)),"compte hors plan",IF(AND($A993&lt;&gt;"",YEAR($A993)&lt;&gt;Exercice),"hors exercice","")))))</f>
      </c>
    </row>
    <row r="994">
      <c r="A994" s="13"/>
      <c r="B994" s="10"/>
      <c r="C994" s="9"/>
      <c r="D994" s="20"/>
      <c r="E994" s="9">
        <f>IF($D994="","",IFERROR(VLOOKUP($D994,'Plan comptable'!$H:$I,2,FALSE),"compte hors plan"))</f>
      </c>
      <c r="F994" s="9"/>
      <c r="G994" s="10"/>
      <c r="H994" s="11"/>
      <c r="I994" s="11"/>
      <c r="J994" s="10">
        <f>IF($D994="","",IF(AND($H994&lt;&gt;"",$I994&lt;&gt;""),"débit ET crédit",IF(AND($H994="",$I994=""),"montant manquant",IF(ISNA(MATCH($D994,'Plan comptable'!$H:$H,0)),"compte hors plan",IF(AND($A994&lt;&gt;"",YEAR($A994)&lt;&gt;Exercice),"hors exercice","")))))</f>
      </c>
    </row>
    <row r="995">
      <c r="A995" s="13"/>
      <c r="B995" s="10"/>
      <c r="C995" s="9"/>
      <c r="D995" s="20"/>
      <c r="E995" s="9">
        <f>IF($D995="","",IFERROR(VLOOKUP($D995,'Plan comptable'!$H:$I,2,FALSE),"compte hors plan"))</f>
      </c>
      <c r="F995" s="9"/>
      <c r="G995" s="10"/>
      <c r="H995" s="11"/>
      <c r="I995" s="11"/>
      <c r="J995" s="10">
        <f>IF($D995="","",IF(AND($H995&lt;&gt;"",$I995&lt;&gt;""),"débit ET crédit",IF(AND($H995="",$I995=""),"montant manquant",IF(ISNA(MATCH($D995,'Plan comptable'!$H:$H,0)),"compte hors plan",IF(AND($A995&lt;&gt;"",YEAR($A995)&lt;&gt;Exercice),"hors exercice","")))))</f>
      </c>
    </row>
    <row r="996">
      <c r="A996" s="13"/>
      <c r="B996" s="10"/>
      <c r="C996" s="9"/>
      <c r="D996" s="20"/>
      <c r="E996" s="9">
        <f>IF($D996="","",IFERROR(VLOOKUP($D996,'Plan comptable'!$H:$I,2,FALSE),"compte hors plan"))</f>
      </c>
      <c r="F996" s="9"/>
      <c r="G996" s="10"/>
      <c r="H996" s="11"/>
      <c r="I996" s="11"/>
      <c r="J996" s="10">
        <f>IF($D996="","",IF(AND($H996&lt;&gt;"",$I996&lt;&gt;""),"débit ET crédit",IF(AND($H996="",$I996=""),"montant manquant",IF(ISNA(MATCH($D996,'Plan comptable'!$H:$H,0)),"compte hors plan",IF(AND($A996&lt;&gt;"",YEAR($A996)&lt;&gt;Exercice),"hors exercice","")))))</f>
      </c>
    </row>
    <row r="997">
      <c r="A997" s="13"/>
      <c r="B997" s="10"/>
      <c r="C997" s="9"/>
      <c r="D997" s="20"/>
      <c r="E997" s="9">
        <f>IF($D997="","",IFERROR(VLOOKUP($D997,'Plan comptable'!$H:$I,2,FALSE),"compte hors plan"))</f>
      </c>
      <c r="F997" s="9"/>
      <c r="G997" s="10"/>
      <c r="H997" s="11"/>
      <c r="I997" s="11"/>
      <c r="J997" s="10">
        <f>IF($D997="","",IF(AND($H997&lt;&gt;"",$I997&lt;&gt;""),"débit ET crédit",IF(AND($H997="",$I997=""),"montant manquant",IF(ISNA(MATCH($D997,'Plan comptable'!$H:$H,0)),"compte hors plan",IF(AND($A997&lt;&gt;"",YEAR($A997)&lt;&gt;Exercice),"hors exercice","")))))</f>
      </c>
    </row>
    <row r="998">
      <c r="A998" s="13"/>
      <c r="B998" s="10"/>
      <c r="C998" s="9"/>
      <c r="D998" s="20"/>
      <c r="E998" s="9">
        <f>IF($D998="","",IFERROR(VLOOKUP($D998,'Plan comptable'!$H:$I,2,FALSE),"compte hors plan"))</f>
      </c>
      <c r="F998" s="9"/>
      <c r="G998" s="10"/>
      <c r="H998" s="11"/>
      <c r="I998" s="11"/>
      <c r="J998" s="10">
        <f>IF($D998="","",IF(AND($H998&lt;&gt;"",$I998&lt;&gt;""),"débit ET crédit",IF(AND($H998="",$I998=""),"montant manquant",IF(ISNA(MATCH($D998,'Plan comptable'!$H:$H,0)),"compte hors plan",IF(AND($A998&lt;&gt;"",YEAR($A998)&lt;&gt;Exercice),"hors exercice","")))))</f>
      </c>
    </row>
    <row r="999">
      <c r="A999" s="13"/>
      <c r="B999" s="10"/>
      <c r="C999" s="9"/>
      <c r="D999" s="20"/>
      <c r="E999" s="9">
        <f>IF($D999="","",IFERROR(VLOOKUP($D999,'Plan comptable'!$H:$I,2,FALSE),"compte hors plan"))</f>
      </c>
      <c r="F999" s="9"/>
      <c r="G999" s="10"/>
      <c r="H999" s="11"/>
      <c r="I999" s="11"/>
      <c r="J999" s="10">
        <f>IF($D999="","",IF(AND($H999&lt;&gt;"",$I999&lt;&gt;""),"débit ET crédit",IF(AND($H999="",$I999=""),"montant manquant",IF(ISNA(MATCH($D999,'Plan comptable'!$H:$H,0)),"compte hors plan",IF(AND($A999&lt;&gt;"",YEAR($A999)&lt;&gt;Exercice),"hors exercice","")))))</f>
      </c>
    </row>
    <row r="1000">
      <c r="A1000" s="13"/>
      <c r="B1000" s="10"/>
      <c r="C1000" s="9"/>
      <c r="D1000" s="20"/>
      <c r="E1000" s="9">
        <f>IF($D1000="","",IFERROR(VLOOKUP($D1000,'Plan comptable'!$H:$I,2,FALSE),"compte hors plan"))</f>
      </c>
      <c r="F1000" s="9"/>
      <c r="G1000" s="10"/>
      <c r="H1000" s="11"/>
      <c r="I1000" s="11"/>
      <c r="J1000" s="10">
        <f>IF($D1000="","",IF(AND($H1000&lt;&gt;"",$I1000&lt;&gt;""),"débit ET crédit",IF(AND($H1000="",$I1000=""),"montant manquant",IF(ISNA(MATCH($D1000,'Plan comptable'!$H:$H,0)),"compte hors plan",IF(AND($A1000&lt;&gt;"",YEAR($A1000)&lt;&gt;Exercice),"hors exercice","")))))</f>
      </c>
    </row>
    <row r="1001">
      <c r="A1001" s="13"/>
      <c r="B1001" s="10"/>
      <c r="C1001" s="9"/>
      <c r="D1001" s="20"/>
      <c r="E1001" s="9">
        <f>IF($D1001="","",IFERROR(VLOOKUP($D1001,'Plan comptable'!$H:$I,2,FALSE),"compte hors plan"))</f>
      </c>
      <c r="F1001" s="9"/>
      <c r="G1001" s="10"/>
      <c r="H1001" s="11"/>
      <c r="I1001" s="11"/>
      <c r="J1001" s="10">
        <f>IF($D1001="","",IF(AND($H1001&lt;&gt;"",$I1001&lt;&gt;""),"débit ET crédit",IF(AND($H1001="",$I1001=""),"montant manquant",IF(ISNA(MATCH($D1001,'Plan comptable'!$H:$H,0)),"compte hors plan",IF(AND($A1001&lt;&gt;"",YEAR($A1001)&lt;&gt;Exercice),"hors exercice","")))))</f>
      </c>
    </row>
    <row r="1002">
      <c r="A1002" s="13"/>
      <c r="B1002" s="10"/>
      <c r="C1002" s="9"/>
      <c r="D1002" s="20"/>
      <c r="E1002" s="9">
        <f>IF($D1002="","",IFERROR(VLOOKUP($D1002,'Plan comptable'!$H:$I,2,FALSE),"compte hors plan"))</f>
      </c>
      <c r="F1002" s="9"/>
      <c r="G1002" s="10"/>
      <c r="H1002" s="11"/>
      <c r="I1002" s="11"/>
      <c r="J1002" s="10">
        <f>IF($D1002="","",IF(AND($H1002&lt;&gt;"",$I1002&lt;&gt;""),"débit ET crédit",IF(AND($H1002="",$I1002=""),"montant manquant",IF(ISNA(MATCH($D1002,'Plan comptable'!$H:$H,0)),"compte hors plan",IF(AND($A1002&lt;&gt;"",YEAR($A1002)&lt;&gt;Exercice),"hors exercice","")))))</f>
      </c>
    </row>
    <row r="1003">
      <c r="A1003" s="13"/>
      <c r="B1003" s="10"/>
      <c r="C1003" s="9"/>
      <c r="D1003" s="20"/>
      <c r="E1003" s="9">
        <f>IF($D1003="","",IFERROR(VLOOKUP($D1003,'Plan comptable'!$H:$I,2,FALSE),"compte hors plan"))</f>
      </c>
      <c r="F1003" s="9"/>
      <c r="G1003" s="10"/>
      <c r="H1003" s="11"/>
      <c r="I1003" s="11"/>
      <c r="J1003" s="10">
        <f>IF($D1003="","",IF(AND($H1003&lt;&gt;"",$I1003&lt;&gt;""),"débit ET crédit",IF(AND($H1003="",$I1003=""),"montant manquant",IF(ISNA(MATCH($D1003,'Plan comptable'!$H:$H,0)),"compte hors plan",IF(AND($A1003&lt;&gt;"",YEAR($A1003)&lt;&gt;Exercice),"hors exercice","")))))</f>
      </c>
    </row>
    <row r="1004">
      <c r="A1004" s="13"/>
      <c r="B1004" s="10"/>
      <c r="C1004" s="9"/>
      <c r="D1004" s="20"/>
      <c r="E1004" s="9">
        <f>IF($D1004="","",IFERROR(VLOOKUP($D1004,'Plan comptable'!$H:$I,2,FALSE),"compte hors plan"))</f>
      </c>
      <c r="F1004" s="9"/>
      <c r="G1004" s="10"/>
      <c r="H1004" s="11"/>
      <c r="I1004" s="11"/>
      <c r="J1004" s="10">
        <f>IF($D1004="","",IF(AND($H1004&lt;&gt;"",$I1004&lt;&gt;""),"débit ET crédit",IF(AND($H1004="",$I1004=""),"montant manquant",IF(ISNA(MATCH($D1004,'Plan comptable'!$H:$H,0)),"compte hors plan",IF(AND($A1004&lt;&gt;"",YEAR($A1004)&lt;&gt;Exercice),"hors exercice","")))))</f>
      </c>
    </row>
    <row r="1005">
      <c r="A1005" s="13"/>
      <c r="B1005" s="10"/>
      <c r="C1005" s="9"/>
      <c r="D1005" s="20"/>
      <c r="E1005" s="9">
        <f>IF($D1005="","",IFERROR(VLOOKUP($D1005,'Plan comptable'!$H:$I,2,FALSE),"compte hors plan"))</f>
      </c>
      <c r="F1005" s="9"/>
      <c r="G1005" s="10"/>
      <c r="H1005" s="11"/>
      <c r="I1005" s="11"/>
      <c r="J1005" s="10">
        <f>IF($D1005="","",IF(AND($H1005&lt;&gt;"",$I1005&lt;&gt;""),"débit ET crédit",IF(AND($H1005="",$I1005=""),"montant manquant",IF(ISNA(MATCH($D1005,'Plan comptable'!$H:$H,0)),"compte hors plan",IF(AND($A1005&lt;&gt;"",YEAR($A1005)&lt;&gt;Exercice),"hors exercice","")))))</f>
      </c>
    </row>
    <row r="1006">
      <c r="A1006" s="13"/>
      <c r="B1006" s="10"/>
      <c r="C1006" s="9"/>
      <c r="D1006" s="20"/>
      <c r="E1006" s="9">
        <f>IF($D1006="","",IFERROR(VLOOKUP($D1006,'Plan comptable'!$H:$I,2,FALSE),"compte hors plan"))</f>
      </c>
      <c r="F1006" s="9"/>
      <c r="G1006" s="10"/>
      <c r="H1006" s="11"/>
      <c r="I1006" s="11"/>
      <c r="J1006" s="10">
        <f>IF($D1006="","",IF(AND($H1006&lt;&gt;"",$I1006&lt;&gt;""),"débit ET crédit",IF(AND($H1006="",$I1006=""),"montant manquant",IF(ISNA(MATCH($D1006,'Plan comptable'!$H:$H,0)),"compte hors plan",IF(AND($A1006&lt;&gt;"",YEAR($A1006)&lt;&gt;Exercice),"hors exercice","")))))</f>
      </c>
    </row>
    <row r="1007">
      <c r="A1007" s="13"/>
      <c r="B1007" s="10"/>
      <c r="C1007" s="9"/>
      <c r="D1007" s="20"/>
      <c r="E1007" s="9">
        <f>IF($D1007="","",IFERROR(VLOOKUP($D1007,'Plan comptable'!$H:$I,2,FALSE),"compte hors plan"))</f>
      </c>
      <c r="F1007" s="9"/>
      <c r="G1007" s="10"/>
      <c r="H1007" s="11"/>
      <c r="I1007" s="11"/>
      <c r="J1007" s="10">
        <f>IF($D1007="","",IF(AND($H1007&lt;&gt;"",$I1007&lt;&gt;""),"débit ET crédit",IF(AND($H1007="",$I1007=""),"montant manquant",IF(ISNA(MATCH($D1007,'Plan comptable'!$H:$H,0)),"compte hors plan",IF(AND($A1007&lt;&gt;"",YEAR($A1007)&lt;&gt;Exercice),"hors exercice","")))))</f>
      </c>
    </row>
    <row r="1008">
      <c r="A1008" s="13"/>
      <c r="B1008" s="10"/>
      <c r="C1008" s="9"/>
      <c r="D1008" s="20"/>
      <c r="E1008" s="9">
        <f>IF($D1008="","",IFERROR(VLOOKUP($D1008,'Plan comptable'!$H:$I,2,FALSE),"compte hors plan"))</f>
      </c>
      <c r="F1008" s="9"/>
      <c r="G1008" s="10"/>
      <c r="H1008" s="11"/>
      <c r="I1008" s="11"/>
      <c r="J1008" s="10">
        <f>IF($D1008="","",IF(AND($H1008&lt;&gt;"",$I1008&lt;&gt;""),"débit ET crédit",IF(AND($H1008="",$I1008=""),"montant manquant",IF(ISNA(MATCH($D1008,'Plan comptable'!$H:$H,0)),"compte hors plan",IF(AND($A1008&lt;&gt;"",YEAR($A1008)&lt;&gt;Exercice),"hors exercice","")))))</f>
      </c>
    </row>
    <row r="1009">
      <c r="A1009" s="13"/>
      <c r="B1009" s="10"/>
      <c r="C1009" s="9"/>
      <c r="D1009" s="20"/>
      <c r="E1009" s="9">
        <f>IF($D1009="","",IFERROR(VLOOKUP($D1009,'Plan comptable'!$H:$I,2,FALSE),"compte hors plan"))</f>
      </c>
      <c r="F1009" s="9"/>
      <c r="G1009" s="10"/>
      <c r="H1009" s="11"/>
      <c r="I1009" s="11"/>
      <c r="J1009" s="10">
        <f>IF($D1009="","",IF(AND($H1009&lt;&gt;"",$I1009&lt;&gt;""),"débit ET crédit",IF(AND($H1009="",$I1009=""),"montant manquant",IF(ISNA(MATCH($D1009,'Plan comptable'!$H:$H,0)),"compte hors plan",IF(AND($A1009&lt;&gt;"",YEAR($A1009)&lt;&gt;Exercice),"hors exercice","")))))</f>
      </c>
    </row>
    <row r="1010">
      <c r="A1010" s="13"/>
      <c r="B1010" s="10"/>
      <c r="C1010" s="9"/>
      <c r="D1010" s="20"/>
      <c r="E1010" s="9">
        <f>IF($D1010="","",IFERROR(VLOOKUP($D1010,'Plan comptable'!$H:$I,2,FALSE),"compte hors plan"))</f>
      </c>
      <c r="F1010" s="9"/>
      <c r="G1010" s="10"/>
      <c r="H1010" s="11"/>
      <c r="I1010" s="11"/>
      <c r="J1010" s="10">
        <f>IF($D1010="","",IF(AND($H1010&lt;&gt;"",$I1010&lt;&gt;""),"débit ET crédit",IF(AND($H1010="",$I1010=""),"montant manquant",IF(ISNA(MATCH($D1010,'Plan comptable'!$H:$H,0)),"compte hors plan",IF(AND($A1010&lt;&gt;"",YEAR($A1010)&lt;&gt;Exercice),"hors exercice","")))))</f>
      </c>
    </row>
    <row r="1011">
      <c r="A1011" s="13"/>
      <c r="B1011" s="10"/>
      <c r="C1011" s="9"/>
      <c r="D1011" s="20"/>
      <c r="E1011" s="9">
        <f>IF($D1011="","",IFERROR(VLOOKUP($D1011,'Plan comptable'!$H:$I,2,FALSE),"compte hors plan"))</f>
      </c>
      <c r="F1011" s="9"/>
      <c r="G1011" s="10"/>
      <c r="H1011" s="11"/>
      <c r="I1011" s="11"/>
      <c r="J1011" s="10">
        <f>IF($D1011="","",IF(AND($H1011&lt;&gt;"",$I1011&lt;&gt;""),"débit ET crédit",IF(AND($H1011="",$I1011=""),"montant manquant",IF(ISNA(MATCH($D1011,'Plan comptable'!$H:$H,0)),"compte hors plan",IF(AND($A1011&lt;&gt;"",YEAR($A1011)&lt;&gt;Exercice),"hors exercice","")))))</f>
      </c>
    </row>
    <row r="1012">
      <c r="A1012" s="13"/>
      <c r="B1012" s="10"/>
      <c r="C1012" s="9"/>
      <c r="D1012" s="20"/>
      <c r="E1012" s="9">
        <f>IF($D1012="","",IFERROR(VLOOKUP($D1012,'Plan comptable'!$H:$I,2,FALSE),"compte hors plan"))</f>
      </c>
      <c r="F1012" s="9"/>
      <c r="G1012" s="10"/>
      <c r="H1012" s="11"/>
      <c r="I1012" s="11"/>
      <c r="J1012" s="10">
        <f>IF($D1012="","",IF(AND($H1012&lt;&gt;"",$I1012&lt;&gt;""),"débit ET crédit",IF(AND($H1012="",$I1012=""),"montant manquant",IF(ISNA(MATCH($D1012,'Plan comptable'!$H:$H,0)),"compte hors plan",IF(AND($A1012&lt;&gt;"",YEAR($A1012)&lt;&gt;Exercice),"hors exercice","")))))</f>
      </c>
    </row>
    <row r="1013">
      <c r="A1013" s="13"/>
      <c r="B1013" s="10"/>
      <c r="C1013" s="9"/>
      <c r="D1013" s="20"/>
      <c r="E1013" s="9">
        <f>IF($D1013="","",IFERROR(VLOOKUP($D1013,'Plan comptable'!$H:$I,2,FALSE),"compte hors plan"))</f>
      </c>
      <c r="F1013" s="9"/>
      <c r="G1013" s="10"/>
      <c r="H1013" s="11"/>
      <c r="I1013" s="11"/>
      <c r="J1013" s="10">
        <f>IF($D1013="","",IF(AND($H1013&lt;&gt;"",$I1013&lt;&gt;""),"débit ET crédit",IF(AND($H1013="",$I1013=""),"montant manquant",IF(ISNA(MATCH($D1013,'Plan comptable'!$H:$H,0)),"compte hors plan",IF(AND($A1013&lt;&gt;"",YEAR($A1013)&lt;&gt;Exercice),"hors exercice","")))))</f>
      </c>
    </row>
    <row r="1014">
      <c r="A1014" s="13"/>
      <c r="B1014" s="10"/>
      <c r="C1014" s="9"/>
      <c r="D1014" s="20"/>
      <c r="E1014" s="9">
        <f>IF($D1014="","",IFERROR(VLOOKUP($D1014,'Plan comptable'!$H:$I,2,FALSE),"compte hors plan"))</f>
      </c>
      <c r="F1014" s="9"/>
      <c r="G1014" s="10"/>
      <c r="H1014" s="11"/>
      <c r="I1014" s="11"/>
      <c r="J1014" s="10">
        <f>IF($D1014="","",IF(AND($H1014&lt;&gt;"",$I1014&lt;&gt;""),"débit ET crédit",IF(AND($H1014="",$I1014=""),"montant manquant",IF(ISNA(MATCH($D1014,'Plan comptable'!$H:$H,0)),"compte hors plan",IF(AND($A1014&lt;&gt;"",YEAR($A1014)&lt;&gt;Exercice),"hors exercice","")))))</f>
      </c>
    </row>
    <row r="1015">
      <c r="A1015" s="13"/>
      <c r="B1015" s="10"/>
      <c r="C1015" s="9"/>
      <c r="D1015" s="20"/>
      <c r="E1015" s="9">
        <f>IF($D1015="","",IFERROR(VLOOKUP($D1015,'Plan comptable'!$H:$I,2,FALSE),"compte hors plan"))</f>
      </c>
      <c r="F1015" s="9"/>
      <c r="G1015" s="10"/>
      <c r="H1015" s="11"/>
      <c r="I1015" s="11"/>
      <c r="J1015" s="10">
        <f>IF($D1015="","",IF(AND($H1015&lt;&gt;"",$I1015&lt;&gt;""),"débit ET crédit",IF(AND($H1015="",$I1015=""),"montant manquant",IF(ISNA(MATCH($D1015,'Plan comptable'!$H:$H,0)),"compte hors plan",IF(AND($A1015&lt;&gt;"",YEAR($A1015)&lt;&gt;Exercice),"hors exercice","")))))</f>
      </c>
    </row>
    <row r="1016">
      <c r="A1016" s="13"/>
      <c r="B1016" s="10"/>
      <c r="C1016" s="9"/>
      <c r="D1016" s="20"/>
      <c r="E1016" s="9">
        <f>IF($D1016="","",IFERROR(VLOOKUP($D1016,'Plan comptable'!$H:$I,2,FALSE),"compte hors plan"))</f>
      </c>
      <c r="F1016" s="9"/>
      <c r="G1016" s="10"/>
      <c r="H1016" s="11"/>
      <c r="I1016" s="11"/>
      <c r="J1016" s="10">
        <f>IF($D1016="","",IF(AND($H1016&lt;&gt;"",$I1016&lt;&gt;""),"débit ET crédit",IF(AND($H1016="",$I1016=""),"montant manquant",IF(ISNA(MATCH($D1016,'Plan comptable'!$H:$H,0)),"compte hors plan",IF(AND($A1016&lt;&gt;"",YEAR($A1016)&lt;&gt;Exercice),"hors exercice","")))))</f>
      </c>
    </row>
    <row r="1017">
      <c r="A1017" s="13"/>
      <c r="B1017" s="10"/>
      <c r="C1017" s="9"/>
      <c r="D1017" s="20"/>
      <c r="E1017" s="9">
        <f>IF($D1017="","",IFERROR(VLOOKUP($D1017,'Plan comptable'!$H:$I,2,FALSE),"compte hors plan"))</f>
      </c>
      <c r="F1017" s="9"/>
      <c r="G1017" s="10"/>
      <c r="H1017" s="11"/>
      <c r="I1017" s="11"/>
      <c r="J1017" s="10">
        <f>IF($D1017="","",IF(AND($H1017&lt;&gt;"",$I1017&lt;&gt;""),"débit ET crédit",IF(AND($H1017="",$I1017=""),"montant manquant",IF(ISNA(MATCH($D1017,'Plan comptable'!$H:$H,0)),"compte hors plan",IF(AND($A1017&lt;&gt;"",YEAR($A1017)&lt;&gt;Exercice),"hors exercice","")))))</f>
      </c>
    </row>
    <row r="1018">
      <c r="A1018" s="13"/>
      <c r="B1018" s="10"/>
      <c r="C1018" s="9"/>
      <c r="D1018" s="20"/>
      <c r="E1018" s="9">
        <f>IF($D1018="","",IFERROR(VLOOKUP($D1018,'Plan comptable'!$H:$I,2,FALSE),"compte hors plan"))</f>
      </c>
      <c r="F1018" s="9"/>
      <c r="G1018" s="10"/>
      <c r="H1018" s="11"/>
      <c r="I1018" s="11"/>
      <c r="J1018" s="10">
        <f>IF($D1018="","",IF(AND($H1018&lt;&gt;"",$I1018&lt;&gt;""),"débit ET crédit",IF(AND($H1018="",$I1018=""),"montant manquant",IF(ISNA(MATCH($D1018,'Plan comptable'!$H:$H,0)),"compte hors plan",IF(AND($A1018&lt;&gt;"",YEAR($A1018)&lt;&gt;Exercice),"hors exercice","")))))</f>
      </c>
    </row>
    <row r="1019">
      <c r="A1019" s="13"/>
      <c r="B1019" s="10"/>
      <c r="C1019" s="9"/>
      <c r="D1019" s="20"/>
      <c r="E1019" s="9">
        <f>IF($D1019="","",IFERROR(VLOOKUP($D1019,'Plan comptable'!$H:$I,2,FALSE),"compte hors plan"))</f>
      </c>
      <c r="F1019" s="9"/>
      <c r="G1019" s="10"/>
      <c r="H1019" s="11"/>
      <c r="I1019" s="11"/>
      <c r="J1019" s="10">
        <f>IF($D1019="","",IF(AND($H1019&lt;&gt;"",$I1019&lt;&gt;""),"débit ET crédit",IF(AND($H1019="",$I1019=""),"montant manquant",IF(ISNA(MATCH($D1019,'Plan comptable'!$H:$H,0)),"compte hors plan",IF(AND($A1019&lt;&gt;"",YEAR($A1019)&lt;&gt;Exercice),"hors exercice","")))))</f>
      </c>
    </row>
    <row r="1020">
      <c r="A1020" s="13"/>
      <c r="B1020" s="10"/>
      <c r="C1020" s="9"/>
      <c r="D1020" s="20"/>
      <c r="E1020" s="9">
        <f>IF($D1020="","",IFERROR(VLOOKUP($D1020,'Plan comptable'!$H:$I,2,FALSE),"compte hors plan"))</f>
      </c>
      <c r="F1020" s="9"/>
      <c r="G1020" s="10"/>
      <c r="H1020" s="11"/>
      <c r="I1020" s="11"/>
      <c r="J1020" s="10">
        <f>IF($D1020="","",IF(AND($H1020&lt;&gt;"",$I1020&lt;&gt;""),"débit ET crédit",IF(AND($H1020="",$I1020=""),"montant manquant",IF(ISNA(MATCH($D1020,'Plan comptable'!$H:$H,0)),"compte hors plan",IF(AND($A1020&lt;&gt;"",YEAR($A1020)&lt;&gt;Exercice),"hors exercice","")))))</f>
      </c>
    </row>
    <row r="1021">
      <c r="A1021" s="13"/>
      <c r="B1021" s="10"/>
      <c r="C1021" s="9"/>
      <c r="D1021" s="20"/>
      <c r="E1021" s="9">
        <f>IF($D1021="","",IFERROR(VLOOKUP($D1021,'Plan comptable'!$H:$I,2,FALSE),"compte hors plan"))</f>
      </c>
      <c r="F1021" s="9"/>
      <c r="G1021" s="10"/>
      <c r="H1021" s="11"/>
      <c r="I1021" s="11"/>
      <c r="J1021" s="10">
        <f>IF($D1021="","",IF(AND($H1021&lt;&gt;"",$I1021&lt;&gt;""),"débit ET crédit",IF(AND($H1021="",$I1021=""),"montant manquant",IF(ISNA(MATCH($D1021,'Plan comptable'!$H:$H,0)),"compte hors plan",IF(AND($A1021&lt;&gt;"",YEAR($A1021)&lt;&gt;Exercice),"hors exercice","")))))</f>
      </c>
    </row>
    <row r="1022">
      <c r="A1022" s="13"/>
      <c r="B1022" s="10"/>
      <c r="C1022" s="9"/>
      <c r="D1022" s="20"/>
      <c r="E1022" s="9">
        <f>IF($D1022="","",IFERROR(VLOOKUP($D1022,'Plan comptable'!$H:$I,2,FALSE),"compte hors plan"))</f>
      </c>
      <c r="F1022" s="9"/>
      <c r="G1022" s="10"/>
      <c r="H1022" s="11"/>
      <c r="I1022" s="11"/>
      <c r="J1022" s="10">
        <f>IF($D1022="","",IF(AND($H1022&lt;&gt;"",$I1022&lt;&gt;""),"débit ET crédit",IF(AND($H1022="",$I1022=""),"montant manquant",IF(ISNA(MATCH($D1022,'Plan comptable'!$H:$H,0)),"compte hors plan",IF(AND($A1022&lt;&gt;"",YEAR($A1022)&lt;&gt;Exercice),"hors exercice","")))))</f>
      </c>
    </row>
    <row r="1023">
      <c r="A1023" s="13"/>
      <c r="B1023" s="10"/>
      <c r="C1023" s="9"/>
      <c r="D1023" s="20"/>
      <c r="E1023" s="9">
        <f>IF($D1023="","",IFERROR(VLOOKUP($D1023,'Plan comptable'!$H:$I,2,FALSE),"compte hors plan"))</f>
      </c>
      <c r="F1023" s="9"/>
      <c r="G1023" s="10"/>
      <c r="H1023" s="11"/>
      <c r="I1023" s="11"/>
      <c r="J1023" s="10">
        <f>IF($D1023="","",IF(AND($H1023&lt;&gt;"",$I1023&lt;&gt;""),"débit ET crédit",IF(AND($H1023="",$I1023=""),"montant manquant",IF(ISNA(MATCH($D1023,'Plan comptable'!$H:$H,0)),"compte hors plan",IF(AND($A1023&lt;&gt;"",YEAR($A1023)&lt;&gt;Exercice),"hors exercice","")))))</f>
      </c>
    </row>
    <row r="1024">
      <c r="A1024" s="13"/>
      <c r="B1024" s="10"/>
      <c r="C1024" s="9"/>
      <c r="D1024" s="20"/>
      <c r="E1024" s="9">
        <f>IF($D1024="","",IFERROR(VLOOKUP($D1024,'Plan comptable'!$H:$I,2,FALSE),"compte hors plan"))</f>
      </c>
      <c r="F1024" s="9"/>
      <c r="G1024" s="10"/>
      <c r="H1024" s="11"/>
      <c r="I1024" s="11"/>
      <c r="J1024" s="10">
        <f>IF($D1024="","",IF(AND($H1024&lt;&gt;"",$I1024&lt;&gt;""),"débit ET crédit",IF(AND($H1024="",$I1024=""),"montant manquant",IF(ISNA(MATCH($D1024,'Plan comptable'!$H:$H,0)),"compte hors plan",IF(AND($A1024&lt;&gt;"",YEAR($A1024)&lt;&gt;Exercice),"hors exercice","")))))</f>
      </c>
    </row>
    <row r="1025">
      <c r="A1025" s="13"/>
      <c r="B1025" s="10"/>
      <c r="C1025" s="9"/>
      <c r="D1025" s="20"/>
      <c r="E1025" s="9">
        <f>IF($D1025="","",IFERROR(VLOOKUP($D1025,'Plan comptable'!$H:$I,2,FALSE),"compte hors plan"))</f>
      </c>
      <c r="F1025" s="9"/>
      <c r="G1025" s="10"/>
      <c r="H1025" s="11"/>
      <c r="I1025" s="11"/>
      <c r="J1025" s="10">
        <f>IF($D1025="","",IF(AND($H1025&lt;&gt;"",$I1025&lt;&gt;""),"débit ET crédit",IF(AND($H1025="",$I1025=""),"montant manquant",IF(ISNA(MATCH($D1025,'Plan comptable'!$H:$H,0)),"compte hors plan",IF(AND($A1025&lt;&gt;"",YEAR($A1025)&lt;&gt;Exercice),"hors exercice","")))))</f>
      </c>
    </row>
    <row r="1026">
      <c r="A1026" s="13"/>
      <c r="B1026" s="10"/>
      <c r="C1026" s="9"/>
      <c r="D1026" s="20"/>
      <c r="E1026" s="9">
        <f>IF($D1026="","",IFERROR(VLOOKUP($D1026,'Plan comptable'!$H:$I,2,FALSE),"compte hors plan"))</f>
      </c>
      <c r="F1026" s="9"/>
      <c r="G1026" s="10"/>
      <c r="H1026" s="11"/>
      <c r="I1026" s="11"/>
      <c r="J1026" s="10">
        <f>IF($D1026="","",IF(AND($H1026&lt;&gt;"",$I1026&lt;&gt;""),"débit ET crédit",IF(AND($H1026="",$I1026=""),"montant manquant",IF(ISNA(MATCH($D1026,'Plan comptable'!$H:$H,0)),"compte hors plan",IF(AND($A1026&lt;&gt;"",YEAR($A1026)&lt;&gt;Exercice),"hors exercice","")))))</f>
      </c>
    </row>
    <row r="1027">
      <c r="A1027" s="13"/>
      <c r="B1027" s="10"/>
      <c r="C1027" s="9"/>
      <c r="D1027" s="20"/>
      <c r="E1027" s="9">
        <f>IF($D1027="","",IFERROR(VLOOKUP($D1027,'Plan comptable'!$H:$I,2,FALSE),"compte hors plan"))</f>
      </c>
      <c r="F1027" s="9"/>
      <c r="G1027" s="10"/>
      <c r="H1027" s="11"/>
      <c r="I1027" s="11"/>
      <c r="J1027" s="10">
        <f>IF($D1027="","",IF(AND($H1027&lt;&gt;"",$I1027&lt;&gt;""),"débit ET crédit",IF(AND($H1027="",$I1027=""),"montant manquant",IF(ISNA(MATCH($D1027,'Plan comptable'!$H:$H,0)),"compte hors plan",IF(AND($A1027&lt;&gt;"",YEAR($A1027)&lt;&gt;Exercice),"hors exercice","")))))</f>
      </c>
    </row>
    <row r="1028">
      <c r="A1028" s="13"/>
      <c r="B1028" s="10"/>
      <c r="C1028" s="9"/>
      <c r="D1028" s="20"/>
      <c r="E1028" s="9">
        <f>IF($D1028="","",IFERROR(VLOOKUP($D1028,'Plan comptable'!$H:$I,2,FALSE),"compte hors plan"))</f>
      </c>
      <c r="F1028" s="9"/>
      <c r="G1028" s="10"/>
      <c r="H1028" s="11"/>
      <c r="I1028" s="11"/>
      <c r="J1028" s="10">
        <f>IF($D1028="","",IF(AND($H1028&lt;&gt;"",$I1028&lt;&gt;""),"débit ET crédit",IF(AND($H1028="",$I1028=""),"montant manquant",IF(ISNA(MATCH($D1028,'Plan comptable'!$H:$H,0)),"compte hors plan",IF(AND($A1028&lt;&gt;"",YEAR($A1028)&lt;&gt;Exercice),"hors exercice","")))))</f>
      </c>
    </row>
    <row r="1029">
      <c r="A1029" s="13"/>
      <c r="B1029" s="10"/>
      <c r="C1029" s="9"/>
      <c r="D1029" s="20"/>
      <c r="E1029" s="9">
        <f>IF($D1029="","",IFERROR(VLOOKUP($D1029,'Plan comptable'!$H:$I,2,FALSE),"compte hors plan"))</f>
      </c>
      <c r="F1029" s="9"/>
      <c r="G1029" s="10"/>
      <c r="H1029" s="11"/>
      <c r="I1029" s="11"/>
      <c r="J1029" s="10">
        <f>IF($D1029="","",IF(AND($H1029&lt;&gt;"",$I1029&lt;&gt;""),"débit ET crédit",IF(AND($H1029="",$I1029=""),"montant manquant",IF(ISNA(MATCH($D1029,'Plan comptable'!$H:$H,0)),"compte hors plan",IF(AND($A1029&lt;&gt;"",YEAR($A1029)&lt;&gt;Exercice),"hors exercice","")))))</f>
      </c>
    </row>
    <row r="1030">
      <c r="A1030" s="13"/>
      <c r="B1030" s="10"/>
      <c r="C1030" s="9"/>
      <c r="D1030" s="20"/>
      <c r="E1030" s="9">
        <f>IF($D1030="","",IFERROR(VLOOKUP($D1030,'Plan comptable'!$H:$I,2,FALSE),"compte hors plan"))</f>
      </c>
      <c r="F1030" s="9"/>
      <c r="G1030" s="10"/>
      <c r="H1030" s="11"/>
      <c r="I1030" s="11"/>
      <c r="J1030" s="10">
        <f>IF($D1030="","",IF(AND($H1030&lt;&gt;"",$I1030&lt;&gt;""),"débit ET crédit",IF(AND($H1030="",$I1030=""),"montant manquant",IF(ISNA(MATCH($D1030,'Plan comptable'!$H:$H,0)),"compte hors plan",IF(AND($A1030&lt;&gt;"",YEAR($A1030)&lt;&gt;Exercice),"hors exercice","")))))</f>
      </c>
    </row>
    <row r="1031">
      <c r="A1031" s="13"/>
      <c r="B1031" s="10"/>
      <c r="C1031" s="9"/>
      <c r="D1031" s="20"/>
      <c r="E1031" s="9">
        <f>IF($D1031="","",IFERROR(VLOOKUP($D1031,'Plan comptable'!$H:$I,2,FALSE),"compte hors plan"))</f>
      </c>
      <c r="F1031" s="9"/>
      <c r="G1031" s="10"/>
      <c r="H1031" s="11"/>
      <c r="I1031" s="11"/>
      <c r="J1031" s="10">
        <f>IF($D1031="","",IF(AND($H1031&lt;&gt;"",$I1031&lt;&gt;""),"débit ET crédit",IF(AND($H1031="",$I1031=""),"montant manquant",IF(ISNA(MATCH($D1031,'Plan comptable'!$H:$H,0)),"compte hors plan",IF(AND($A1031&lt;&gt;"",YEAR($A1031)&lt;&gt;Exercice),"hors exercice","")))))</f>
      </c>
    </row>
    <row r="1032">
      <c r="A1032" s="13"/>
      <c r="B1032" s="10"/>
      <c r="C1032" s="9"/>
      <c r="D1032" s="20"/>
      <c r="E1032" s="9">
        <f>IF($D1032="","",IFERROR(VLOOKUP($D1032,'Plan comptable'!$H:$I,2,FALSE),"compte hors plan"))</f>
      </c>
      <c r="F1032" s="9"/>
      <c r="G1032" s="10"/>
      <c r="H1032" s="11"/>
      <c r="I1032" s="11"/>
      <c r="J1032" s="10">
        <f>IF($D1032="","",IF(AND($H1032&lt;&gt;"",$I1032&lt;&gt;""),"débit ET crédit",IF(AND($H1032="",$I1032=""),"montant manquant",IF(ISNA(MATCH($D1032,'Plan comptable'!$H:$H,0)),"compte hors plan",IF(AND($A1032&lt;&gt;"",YEAR($A1032)&lt;&gt;Exercice),"hors exercice","")))))</f>
      </c>
    </row>
    <row r="1033">
      <c r="A1033" s="13"/>
      <c r="B1033" s="10"/>
      <c r="C1033" s="9"/>
      <c r="D1033" s="20"/>
      <c r="E1033" s="9">
        <f>IF($D1033="","",IFERROR(VLOOKUP($D1033,'Plan comptable'!$H:$I,2,FALSE),"compte hors plan"))</f>
      </c>
      <c r="F1033" s="9"/>
      <c r="G1033" s="10"/>
      <c r="H1033" s="11"/>
      <c r="I1033" s="11"/>
      <c r="J1033" s="10">
        <f>IF($D1033="","",IF(AND($H1033&lt;&gt;"",$I1033&lt;&gt;""),"débit ET crédit",IF(AND($H1033="",$I1033=""),"montant manquant",IF(ISNA(MATCH($D1033,'Plan comptable'!$H:$H,0)),"compte hors plan",IF(AND($A1033&lt;&gt;"",YEAR($A1033)&lt;&gt;Exercice),"hors exercice","")))))</f>
      </c>
    </row>
    <row r="1034">
      <c r="A1034" s="13"/>
      <c r="B1034" s="10"/>
      <c r="C1034" s="9"/>
      <c r="D1034" s="20"/>
      <c r="E1034" s="9">
        <f>IF($D1034="","",IFERROR(VLOOKUP($D1034,'Plan comptable'!$H:$I,2,FALSE),"compte hors plan"))</f>
      </c>
      <c r="F1034" s="9"/>
      <c r="G1034" s="10"/>
      <c r="H1034" s="11"/>
      <c r="I1034" s="11"/>
      <c r="J1034" s="10">
        <f>IF($D1034="","",IF(AND($H1034&lt;&gt;"",$I1034&lt;&gt;""),"débit ET crédit",IF(AND($H1034="",$I1034=""),"montant manquant",IF(ISNA(MATCH($D1034,'Plan comptable'!$H:$H,0)),"compte hors plan",IF(AND($A1034&lt;&gt;"",YEAR($A1034)&lt;&gt;Exercice),"hors exercice","")))))</f>
      </c>
    </row>
    <row r="1035">
      <c r="A1035" s="13"/>
      <c r="B1035" s="10"/>
      <c r="C1035" s="9"/>
      <c r="D1035" s="20"/>
      <c r="E1035" s="9">
        <f>IF($D1035="","",IFERROR(VLOOKUP($D1035,'Plan comptable'!$H:$I,2,FALSE),"compte hors plan"))</f>
      </c>
      <c r="F1035" s="9"/>
      <c r="G1035" s="10"/>
      <c r="H1035" s="11"/>
      <c r="I1035" s="11"/>
      <c r="J1035" s="10">
        <f>IF($D1035="","",IF(AND($H1035&lt;&gt;"",$I1035&lt;&gt;""),"débit ET crédit",IF(AND($H1035="",$I1035=""),"montant manquant",IF(ISNA(MATCH($D1035,'Plan comptable'!$H:$H,0)),"compte hors plan",IF(AND($A1035&lt;&gt;"",YEAR($A1035)&lt;&gt;Exercice),"hors exercice","")))))</f>
      </c>
    </row>
    <row r="1036">
      <c r="A1036" s="13"/>
      <c r="B1036" s="10"/>
      <c r="C1036" s="9"/>
      <c r="D1036" s="20"/>
      <c r="E1036" s="9">
        <f>IF($D1036="","",IFERROR(VLOOKUP($D1036,'Plan comptable'!$H:$I,2,FALSE),"compte hors plan"))</f>
      </c>
      <c r="F1036" s="9"/>
      <c r="G1036" s="10"/>
      <c r="H1036" s="11"/>
      <c r="I1036" s="11"/>
      <c r="J1036" s="10">
        <f>IF($D1036="","",IF(AND($H1036&lt;&gt;"",$I1036&lt;&gt;""),"débit ET crédit",IF(AND($H1036="",$I1036=""),"montant manquant",IF(ISNA(MATCH($D1036,'Plan comptable'!$H:$H,0)),"compte hors plan",IF(AND($A1036&lt;&gt;"",YEAR($A1036)&lt;&gt;Exercice),"hors exercice","")))))</f>
      </c>
    </row>
    <row r="1037">
      <c r="A1037" s="13"/>
      <c r="B1037" s="10"/>
      <c r="C1037" s="9"/>
      <c r="D1037" s="20"/>
      <c r="E1037" s="9">
        <f>IF($D1037="","",IFERROR(VLOOKUP($D1037,'Plan comptable'!$H:$I,2,FALSE),"compte hors plan"))</f>
      </c>
      <c r="F1037" s="9"/>
      <c r="G1037" s="10"/>
      <c r="H1037" s="11"/>
      <c r="I1037" s="11"/>
      <c r="J1037" s="10">
        <f>IF($D1037="","",IF(AND($H1037&lt;&gt;"",$I1037&lt;&gt;""),"débit ET crédit",IF(AND($H1037="",$I1037=""),"montant manquant",IF(ISNA(MATCH($D1037,'Plan comptable'!$H:$H,0)),"compte hors plan",IF(AND($A1037&lt;&gt;"",YEAR($A1037)&lt;&gt;Exercice),"hors exercice","")))))</f>
      </c>
    </row>
    <row r="1038">
      <c r="A1038" s="13"/>
      <c r="B1038" s="10"/>
      <c r="C1038" s="9"/>
      <c r="D1038" s="20"/>
      <c r="E1038" s="9">
        <f>IF($D1038="","",IFERROR(VLOOKUP($D1038,'Plan comptable'!$H:$I,2,FALSE),"compte hors plan"))</f>
      </c>
      <c r="F1038" s="9"/>
      <c r="G1038" s="10"/>
      <c r="H1038" s="11"/>
      <c r="I1038" s="11"/>
      <c r="J1038" s="10">
        <f>IF($D1038="","",IF(AND($H1038&lt;&gt;"",$I1038&lt;&gt;""),"débit ET crédit",IF(AND($H1038="",$I1038=""),"montant manquant",IF(ISNA(MATCH($D1038,'Plan comptable'!$H:$H,0)),"compte hors plan",IF(AND($A1038&lt;&gt;"",YEAR($A1038)&lt;&gt;Exercice),"hors exercice","")))))</f>
      </c>
    </row>
    <row r="1039">
      <c r="A1039" s="13"/>
      <c r="B1039" s="10"/>
      <c r="C1039" s="9"/>
      <c r="D1039" s="20"/>
      <c r="E1039" s="9">
        <f>IF($D1039="","",IFERROR(VLOOKUP($D1039,'Plan comptable'!$H:$I,2,FALSE),"compte hors plan"))</f>
      </c>
      <c r="F1039" s="9"/>
      <c r="G1039" s="10"/>
      <c r="H1039" s="11"/>
      <c r="I1039" s="11"/>
      <c r="J1039" s="10">
        <f>IF($D1039="","",IF(AND($H1039&lt;&gt;"",$I1039&lt;&gt;""),"débit ET crédit",IF(AND($H1039="",$I1039=""),"montant manquant",IF(ISNA(MATCH($D1039,'Plan comptable'!$H:$H,0)),"compte hors plan",IF(AND($A1039&lt;&gt;"",YEAR($A1039)&lt;&gt;Exercice),"hors exercice","")))))</f>
      </c>
    </row>
    <row r="1040">
      <c r="A1040" s="13"/>
      <c r="B1040" s="10"/>
      <c r="C1040" s="9"/>
      <c r="D1040" s="20"/>
      <c r="E1040" s="9">
        <f>IF($D1040="","",IFERROR(VLOOKUP($D1040,'Plan comptable'!$H:$I,2,FALSE),"compte hors plan"))</f>
      </c>
      <c r="F1040" s="9"/>
      <c r="G1040" s="10"/>
      <c r="H1040" s="11"/>
      <c r="I1040" s="11"/>
      <c r="J1040" s="10">
        <f>IF($D1040="","",IF(AND($H1040&lt;&gt;"",$I1040&lt;&gt;""),"débit ET crédit",IF(AND($H1040="",$I1040=""),"montant manquant",IF(ISNA(MATCH($D1040,'Plan comptable'!$H:$H,0)),"compte hors plan",IF(AND($A1040&lt;&gt;"",YEAR($A1040)&lt;&gt;Exercice),"hors exercice","")))))</f>
      </c>
    </row>
    <row r="1041">
      <c r="A1041" s="13"/>
      <c r="B1041" s="10"/>
      <c r="C1041" s="9"/>
      <c r="D1041" s="20"/>
      <c r="E1041" s="9">
        <f>IF($D1041="","",IFERROR(VLOOKUP($D1041,'Plan comptable'!$H:$I,2,FALSE),"compte hors plan"))</f>
      </c>
      <c r="F1041" s="9"/>
      <c r="G1041" s="10"/>
      <c r="H1041" s="11"/>
      <c r="I1041" s="11"/>
      <c r="J1041" s="10">
        <f>IF($D1041="","",IF(AND($H1041&lt;&gt;"",$I1041&lt;&gt;""),"débit ET crédit",IF(AND($H1041="",$I1041=""),"montant manquant",IF(ISNA(MATCH($D1041,'Plan comptable'!$H:$H,0)),"compte hors plan",IF(AND($A1041&lt;&gt;"",YEAR($A1041)&lt;&gt;Exercice),"hors exercice","")))))</f>
      </c>
    </row>
    <row r="1042">
      <c r="A1042" s="13"/>
      <c r="B1042" s="10"/>
      <c r="C1042" s="9"/>
      <c r="D1042" s="20"/>
      <c r="E1042" s="9">
        <f>IF($D1042="","",IFERROR(VLOOKUP($D1042,'Plan comptable'!$H:$I,2,FALSE),"compte hors plan"))</f>
      </c>
      <c r="F1042" s="9"/>
      <c r="G1042" s="10"/>
      <c r="H1042" s="11"/>
      <c r="I1042" s="11"/>
      <c r="J1042" s="10">
        <f>IF($D1042="","",IF(AND($H1042&lt;&gt;"",$I1042&lt;&gt;""),"débit ET crédit",IF(AND($H1042="",$I1042=""),"montant manquant",IF(ISNA(MATCH($D1042,'Plan comptable'!$H:$H,0)),"compte hors plan",IF(AND($A1042&lt;&gt;"",YEAR($A1042)&lt;&gt;Exercice),"hors exercice","")))))</f>
      </c>
    </row>
    <row r="1043">
      <c r="A1043" s="13"/>
      <c r="B1043" s="10"/>
      <c r="C1043" s="9"/>
      <c r="D1043" s="20"/>
      <c r="E1043" s="9">
        <f>IF($D1043="","",IFERROR(VLOOKUP($D1043,'Plan comptable'!$H:$I,2,FALSE),"compte hors plan"))</f>
      </c>
      <c r="F1043" s="9"/>
      <c r="G1043" s="10"/>
      <c r="H1043" s="11"/>
      <c r="I1043" s="11"/>
      <c r="J1043" s="10">
        <f>IF($D1043="","",IF(AND($H1043&lt;&gt;"",$I1043&lt;&gt;""),"débit ET crédit",IF(AND($H1043="",$I1043=""),"montant manquant",IF(ISNA(MATCH($D1043,'Plan comptable'!$H:$H,0)),"compte hors plan",IF(AND($A1043&lt;&gt;"",YEAR($A1043)&lt;&gt;Exercice),"hors exercice","")))))</f>
      </c>
    </row>
    <row r="1044">
      <c r="A1044" s="13"/>
      <c r="B1044" s="10"/>
      <c r="C1044" s="9"/>
      <c r="D1044" s="20"/>
      <c r="E1044" s="9">
        <f>IF($D1044="","",IFERROR(VLOOKUP($D1044,'Plan comptable'!$H:$I,2,FALSE),"compte hors plan"))</f>
      </c>
      <c r="F1044" s="9"/>
      <c r="G1044" s="10"/>
      <c r="H1044" s="11"/>
      <c r="I1044" s="11"/>
      <c r="J1044" s="10">
        <f>IF($D1044="","",IF(AND($H1044&lt;&gt;"",$I1044&lt;&gt;""),"débit ET crédit",IF(AND($H1044="",$I1044=""),"montant manquant",IF(ISNA(MATCH($D1044,'Plan comptable'!$H:$H,0)),"compte hors plan",IF(AND($A1044&lt;&gt;"",YEAR($A1044)&lt;&gt;Exercice),"hors exercice","")))))</f>
      </c>
    </row>
    <row r="1045">
      <c r="A1045" s="13"/>
      <c r="B1045" s="10"/>
      <c r="C1045" s="9"/>
      <c r="D1045" s="20"/>
      <c r="E1045" s="9">
        <f>IF($D1045="","",IFERROR(VLOOKUP($D1045,'Plan comptable'!$H:$I,2,FALSE),"compte hors plan"))</f>
      </c>
      <c r="F1045" s="9"/>
      <c r="G1045" s="10"/>
      <c r="H1045" s="11"/>
      <c r="I1045" s="11"/>
      <c r="J1045" s="10">
        <f>IF($D1045="","",IF(AND($H1045&lt;&gt;"",$I1045&lt;&gt;""),"débit ET crédit",IF(AND($H1045="",$I1045=""),"montant manquant",IF(ISNA(MATCH($D1045,'Plan comptable'!$H:$H,0)),"compte hors plan",IF(AND($A1045&lt;&gt;"",YEAR($A1045)&lt;&gt;Exercice),"hors exercice","")))))</f>
      </c>
    </row>
    <row r="1046">
      <c r="A1046" s="13"/>
      <c r="B1046" s="10"/>
      <c r="C1046" s="9"/>
      <c r="D1046" s="20"/>
      <c r="E1046" s="9">
        <f>IF($D1046="","",IFERROR(VLOOKUP($D1046,'Plan comptable'!$H:$I,2,FALSE),"compte hors plan"))</f>
      </c>
      <c r="F1046" s="9"/>
      <c r="G1046" s="10"/>
      <c r="H1046" s="11"/>
      <c r="I1046" s="11"/>
      <c r="J1046" s="10">
        <f>IF($D1046="","",IF(AND($H1046&lt;&gt;"",$I1046&lt;&gt;""),"débit ET crédit",IF(AND($H1046="",$I1046=""),"montant manquant",IF(ISNA(MATCH($D1046,'Plan comptable'!$H:$H,0)),"compte hors plan",IF(AND($A1046&lt;&gt;"",YEAR($A1046)&lt;&gt;Exercice),"hors exercice","")))))</f>
      </c>
    </row>
    <row r="1047">
      <c r="A1047" s="13"/>
      <c r="B1047" s="10"/>
      <c r="C1047" s="9"/>
      <c r="D1047" s="20"/>
      <c r="E1047" s="9">
        <f>IF($D1047="","",IFERROR(VLOOKUP($D1047,'Plan comptable'!$H:$I,2,FALSE),"compte hors plan"))</f>
      </c>
      <c r="F1047" s="9"/>
      <c r="G1047" s="10"/>
      <c r="H1047" s="11"/>
      <c r="I1047" s="11"/>
      <c r="J1047" s="10">
        <f>IF($D1047="","",IF(AND($H1047&lt;&gt;"",$I1047&lt;&gt;""),"débit ET crédit",IF(AND($H1047="",$I1047=""),"montant manquant",IF(ISNA(MATCH($D1047,'Plan comptable'!$H:$H,0)),"compte hors plan",IF(AND($A1047&lt;&gt;"",YEAR($A1047)&lt;&gt;Exercice),"hors exercice","")))))</f>
      </c>
    </row>
    <row r="1048">
      <c r="A1048" s="13"/>
      <c r="B1048" s="10"/>
      <c r="C1048" s="9"/>
      <c r="D1048" s="20"/>
      <c r="E1048" s="9">
        <f>IF($D1048="","",IFERROR(VLOOKUP($D1048,'Plan comptable'!$H:$I,2,FALSE),"compte hors plan"))</f>
      </c>
      <c r="F1048" s="9"/>
      <c r="G1048" s="10"/>
      <c r="H1048" s="11"/>
      <c r="I1048" s="11"/>
      <c r="J1048" s="10">
        <f>IF($D1048="","",IF(AND($H1048&lt;&gt;"",$I1048&lt;&gt;""),"débit ET crédit",IF(AND($H1048="",$I1048=""),"montant manquant",IF(ISNA(MATCH($D1048,'Plan comptable'!$H:$H,0)),"compte hors plan",IF(AND($A1048&lt;&gt;"",YEAR($A1048)&lt;&gt;Exercice),"hors exercice","")))))</f>
      </c>
    </row>
    <row r="1049">
      <c r="A1049" s="13"/>
      <c r="B1049" s="10"/>
      <c r="C1049" s="9"/>
      <c r="D1049" s="20"/>
      <c r="E1049" s="9">
        <f>IF($D1049="","",IFERROR(VLOOKUP($D1049,'Plan comptable'!$H:$I,2,FALSE),"compte hors plan"))</f>
      </c>
      <c r="F1049" s="9"/>
      <c r="G1049" s="10"/>
      <c r="H1049" s="11"/>
      <c r="I1049" s="11"/>
      <c r="J1049" s="10">
        <f>IF($D1049="","",IF(AND($H1049&lt;&gt;"",$I1049&lt;&gt;""),"débit ET crédit",IF(AND($H1049="",$I1049=""),"montant manquant",IF(ISNA(MATCH($D1049,'Plan comptable'!$H:$H,0)),"compte hors plan",IF(AND($A1049&lt;&gt;"",YEAR($A1049)&lt;&gt;Exercice),"hors exercice","")))))</f>
      </c>
    </row>
    <row r="1050">
      <c r="A1050" s="13"/>
      <c r="B1050" s="10"/>
      <c r="C1050" s="9"/>
      <c r="D1050" s="20"/>
      <c r="E1050" s="9">
        <f>IF($D1050="","",IFERROR(VLOOKUP($D1050,'Plan comptable'!$H:$I,2,FALSE),"compte hors plan"))</f>
      </c>
      <c r="F1050" s="9"/>
      <c r="G1050" s="10"/>
      <c r="H1050" s="11"/>
      <c r="I1050" s="11"/>
      <c r="J1050" s="10">
        <f>IF($D1050="","",IF(AND($H1050&lt;&gt;"",$I1050&lt;&gt;""),"débit ET crédit",IF(AND($H1050="",$I1050=""),"montant manquant",IF(ISNA(MATCH($D1050,'Plan comptable'!$H:$H,0)),"compte hors plan",IF(AND($A1050&lt;&gt;"",YEAR($A1050)&lt;&gt;Exercice),"hors exercice","")))))</f>
      </c>
    </row>
    <row r="1051">
      <c r="A1051" s="13"/>
      <c r="B1051" s="10"/>
      <c r="C1051" s="9"/>
      <c r="D1051" s="20"/>
      <c r="E1051" s="9">
        <f>IF($D1051="","",IFERROR(VLOOKUP($D1051,'Plan comptable'!$H:$I,2,FALSE),"compte hors plan"))</f>
      </c>
      <c r="F1051" s="9"/>
      <c r="G1051" s="10"/>
      <c r="H1051" s="11"/>
      <c r="I1051" s="11"/>
      <c r="J1051" s="10">
        <f>IF($D1051="","",IF(AND($H1051&lt;&gt;"",$I1051&lt;&gt;""),"débit ET crédit",IF(AND($H1051="",$I1051=""),"montant manquant",IF(ISNA(MATCH($D1051,'Plan comptable'!$H:$H,0)),"compte hors plan",IF(AND($A1051&lt;&gt;"",YEAR($A1051)&lt;&gt;Exercice),"hors exercice","")))))</f>
      </c>
    </row>
    <row r="1052">
      <c r="A1052" s="13"/>
      <c r="B1052" s="10"/>
      <c r="C1052" s="9"/>
      <c r="D1052" s="20"/>
      <c r="E1052" s="9">
        <f>IF($D1052="","",IFERROR(VLOOKUP($D1052,'Plan comptable'!$H:$I,2,FALSE),"compte hors plan"))</f>
      </c>
      <c r="F1052" s="9"/>
      <c r="G1052" s="10"/>
      <c r="H1052" s="11"/>
      <c r="I1052" s="11"/>
      <c r="J1052" s="10">
        <f>IF($D1052="","",IF(AND($H1052&lt;&gt;"",$I1052&lt;&gt;""),"débit ET crédit",IF(AND($H1052="",$I1052=""),"montant manquant",IF(ISNA(MATCH($D1052,'Plan comptable'!$H:$H,0)),"compte hors plan",IF(AND($A1052&lt;&gt;"",YEAR($A1052)&lt;&gt;Exercice),"hors exercice","")))))</f>
      </c>
    </row>
    <row r="1053">
      <c r="A1053" s="13"/>
      <c r="B1053" s="10"/>
      <c r="C1053" s="9"/>
      <c r="D1053" s="20"/>
      <c r="E1053" s="9">
        <f>IF($D1053="","",IFERROR(VLOOKUP($D1053,'Plan comptable'!$H:$I,2,FALSE),"compte hors plan"))</f>
      </c>
      <c r="F1053" s="9"/>
      <c r="G1053" s="10"/>
      <c r="H1053" s="11"/>
      <c r="I1053" s="11"/>
      <c r="J1053" s="10">
        <f>IF($D1053="","",IF(AND($H1053&lt;&gt;"",$I1053&lt;&gt;""),"débit ET crédit",IF(AND($H1053="",$I1053=""),"montant manquant",IF(ISNA(MATCH($D1053,'Plan comptable'!$H:$H,0)),"compte hors plan",IF(AND($A1053&lt;&gt;"",YEAR($A1053)&lt;&gt;Exercice),"hors exercice","")))))</f>
      </c>
    </row>
    <row r="1054">
      <c r="A1054" s="13"/>
      <c r="B1054" s="10"/>
      <c r="C1054" s="9"/>
      <c r="D1054" s="20"/>
      <c r="E1054" s="9">
        <f>IF($D1054="","",IFERROR(VLOOKUP($D1054,'Plan comptable'!$H:$I,2,FALSE),"compte hors plan"))</f>
      </c>
      <c r="F1054" s="9"/>
      <c r="G1054" s="10"/>
      <c r="H1054" s="11"/>
      <c r="I1054" s="11"/>
      <c r="J1054" s="10">
        <f>IF($D1054="","",IF(AND($H1054&lt;&gt;"",$I1054&lt;&gt;""),"débit ET crédit",IF(AND($H1054="",$I1054=""),"montant manquant",IF(ISNA(MATCH($D1054,'Plan comptable'!$H:$H,0)),"compte hors plan",IF(AND($A1054&lt;&gt;"",YEAR($A1054)&lt;&gt;Exercice),"hors exercice","")))))</f>
      </c>
    </row>
    <row r="1055">
      <c r="A1055" s="13"/>
      <c r="B1055" s="10"/>
      <c r="C1055" s="9"/>
      <c r="D1055" s="20"/>
      <c r="E1055" s="9">
        <f>IF($D1055="","",IFERROR(VLOOKUP($D1055,'Plan comptable'!$H:$I,2,FALSE),"compte hors plan"))</f>
      </c>
      <c r="F1055" s="9"/>
      <c r="G1055" s="10"/>
      <c r="H1055" s="11"/>
      <c r="I1055" s="11"/>
      <c r="J1055" s="10">
        <f>IF($D1055="","",IF(AND($H1055&lt;&gt;"",$I1055&lt;&gt;""),"débit ET crédit",IF(AND($H1055="",$I1055=""),"montant manquant",IF(ISNA(MATCH($D1055,'Plan comptable'!$H:$H,0)),"compte hors plan",IF(AND($A1055&lt;&gt;"",YEAR($A1055)&lt;&gt;Exercice),"hors exercice","")))))</f>
      </c>
    </row>
    <row r="1056">
      <c r="A1056" s="13"/>
      <c r="B1056" s="10"/>
      <c r="C1056" s="9"/>
      <c r="D1056" s="20"/>
      <c r="E1056" s="9">
        <f>IF($D1056="","",IFERROR(VLOOKUP($D1056,'Plan comptable'!$H:$I,2,FALSE),"compte hors plan"))</f>
      </c>
      <c r="F1056" s="9"/>
      <c r="G1056" s="10"/>
      <c r="H1056" s="11"/>
      <c r="I1056" s="11"/>
      <c r="J1056" s="10">
        <f>IF($D1056="","",IF(AND($H1056&lt;&gt;"",$I1056&lt;&gt;""),"débit ET crédit",IF(AND($H1056="",$I1056=""),"montant manquant",IF(ISNA(MATCH($D1056,'Plan comptable'!$H:$H,0)),"compte hors plan",IF(AND($A1056&lt;&gt;"",YEAR($A1056)&lt;&gt;Exercice),"hors exercice","")))))</f>
      </c>
    </row>
    <row r="1057">
      <c r="A1057" s="13"/>
      <c r="B1057" s="10"/>
      <c r="C1057" s="9"/>
      <c r="D1057" s="20"/>
      <c r="E1057" s="9">
        <f>IF($D1057="","",IFERROR(VLOOKUP($D1057,'Plan comptable'!$H:$I,2,FALSE),"compte hors plan"))</f>
      </c>
      <c r="F1057" s="9"/>
      <c r="G1057" s="10"/>
      <c r="H1057" s="11"/>
      <c r="I1057" s="11"/>
      <c r="J1057" s="10">
        <f>IF($D1057="","",IF(AND($H1057&lt;&gt;"",$I1057&lt;&gt;""),"débit ET crédit",IF(AND($H1057="",$I1057=""),"montant manquant",IF(ISNA(MATCH($D1057,'Plan comptable'!$H:$H,0)),"compte hors plan",IF(AND($A1057&lt;&gt;"",YEAR($A1057)&lt;&gt;Exercice),"hors exercice","")))))</f>
      </c>
    </row>
    <row r="1058">
      <c r="A1058" s="13"/>
      <c r="B1058" s="10"/>
      <c r="C1058" s="9"/>
      <c r="D1058" s="20"/>
      <c r="E1058" s="9">
        <f>IF($D1058="","",IFERROR(VLOOKUP($D1058,'Plan comptable'!$H:$I,2,FALSE),"compte hors plan"))</f>
      </c>
      <c r="F1058" s="9"/>
      <c r="G1058" s="10"/>
      <c r="H1058" s="11"/>
      <c r="I1058" s="11"/>
      <c r="J1058" s="10">
        <f>IF($D1058="","",IF(AND($H1058&lt;&gt;"",$I1058&lt;&gt;""),"débit ET crédit",IF(AND($H1058="",$I1058=""),"montant manquant",IF(ISNA(MATCH($D1058,'Plan comptable'!$H:$H,0)),"compte hors plan",IF(AND($A1058&lt;&gt;"",YEAR($A1058)&lt;&gt;Exercice),"hors exercice","")))))</f>
      </c>
    </row>
    <row r="1059">
      <c r="A1059" s="13"/>
      <c r="B1059" s="10"/>
      <c r="C1059" s="9"/>
      <c r="D1059" s="20"/>
      <c r="E1059" s="9">
        <f>IF($D1059="","",IFERROR(VLOOKUP($D1059,'Plan comptable'!$H:$I,2,FALSE),"compte hors plan"))</f>
      </c>
      <c r="F1059" s="9"/>
      <c r="G1059" s="10"/>
      <c r="H1059" s="11"/>
      <c r="I1059" s="11"/>
      <c r="J1059" s="10">
        <f>IF($D1059="","",IF(AND($H1059&lt;&gt;"",$I1059&lt;&gt;""),"débit ET crédit",IF(AND($H1059="",$I1059=""),"montant manquant",IF(ISNA(MATCH($D1059,'Plan comptable'!$H:$H,0)),"compte hors plan",IF(AND($A1059&lt;&gt;"",YEAR($A1059)&lt;&gt;Exercice),"hors exercice","")))))</f>
      </c>
    </row>
    <row r="1060">
      <c r="A1060" s="13"/>
      <c r="B1060" s="10"/>
      <c r="C1060" s="9"/>
      <c r="D1060" s="20"/>
      <c r="E1060" s="9">
        <f>IF($D1060="","",IFERROR(VLOOKUP($D1060,'Plan comptable'!$H:$I,2,FALSE),"compte hors plan"))</f>
      </c>
      <c r="F1060" s="9"/>
      <c r="G1060" s="10"/>
      <c r="H1060" s="11"/>
      <c r="I1060" s="11"/>
      <c r="J1060" s="10">
        <f>IF($D1060="","",IF(AND($H1060&lt;&gt;"",$I1060&lt;&gt;""),"débit ET crédit",IF(AND($H1060="",$I1060=""),"montant manquant",IF(ISNA(MATCH($D1060,'Plan comptable'!$H:$H,0)),"compte hors plan",IF(AND($A1060&lt;&gt;"",YEAR($A1060)&lt;&gt;Exercice),"hors exercice","")))))</f>
      </c>
    </row>
    <row r="1061">
      <c r="A1061" s="13"/>
      <c r="B1061" s="10"/>
      <c r="C1061" s="9"/>
      <c r="D1061" s="20"/>
      <c r="E1061" s="9">
        <f>IF($D1061="","",IFERROR(VLOOKUP($D1061,'Plan comptable'!$H:$I,2,FALSE),"compte hors plan"))</f>
      </c>
      <c r="F1061" s="9"/>
      <c r="G1061" s="10"/>
      <c r="H1061" s="11"/>
      <c r="I1061" s="11"/>
      <c r="J1061" s="10">
        <f>IF($D1061="","",IF(AND($H1061&lt;&gt;"",$I1061&lt;&gt;""),"débit ET crédit",IF(AND($H1061="",$I1061=""),"montant manquant",IF(ISNA(MATCH($D1061,'Plan comptable'!$H:$H,0)),"compte hors plan",IF(AND($A1061&lt;&gt;"",YEAR($A1061)&lt;&gt;Exercice),"hors exercice","")))))</f>
      </c>
    </row>
    <row r="1062">
      <c r="A1062" s="13"/>
      <c r="B1062" s="10"/>
      <c r="C1062" s="9"/>
      <c r="D1062" s="20"/>
      <c r="E1062" s="9">
        <f>IF($D1062="","",IFERROR(VLOOKUP($D1062,'Plan comptable'!$H:$I,2,FALSE),"compte hors plan"))</f>
      </c>
      <c r="F1062" s="9"/>
      <c r="G1062" s="10"/>
      <c r="H1062" s="11"/>
      <c r="I1062" s="11"/>
      <c r="J1062" s="10">
        <f>IF($D1062="","",IF(AND($H1062&lt;&gt;"",$I1062&lt;&gt;""),"débit ET crédit",IF(AND($H1062="",$I1062=""),"montant manquant",IF(ISNA(MATCH($D1062,'Plan comptable'!$H:$H,0)),"compte hors plan",IF(AND($A1062&lt;&gt;"",YEAR($A1062)&lt;&gt;Exercice),"hors exercice","")))))</f>
      </c>
    </row>
    <row r="1063">
      <c r="A1063" s="13"/>
      <c r="B1063" s="10"/>
      <c r="C1063" s="9"/>
      <c r="D1063" s="20"/>
      <c r="E1063" s="9">
        <f>IF($D1063="","",IFERROR(VLOOKUP($D1063,'Plan comptable'!$H:$I,2,FALSE),"compte hors plan"))</f>
      </c>
      <c r="F1063" s="9"/>
      <c r="G1063" s="10"/>
      <c r="H1063" s="11"/>
      <c r="I1063" s="11"/>
      <c r="J1063" s="10">
        <f>IF($D1063="","",IF(AND($H1063&lt;&gt;"",$I1063&lt;&gt;""),"débit ET crédit",IF(AND($H1063="",$I1063=""),"montant manquant",IF(ISNA(MATCH($D1063,'Plan comptable'!$H:$H,0)),"compte hors plan",IF(AND($A1063&lt;&gt;"",YEAR($A1063)&lt;&gt;Exercice),"hors exercice","")))))</f>
      </c>
    </row>
    <row r="1064">
      <c r="A1064" s="13"/>
      <c r="B1064" s="10"/>
      <c r="C1064" s="9"/>
      <c r="D1064" s="20"/>
      <c r="E1064" s="9">
        <f>IF($D1064="","",IFERROR(VLOOKUP($D1064,'Plan comptable'!$H:$I,2,FALSE),"compte hors plan"))</f>
      </c>
      <c r="F1064" s="9"/>
      <c r="G1064" s="10"/>
      <c r="H1064" s="11"/>
      <c r="I1064" s="11"/>
      <c r="J1064" s="10">
        <f>IF($D1064="","",IF(AND($H1064&lt;&gt;"",$I1064&lt;&gt;""),"débit ET crédit",IF(AND($H1064="",$I1064=""),"montant manquant",IF(ISNA(MATCH($D1064,'Plan comptable'!$H:$H,0)),"compte hors plan",IF(AND($A1064&lt;&gt;"",YEAR($A1064)&lt;&gt;Exercice),"hors exercice","")))))</f>
      </c>
    </row>
    <row r="1065">
      <c r="A1065" s="13"/>
      <c r="B1065" s="10"/>
      <c r="C1065" s="9"/>
      <c r="D1065" s="20"/>
      <c r="E1065" s="9">
        <f>IF($D1065="","",IFERROR(VLOOKUP($D1065,'Plan comptable'!$H:$I,2,FALSE),"compte hors plan"))</f>
      </c>
      <c r="F1065" s="9"/>
      <c r="G1065" s="10"/>
      <c r="H1065" s="11"/>
      <c r="I1065" s="11"/>
      <c r="J1065" s="10">
        <f>IF($D1065="","",IF(AND($H1065&lt;&gt;"",$I1065&lt;&gt;""),"débit ET crédit",IF(AND($H1065="",$I1065=""),"montant manquant",IF(ISNA(MATCH($D1065,'Plan comptable'!$H:$H,0)),"compte hors plan",IF(AND($A1065&lt;&gt;"",YEAR($A1065)&lt;&gt;Exercice),"hors exercice","")))))</f>
      </c>
    </row>
    <row r="1066">
      <c r="A1066" s="13"/>
      <c r="B1066" s="10"/>
      <c r="C1066" s="9"/>
      <c r="D1066" s="20"/>
      <c r="E1066" s="9">
        <f>IF($D1066="","",IFERROR(VLOOKUP($D1066,'Plan comptable'!$H:$I,2,FALSE),"compte hors plan"))</f>
      </c>
      <c r="F1066" s="9"/>
      <c r="G1066" s="10"/>
      <c r="H1066" s="11"/>
      <c r="I1066" s="11"/>
      <c r="J1066" s="10">
        <f>IF($D1066="","",IF(AND($H1066&lt;&gt;"",$I1066&lt;&gt;""),"débit ET crédit",IF(AND($H1066="",$I1066=""),"montant manquant",IF(ISNA(MATCH($D1066,'Plan comptable'!$H:$H,0)),"compte hors plan",IF(AND($A1066&lt;&gt;"",YEAR($A1066)&lt;&gt;Exercice),"hors exercice","")))))</f>
      </c>
    </row>
    <row r="1067">
      <c r="A1067" s="13"/>
      <c r="B1067" s="10"/>
      <c r="C1067" s="9"/>
      <c r="D1067" s="20"/>
      <c r="E1067" s="9">
        <f>IF($D1067="","",IFERROR(VLOOKUP($D1067,'Plan comptable'!$H:$I,2,FALSE),"compte hors plan"))</f>
      </c>
      <c r="F1067" s="9"/>
      <c r="G1067" s="10"/>
      <c r="H1067" s="11"/>
      <c r="I1067" s="11"/>
      <c r="J1067" s="10">
        <f>IF($D1067="","",IF(AND($H1067&lt;&gt;"",$I1067&lt;&gt;""),"débit ET crédit",IF(AND($H1067="",$I1067=""),"montant manquant",IF(ISNA(MATCH($D1067,'Plan comptable'!$H:$H,0)),"compte hors plan",IF(AND($A1067&lt;&gt;"",YEAR($A1067)&lt;&gt;Exercice),"hors exercice","")))))</f>
      </c>
    </row>
    <row r="1068">
      <c r="A1068" s="13"/>
      <c r="B1068" s="10"/>
      <c r="C1068" s="9"/>
      <c r="D1068" s="20"/>
      <c r="E1068" s="9">
        <f>IF($D1068="","",IFERROR(VLOOKUP($D1068,'Plan comptable'!$H:$I,2,FALSE),"compte hors plan"))</f>
      </c>
      <c r="F1068" s="9"/>
      <c r="G1068" s="10"/>
      <c r="H1068" s="11"/>
      <c r="I1068" s="11"/>
      <c r="J1068" s="10">
        <f>IF($D1068="","",IF(AND($H1068&lt;&gt;"",$I1068&lt;&gt;""),"débit ET crédit",IF(AND($H1068="",$I1068=""),"montant manquant",IF(ISNA(MATCH($D1068,'Plan comptable'!$H:$H,0)),"compte hors plan",IF(AND($A1068&lt;&gt;"",YEAR($A1068)&lt;&gt;Exercice),"hors exercice","")))))</f>
      </c>
    </row>
    <row r="1069">
      <c r="A1069" s="13"/>
      <c r="B1069" s="10"/>
      <c r="C1069" s="9"/>
      <c r="D1069" s="20"/>
      <c r="E1069" s="9">
        <f>IF($D1069="","",IFERROR(VLOOKUP($D1069,'Plan comptable'!$H:$I,2,FALSE),"compte hors plan"))</f>
      </c>
      <c r="F1069" s="9"/>
      <c r="G1069" s="10"/>
      <c r="H1069" s="11"/>
      <c r="I1069" s="11"/>
      <c r="J1069" s="10">
        <f>IF($D1069="","",IF(AND($H1069&lt;&gt;"",$I1069&lt;&gt;""),"débit ET crédit",IF(AND($H1069="",$I1069=""),"montant manquant",IF(ISNA(MATCH($D1069,'Plan comptable'!$H:$H,0)),"compte hors plan",IF(AND($A1069&lt;&gt;"",YEAR($A1069)&lt;&gt;Exercice),"hors exercice","")))))</f>
      </c>
    </row>
    <row r="1070">
      <c r="A1070" s="13"/>
      <c r="B1070" s="10"/>
      <c r="C1070" s="9"/>
      <c r="D1070" s="20"/>
      <c r="E1070" s="9">
        <f>IF($D1070="","",IFERROR(VLOOKUP($D1070,'Plan comptable'!$H:$I,2,FALSE),"compte hors plan"))</f>
      </c>
      <c r="F1070" s="9"/>
      <c r="G1070" s="10"/>
      <c r="H1070" s="11"/>
      <c r="I1070" s="11"/>
      <c r="J1070" s="10">
        <f>IF($D1070="","",IF(AND($H1070&lt;&gt;"",$I1070&lt;&gt;""),"débit ET crédit",IF(AND($H1070="",$I1070=""),"montant manquant",IF(ISNA(MATCH($D1070,'Plan comptable'!$H:$H,0)),"compte hors plan",IF(AND($A1070&lt;&gt;"",YEAR($A1070)&lt;&gt;Exercice),"hors exercice","")))))</f>
      </c>
    </row>
    <row r="1071">
      <c r="A1071" s="13"/>
      <c r="B1071" s="10"/>
      <c r="C1071" s="9"/>
      <c r="D1071" s="20"/>
      <c r="E1071" s="9">
        <f>IF($D1071="","",IFERROR(VLOOKUP($D1071,'Plan comptable'!$H:$I,2,FALSE),"compte hors plan"))</f>
      </c>
      <c r="F1071" s="9"/>
      <c r="G1071" s="10"/>
      <c r="H1071" s="11"/>
      <c r="I1071" s="11"/>
      <c r="J1071" s="10">
        <f>IF($D1071="","",IF(AND($H1071&lt;&gt;"",$I1071&lt;&gt;""),"débit ET crédit",IF(AND($H1071="",$I1071=""),"montant manquant",IF(ISNA(MATCH($D1071,'Plan comptable'!$H:$H,0)),"compte hors plan",IF(AND($A1071&lt;&gt;"",YEAR($A1071)&lt;&gt;Exercice),"hors exercice","")))))</f>
      </c>
    </row>
    <row r="1072">
      <c r="A1072" s="13"/>
      <c r="B1072" s="10"/>
      <c r="C1072" s="9"/>
      <c r="D1072" s="20"/>
      <c r="E1072" s="9">
        <f>IF($D1072="","",IFERROR(VLOOKUP($D1072,'Plan comptable'!$H:$I,2,FALSE),"compte hors plan"))</f>
      </c>
      <c r="F1072" s="9"/>
      <c r="G1072" s="10"/>
      <c r="H1072" s="11"/>
      <c r="I1072" s="11"/>
      <c r="J1072" s="10">
        <f>IF($D1072="","",IF(AND($H1072&lt;&gt;"",$I1072&lt;&gt;""),"débit ET crédit",IF(AND($H1072="",$I1072=""),"montant manquant",IF(ISNA(MATCH($D1072,'Plan comptable'!$H:$H,0)),"compte hors plan",IF(AND($A1072&lt;&gt;"",YEAR($A1072)&lt;&gt;Exercice),"hors exercice","")))))</f>
      </c>
    </row>
    <row r="1073">
      <c r="A1073" s="13"/>
      <c r="B1073" s="10"/>
      <c r="C1073" s="9"/>
      <c r="D1073" s="20"/>
      <c r="E1073" s="9">
        <f>IF($D1073="","",IFERROR(VLOOKUP($D1073,'Plan comptable'!$H:$I,2,FALSE),"compte hors plan"))</f>
      </c>
      <c r="F1073" s="9"/>
      <c r="G1073" s="10"/>
      <c r="H1073" s="11"/>
      <c r="I1073" s="11"/>
      <c r="J1073" s="10">
        <f>IF($D1073="","",IF(AND($H1073&lt;&gt;"",$I1073&lt;&gt;""),"débit ET crédit",IF(AND($H1073="",$I1073=""),"montant manquant",IF(ISNA(MATCH($D1073,'Plan comptable'!$H:$H,0)),"compte hors plan",IF(AND($A1073&lt;&gt;"",YEAR($A1073)&lt;&gt;Exercice),"hors exercice","")))))</f>
      </c>
    </row>
    <row r="1074">
      <c r="A1074" s="13"/>
      <c r="B1074" s="10"/>
      <c r="C1074" s="9"/>
      <c r="D1074" s="20"/>
      <c r="E1074" s="9">
        <f>IF($D1074="","",IFERROR(VLOOKUP($D1074,'Plan comptable'!$H:$I,2,FALSE),"compte hors plan"))</f>
      </c>
      <c r="F1074" s="9"/>
      <c r="G1074" s="10"/>
      <c r="H1074" s="11"/>
      <c r="I1074" s="11"/>
      <c r="J1074" s="10">
        <f>IF($D1074="","",IF(AND($H1074&lt;&gt;"",$I1074&lt;&gt;""),"débit ET crédit",IF(AND($H1074="",$I1074=""),"montant manquant",IF(ISNA(MATCH($D1074,'Plan comptable'!$H:$H,0)),"compte hors plan",IF(AND($A1074&lt;&gt;"",YEAR($A1074)&lt;&gt;Exercice),"hors exercice","")))))</f>
      </c>
    </row>
    <row r="1075">
      <c r="A1075" s="13"/>
      <c r="B1075" s="10"/>
      <c r="C1075" s="9"/>
      <c r="D1075" s="20"/>
      <c r="E1075" s="9">
        <f>IF($D1075="","",IFERROR(VLOOKUP($D1075,'Plan comptable'!$H:$I,2,FALSE),"compte hors plan"))</f>
      </c>
      <c r="F1075" s="9"/>
      <c r="G1075" s="10"/>
      <c r="H1075" s="11"/>
      <c r="I1075" s="11"/>
      <c r="J1075" s="10">
        <f>IF($D1075="","",IF(AND($H1075&lt;&gt;"",$I1075&lt;&gt;""),"débit ET crédit",IF(AND($H1075="",$I1075=""),"montant manquant",IF(ISNA(MATCH($D1075,'Plan comptable'!$H:$H,0)),"compte hors plan",IF(AND($A1075&lt;&gt;"",YEAR($A1075)&lt;&gt;Exercice),"hors exercice","")))))</f>
      </c>
    </row>
    <row r="1076">
      <c r="A1076" s="13"/>
      <c r="B1076" s="10"/>
      <c r="C1076" s="9"/>
      <c r="D1076" s="20"/>
      <c r="E1076" s="9">
        <f>IF($D1076="","",IFERROR(VLOOKUP($D1076,'Plan comptable'!$H:$I,2,FALSE),"compte hors plan"))</f>
      </c>
      <c r="F1076" s="9"/>
      <c r="G1076" s="10"/>
      <c r="H1076" s="11"/>
      <c r="I1076" s="11"/>
      <c r="J1076" s="10">
        <f>IF($D1076="","",IF(AND($H1076&lt;&gt;"",$I1076&lt;&gt;""),"débit ET crédit",IF(AND($H1076="",$I1076=""),"montant manquant",IF(ISNA(MATCH($D1076,'Plan comptable'!$H:$H,0)),"compte hors plan",IF(AND($A1076&lt;&gt;"",YEAR($A1076)&lt;&gt;Exercice),"hors exercice","")))))</f>
      </c>
    </row>
    <row r="1077">
      <c r="A1077" s="13"/>
      <c r="B1077" s="10"/>
      <c r="C1077" s="9"/>
      <c r="D1077" s="20"/>
      <c r="E1077" s="9">
        <f>IF($D1077="","",IFERROR(VLOOKUP($D1077,'Plan comptable'!$H:$I,2,FALSE),"compte hors plan"))</f>
      </c>
      <c r="F1077" s="9"/>
      <c r="G1077" s="10"/>
      <c r="H1077" s="11"/>
      <c r="I1077" s="11"/>
      <c r="J1077" s="10">
        <f>IF($D1077="","",IF(AND($H1077&lt;&gt;"",$I1077&lt;&gt;""),"débit ET crédit",IF(AND($H1077="",$I1077=""),"montant manquant",IF(ISNA(MATCH($D1077,'Plan comptable'!$H:$H,0)),"compte hors plan",IF(AND($A1077&lt;&gt;"",YEAR($A1077)&lt;&gt;Exercice),"hors exercice","")))))</f>
      </c>
    </row>
    <row r="1078">
      <c r="A1078" s="13"/>
      <c r="B1078" s="10"/>
      <c r="C1078" s="9"/>
      <c r="D1078" s="20"/>
      <c r="E1078" s="9">
        <f>IF($D1078="","",IFERROR(VLOOKUP($D1078,'Plan comptable'!$H:$I,2,FALSE),"compte hors plan"))</f>
      </c>
      <c r="F1078" s="9"/>
      <c r="G1078" s="10"/>
      <c r="H1078" s="11"/>
      <c r="I1078" s="11"/>
      <c r="J1078" s="10">
        <f>IF($D1078="","",IF(AND($H1078&lt;&gt;"",$I1078&lt;&gt;""),"débit ET crédit",IF(AND($H1078="",$I1078=""),"montant manquant",IF(ISNA(MATCH($D1078,'Plan comptable'!$H:$H,0)),"compte hors plan",IF(AND($A1078&lt;&gt;"",YEAR($A1078)&lt;&gt;Exercice),"hors exercice","")))))</f>
      </c>
    </row>
    <row r="1079">
      <c r="A1079" s="13"/>
      <c r="B1079" s="10"/>
      <c r="C1079" s="9"/>
      <c r="D1079" s="20"/>
      <c r="E1079" s="9">
        <f>IF($D1079="","",IFERROR(VLOOKUP($D1079,'Plan comptable'!$H:$I,2,FALSE),"compte hors plan"))</f>
      </c>
      <c r="F1079" s="9"/>
      <c r="G1079" s="10"/>
      <c r="H1079" s="11"/>
      <c r="I1079" s="11"/>
      <c r="J1079" s="10">
        <f>IF($D1079="","",IF(AND($H1079&lt;&gt;"",$I1079&lt;&gt;""),"débit ET crédit",IF(AND($H1079="",$I1079=""),"montant manquant",IF(ISNA(MATCH($D1079,'Plan comptable'!$H:$H,0)),"compte hors plan",IF(AND($A1079&lt;&gt;"",YEAR($A1079)&lt;&gt;Exercice),"hors exercice","")))))</f>
      </c>
    </row>
    <row r="1080">
      <c r="A1080" s="13"/>
      <c r="B1080" s="10"/>
      <c r="C1080" s="9"/>
      <c r="D1080" s="20"/>
      <c r="E1080" s="9">
        <f>IF($D1080="","",IFERROR(VLOOKUP($D1080,'Plan comptable'!$H:$I,2,FALSE),"compte hors plan"))</f>
      </c>
      <c r="F1080" s="9"/>
      <c r="G1080" s="10"/>
      <c r="H1080" s="11"/>
      <c r="I1080" s="11"/>
      <c r="J1080" s="10">
        <f>IF($D1080="","",IF(AND($H1080&lt;&gt;"",$I1080&lt;&gt;""),"débit ET crédit",IF(AND($H1080="",$I1080=""),"montant manquant",IF(ISNA(MATCH($D1080,'Plan comptable'!$H:$H,0)),"compte hors plan",IF(AND($A1080&lt;&gt;"",YEAR($A1080)&lt;&gt;Exercice),"hors exercice","")))))</f>
      </c>
    </row>
    <row r="1081">
      <c r="A1081" s="13"/>
      <c r="B1081" s="10"/>
      <c r="C1081" s="9"/>
      <c r="D1081" s="20"/>
      <c r="E1081" s="9">
        <f>IF($D1081="","",IFERROR(VLOOKUP($D1081,'Plan comptable'!$H:$I,2,FALSE),"compte hors plan"))</f>
      </c>
      <c r="F1081" s="9"/>
      <c r="G1081" s="10"/>
      <c r="H1081" s="11"/>
      <c r="I1081" s="11"/>
      <c r="J1081" s="10">
        <f>IF($D1081="","",IF(AND($H1081&lt;&gt;"",$I1081&lt;&gt;""),"débit ET crédit",IF(AND($H1081="",$I1081=""),"montant manquant",IF(ISNA(MATCH($D1081,'Plan comptable'!$H:$H,0)),"compte hors plan",IF(AND($A1081&lt;&gt;"",YEAR($A1081)&lt;&gt;Exercice),"hors exercice","")))))</f>
      </c>
    </row>
    <row r="1082">
      <c r="A1082" s="13"/>
      <c r="B1082" s="10"/>
      <c r="C1082" s="9"/>
      <c r="D1082" s="20"/>
      <c r="E1082" s="9">
        <f>IF($D1082="","",IFERROR(VLOOKUP($D1082,'Plan comptable'!$H:$I,2,FALSE),"compte hors plan"))</f>
      </c>
      <c r="F1082" s="9"/>
      <c r="G1082" s="10"/>
      <c r="H1082" s="11"/>
      <c r="I1082" s="11"/>
      <c r="J1082" s="10">
        <f>IF($D1082="","",IF(AND($H1082&lt;&gt;"",$I1082&lt;&gt;""),"débit ET crédit",IF(AND($H1082="",$I1082=""),"montant manquant",IF(ISNA(MATCH($D1082,'Plan comptable'!$H:$H,0)),"compte hors plan",IF(AND($A1082&lt;&gt;"",YEAR($A1082)&lt;&gt;Exercice),"hors exercice","")))))</f>
      </c>
    </row>
    <row r="1083">
      <c r="A1083" s="13"/>
      <c r="B1083" s="10"/>
      <c r="C1083" s="9"/>
      <c r="D1083" s="20"/>
      <c r="E1083" s="9">
        <f>IF($D1083="","",IFERROR(VLOOKUP($D1083,'Plan comptable'!$H:$I,2,FALSE),"compte hors plan"))</f>
      </c>
      <c r="F1083" s="9"/>
      <c r="G1083" s="10"/>
      <c r="H1083" s="11"/>
      <c r="I1083" s="11"/>
      <c r="J1083" s="10">
        <f>IF($D1083="","",IF(AND($H1083&lt;&gt;"",$I1083&lt;&gt;""),"débit ET crédit",IF(AND($H1083="",$I1083=""),"montant manquant",IF(ISNA(MATCH($D1083,'Plan comptable'!$H:$H,0)),"compte hors plan",IF(AND($A1083&lt;&gt;"",YEAR($A1083)&lt;&gt;Exercice),"hors exercice","")))))</f>
      </c>
    </row>
    <row r="1084">
      <c r="A1084" s="13"/>
      <c r="B1084" s="10"/>
      <c r="C1084" s="9"/>
      <c r="D1084" s="20"/>
      <c r="E1084" s="9">
        <f>IF($D1084="","",IFERROR(VLOOKUP($D1084,'Plan comptable'!$H:$I,2,FALSE),"compte hors plan"))</f>
      </c>
      <c r="F1084" s="9"/>
      <c r="G1084" s="10"/>
      <c r="H1084" s="11"/>
      <c r="I1084" s="11"/>
      <c r="J1084" s="10">
        <f>IF($D1084="","",IF(AND($H1084&lt;&gt;"",$I1084&lt;&gt;""),"débit ET crédit",IF(AND($H1084="",$I1084=""),"montant manquant",IF(ISNA(MATCH($D1084,'Plan comptable'!$H:$H,0)),"compte hors plan",IF(AND($A1084&lt;&gt;"",YEAR($A1084)&lt;&gt;Exercice),"hors exercice","")))))</f>
      </c>
    </row>
    <row r="1085">
      <c r="A1085" s="13"/>
      <c r="B1085" s="10"/>
      <c r="C1085" s="9"/>
      <c r="D1085" s="20"/>
      <c r="E1085" s="9">
        <f>IF($D1085="","",IFERROR(VLOOKUP($D1085,'Plan comptable'!$H:$I,2,FALSE),"compte hors plan"))</f>
      </c>
      <c r="F1085" s="9"/>
      <c r="G1085" s="10"/>
      <c r="H1085" s="11"/>
      <c r="I1085" s="11"/>
      <c r="J1085" s="10">
        <f>IF($D1085="","",IF(AND($H1085&lt;&gt;"",$I1085&lt;&gt;""),"débit ET crédit",IF(AND($H1085="",$I1085=""),"montant manquant",IF(ISNA(MATCH($D1085,'Plan comptable'!$H:$H,0)),"compte hors plan",IF(AND($A1085&lt;&gt;"",YEAR($A1085)&lt;&gt;Exercice),"hors exercice","")))))</f>
      </c>
    </row>
    <row r="1086">
      <c r="A1086" s="13"/>
      <c r="B1086" s="10"/>
      <c r="C1086" s="9"/>
      <c r="D1086" s="20"/>
      <c r="E1086" s="9">
        <f>IF($D1086="","",IFERROR(VLOOKUP($D1086,'Plan comptable'!$H:$I,2,FALSE),"compte hors plan"))</f>
      </c>
      <c r="F1086" s="9"/>
      <c r="G1086" s="10"/>
      <c r="H1086" s="11"/>
      <c r="I1086" s="11"/>
      <c r="J1086" s="10">
        <f>IF($D1086="","",IF(AND($H1086&lt;&gt;"",$I1086&lt;&gt;""),"débit ET crédit",IF(AND($H1086="",$I1086=""),"montant manquant",IF(ISNA(MATCH($D1086,'Plan comptable'!$H:$H,0)),"compte hors plan",IF(AND($A1086&lt;&gt;"",YEAR($A1086)&lt;&gt;Exercice),"hors exercice","")))))</f>
      </c>
    </row>
    <row r="1087">
      <c r="A1087" s="13"/>
      <c r="B1087" s="10"/>
      <c r="C1087" s="9"/>
      <c r="D1087" s="20"/>
      <c r="E1087" s="9">
        <f>IF($D1087="","",IFERROR(VLOOKUP($D1087,'Plan comptable'!$H:$I,2,FALSE),"compte hors plan"))</f>
      </c>
      <c r="F1087" s="9"/>
      <c r="G1087" s="10"/>
      <c r="H1087" s="11"/>
      <c r="I1087" s="11"/>
      <c r="J1087" s="10">
        <f>IF($D1087="","",IF(AND($H1087&lt;&gt;"",$I1087&lt;&gt;""),"débit ET crédit",IF(AND($H1087="",$I1087=""),"montant manquant",IF(ISNA(MATCH($D1087,'Plan comptable'!$H:$H,0)),"compte hors plan",IF(AND($A1087&lt;&gt;"",YEAR($A1087)&lt;&gt;Exercice),"hors exercice","")))))</f>
      </c>
    </row>
    <row r="1088">
      <c r="A1088" s="13"/>
      <c r="B1088" s="10"/>
      <c r="C1088" s="9"/>
      <c r="D1088" s="20"/>
      <c r="E1088" s="9">
        <f>IF($D1088="","",IFERROR(VLOOKUP($D1088,'Plan comptable'!$H:$I,2,FALSE),"compte hors plan"))</f>
      </c>
      <c r="F1088" s="9"/>
      <c r="G1088" s="10"/>
      <c r="H1088" s="11"/>
      <c r="I1088" s="11"/>
      <c r="J1088" s="10">
        <f>IF($D1088="","",IF(AND($H1088&lt;&gt;"",$I1088&lt;&gt;""),"débit ET crédit",IF(AND($H1088="",$I1088=""),"montant manquant",IF(ISNA(MATCH($D1088,'Plan comptable'!$H:$H,0)),"compte hors plan",IF(AND($A1088&lt;&gt;"",YEAR($A1088)&lt;&gt;Exercice),"hors exercice","")))))</f>
      </c>
    </row>
    <row r="1089">
      <c r="A1089" s="13"/>
      <c r="B1089" s="10"/>
      <c r="C1089" s="9"/>
      <c r="D1089" s="20"/>
      <c r="E1089" s="9">
        <f>IF($D1089="","",IFERROR(VLOOKUP($D1089,'Plan comptable'!$H:$I,2,FALSE),"compte hors plan"))</f>
      </c>
      <c r="F1089" s="9"/>
      <c r="G1089" s="10"/>
      <c r="H1089" s="11"/>
      <c r="I1089" s="11"/>
      <c r="J1089" s="10">
        <f>IF($D1089="","",IF(AND($H1089&lt;&gt;"",$I1089&lt;&gt;""),"débit ET crédit",IF(AND($H1089="",$I1089=""),"montant manquant",IF(ISNA(MATCH($D1089,'Plan comptable'!$H:$H,0)),"compte hors plan",IF(AND($A1089&lt;&gt;"",YEAR($A1089)&lt;&gt;Exercice),"hors exercice","")))))</f>
      </c>
    </row>
    <row r="1090">
      <c r="A1090" s="13"/>
      <c r="B1090" s="10"/>
      <c r="C1090" s="9"/>
      <c r="D1090" s="20"/>
      <c r="E1090" s="9">
        <f>IF($D1090="","",IFERROR(VLOOKUP($D1090,'Plan comptable'!$H:$I,2,FALSE),"compte hors plan"))</f>
      </c>
      <c r="F1090" s="9"/>
      <c r="G1090" s="10"/>
      <c r="H1090" s="11"/>
      <c r="I1090" s="11"/>
      <c r="J1090" s="10">
        <f>IF($D1090="","",IF(AND($H1090&lt;&gt;"",$I1090&lt;&gt;""),"débit ET crédit",IF(AND($H1090="",$I1090=""),"montant manquant",IF(ISNA(MATCH($D1090,'Plan comptable'!$H:$H,0)),"compte hors plan",IF(AND($A1090&lt;&gt;"",YEAR($A1090)&lt;&gt;Exercice),"hors exercice","")))))</f>
      </c>
    </row>
    <row r="1091">
      <c r="A1091" s="13"/>
      <c r="B1091" s="10"/>
      <c r="C1091" s="9"/>
      <c r="D1091" s="20"/>
      <c r="E1091" s="9">
        <f>IF($D1091="","",IFERROR(VLOOKUP($D1091,'Plan comptable'!$H:$I,2,FALSE),"compte hors plan"))</f>
      </c>
      <c r="F1091" s="9"/>
      <c r="G1091" s="10"/>
      <c r="H1091" s="11"/>
      <c r="I1091" s="11"/>
      <c r="J1091" s="10">
        <f>IF($D1091="","",IF(AND($H1091&lt;&gt;"",$I1091&lt;&gt;""),"débit ET crédit",IF(AND($H1091="",$I1091=""),"montant manquant",IF(ISNA(MATCH($D1091,'Plan comptable'!$H:$H,0)),"compte hors plan",IF(AND($A1091&lt;&gt;"",YEAR($A1091)&lt;&gt;Exercice),"hors exercice","")))))</f>
      </c>
    </row>
    <row r="1092">
      <c r="A1092" s="13"/>
      <c r="B1092" s="10"/>
      <c r="C1092" s="9"/>
      <c r="D1092" s="20"/>
      <c r="E1092" s="9">
        <f>IF($D1092="","",IFERROR(VLOOKUP($D1092,'Plan comptable'!$H:$I,2,FALSE),"compte hors plan"))</f>
      </c>
      <c r="F1092" s="9"/>
      <c r="G1092" s="10"/>
      <c r="H1092" s="11"/>
      <c r="I1092" s="11"/>
      <c r="J1092" s="10">
        <f>IF($D1092="","",IF(AND($H1092&lt;&gt;"",$I1092&lt;&gt;""),"débit ET crédit",IF(AND($H1092="",$I1092=""),"montant manquant",IF(ISNA(MATCH($D1092,'Plan comptable'!$H:$H,0)),"compte hors plan",IF(AND($A1092&lt;&gt;"",YEAR($A1092)&lt;&gt;Exercice),"hors exercice","")))))</f>
      </c>
    </row>
    <row r="1093">
      <c r="A1093" s="13"/>
      <c r="B1093" s="10"/>
      <c r="C1093" s="9"/>
      <c r="D1093" s="20"/>
      <c r="E1093" s="9">
        <f>IF($D1093="","",IFERROR(VLOOKUP($D1093,'Plan comptable'!$H:$I,2,FALSE),"compte hors plan"))</f>
      </c>
      <c r="F1093" s="9"/>
      <c r="G1093" s="10"/>
      <c r="H1093" s="11"/>
      <c r="I1093" s="11"/>
      <c r="J1093" s="10">
        <f>IF($D1093="","",IF(AND($H1093&lt;&gt;"",$I1093&lt;&gt;""),"débit ET crédit",IF(AND($H1093="",$I1093=""),"montant manquant",IF(ISNA(MATCH($D1093,'Plan comptable'!$H:$H,0)),"compte hors plan",IF(AND($A1093&lt;&gt;"",YEAR($A1093)&lt;&gt;Exercice),"hors exercice","")))))</f>
      </c>
    </row>
    <row r="1094">
      <c r="A1094" s="13"/>
      <c r="B1094" s="10"/>
      <c r="C1094" s="9"/>
      <c r="D1094" s="20"/>
      <c r="E1094" s="9">
        <f>IF($D1094="","",IFERROR(VLOOKUP($D1094,'Plan comptable'!$H:$I,2,FALSE),"compte hors plan"))</f>
      </c>
      <c r="F1094" s="9"/>
      <c r="G1094" s="10"/>
      <c r="H1094" s="11"/>
      <c r="I1094" s="11"/>
      <c r="J1094" s="10">
        <f>IF($D1094="","",IF(AND($H1094&lt;&gt;"",$I1094&lt;&gt;""),"débit ET crédit",IF(AND($H1094="",$I1094=""),"montant manquant",IF(ISNA(MATCH($D1094,'Plan comptable'!$H:$H,0)),"compte hors plan",IF(AND($A1094&lt;&gt;"",YEAR($A1094)&lt;&gt;Exercice),"hors exercice","")))))</f>
      </c>
    </row>
    <row r="1095">
      <c r="A1095" s="13"/>
      <c r="B1095" s="10"/>
      <c r="C1095" s="9"/>
      <c r="D1095" s="20"/>
      <c r="E1095" s="9">
        <f>IF($D1095="","",IFERROR(VLOOKUP($D1095,'Plan comptable'!$H:$I,2,FALSE),"compte hors plan"))</f>
      </c>
      <c r="F1095" s="9"/>
      <c r="G1095" s="10"/>
      <c r="H1095" s="11"/>
      <c r="I1095" s="11"/>
      <c r="J1095" s="10">
        <f>IF($D1095="","",IF(AND($H1095&lt;&gt;"",$I1095&lt;&gt;""),"débit ET crédit",IF(AND($H1095="",$I1095=""),"montant manquant",IF(ISNA(MATCH($D1095,'Plan comptable'!$H:$H,0)),"compte hors plan",IF(AND($A1095&lt;&gt;"",YEAR($A1095)&lt;&gt;Exercice),"hors exercice","")))))</f>
      </c>
    </row>
    <row r="1096">
      <c r="A1096" s="13"/>
      <c r="B1096" s="10"/>
      <c r="C1096" s="9"/>
      <c r="D1096" s="20"/>
      <c r="E1096" s="9">
        <f>IF($D1096="","",IFERROR(VLOOKUP($D1096,'Plan comptable'!$H:$I,2,FALSE),"compte hors plan"))</f>
      </c>
      <c r="F1096" s="9"/>
      <c r="G1096" s="10"/>
      <c r="H1096" s="11"/>
      <c r="I1096" s="11"/>
      <c r="J1096" s="10">
        <f>IF($D1096="","",IF(AND($H1096&lt;&gt;"",$I1096&lt;&gt;""),"débit ET crédit",IF(AND($H1096="",$I1096=""),"montant manquant",IF(ISNA(MATCH($D1096,'Plan comptable'!$H:$H,0)),"compte hors plan",IF(AND($A1096&lt;&gt;"",YEAR($A1096)&lt;&gt;Exercice),"hors exercice","")))))</f>
      </c>
    </row>
    <row r="1097">
      <c r="A1097" s="13"/>
      <c r="B1097" s="10"/>
      <c r="C1097" s="9"/>
      <c r="D1097" s="20"/>
      <c r="E1097" s="9">
        <f>IF($D1097="","",IFERROR(VLOOKUP($D1097,'Plan comptable'!$H:$I,2,FALSE),"compte hors plan"))</f>
      </c>
      <c r="F1097" s="9"/>
      <c r="G1097" s="10"/>
      <c r="H1097" s="11"/>
      <c r="I1097" s="11"/>
      <c r="J1097" s="10">
        <f>IF($D1097="","",IF(AND($H1097&lt;&gt;"",$I1097&lt;&gt;""),"débit ET crédit",IF(AND($H1097="",$I1097=""),"montant manquant",IF(ISNA(MATCH($D1097,'Plan comptable'!$H:$H,0)),"compte hors plan",IF(AND($A1097&lt;&gt;"",YEAR($A1097)&lt;&gt;Exercice),"hors exercice","")))))</f>
      </c>
    </row>
    <row r="1098">
      <c r="A1098" s="13"/>
      <c r="B1098" s="10"/>
      <c r="C1098" s="9"/>
      <c r="D1098" s="20"/>
      <c r="E1098" s="9">
        <f>IF($D1098="","",IFERROR(VLOOKUP($D1098,'Plan comptable'!$H:$I,2,FALSE),"compte hors plan"))</f>
      </c>
      <c r="F1098" s="9"/>
      <c r="G1098" s="10"/>
      <c r="H1098" s="11"/>
      <c r="I1098" s="11"/>
      <c r="J1098" s="10">
        <f>IF($D1098="","",IF(AND($H1098&lt;&gt;"",$I1098&lt;&gt;""),"débit ET crédit",IF(AND($H1098="",$I1098=""),"montant manquant",IF(ISNA(MATCH($D1098,'Plan comptable'!$H:$H,0)),"compte hors plan",IF(AND($A1098&lt;&gt;"",YEAR($A1098)&lt;&gt;Exercice),"hors exercice","")))))</f>
      </c>
    </row>
    <row r="1099">
      <c r="A1099" s="13"/>
      <c r="B1099" s="10"/>
      <c r="C1099" s="9"/>
      <c r="D1099" s="20"/>
      <c r="E1099" s="9">
        <f>IF($D1099="","",IFERROR(VLOOKUP($D1099,'Plan comptable'!$H:$I,2,FALSE),"compte hors plan"))</f>
      </c>
      <c r="F1099" s="9"/>
      <c r="G1099" s="10"/>
      <c r="H1099" s="11"/>
      <c r="I1099" s="11"/>
      <c r="J1099" s="10">
        <f>IF($D1099="","",IF(AND($H1099&lt;&gt;"",$I1099&lt;&gt;""),"débit ET crédit",IF(AND($H1099="",$I1099=""),"montant manquant",IF(ISNA(MATCH($D1099,'Plan comptable'!$H:$H,0)),"compte hors plan",IF(AND($A1099&lt;&gt;"",YEAR($A1099)&lt;&gt;Exercice),"hors exercice","")))))</f>
      </c>
    </row>
    <row r="1100">
      <c r="A1100" s="13"/>
      <c r="B1100" s="10"/>
      <c r="C1100" s="9"/>
      <c r="D1100" s="20"/>
      <c r="E1100" s="9">
        <f>IF($D1100="","",IFERROR(VLOOKUP($D1100,'Plan comptable'!$H:$I,2,FALSE),"compte hors plan"))</f>
      </c>
      <c r="F1100" s="9"/>
      <c r="G1100" s="10"/>
      <c r="H1100" s="11"/>
      <c r="I1100" s="11"/>
      <c r="J1100" s="10">
        <f>IF($D1100="","",IF(AND($H1100&lt;&gt;"",$I1100&lt;&gt;""),"débit ET crédit",IF(AND($H1100="",$I1100=""),"montant manquant",IF(ISNA(MATCH($D1100,'Plan comptable'!$H:$H,0)),"compte hors plan",IF(AND($A1100&lt;&gt;"",YEAR($A1100)&lt;&gt;Exercice),"hors exercice","")))))</f>
      </c>
    </row>
    <row r="1101">
      <c r="A1101" s="13"/>
      <c r="B1101" s="10"/>
      <c r="C1101" s="9"/>
      <c r="D1101" s="20"/>
      <c r="E1101" s="9">
        <f>IF($D1101="","",IFERROR(VLOOKUP($D1101,'Plan comptable'!$H:$I,2,FALSE),"compte hors plan"))</f>
      </c>
      <c r="F1101" s="9"/>
      <c r="G1101" s="10"/>
      <c r="H1101" s="11"/>
      <c r="I1101" s="11"/>
      <c r="J1101" s="10">
        <f>IF($D1101="","",IF(AND($H1101&lt;&gt;"",$I1101&lt;&gt;""),"débit ET crédit",IF(AND($H1101="",$I1101=""),"montant manquant",IF(ISNA(MATCH($D1101,'Plan comptable'!$H:$H,0)),"compte hors plan",IF(AND($A1101&lt;&gt;"",YEAR($A1101)&lt;&gt;Exercice),"hors exercice","")))))</f>
      </c>
    </row>
    <row r="1102">
      <c r="A1102" s="13"/>
      <c r="B1102" s="10"/>
      <c r="C1102" s="9"/>
      <c r="D1102" s="20"/>
      <c r="E1102" s="9">
        <f>IF($D1102="","",IFERROR(VLOOKUP($D1102,'Plan comptable'!$H:$I,2,FALSE),"compte hors plan"))</f>
      </c>
      <c r="F1102" s="9"/>
      <c r="G1102" s="10"/>
      <c r="H1102" s="11"/>
      <c r="I1102" s="11"/>
      <c r="J1102" s="10">
        <f>IF($D1102="","",IF(AND($H1102&lt;&gt;"",$I1102&lt;&gt;""),"débit ET crédit",IF(AND($H1102="",$I1102=""),"montant manquant",IF(ISNA(MATCH($D1102,'Plan comptable'!$H:$H,0)),"compte hors plan",IF(AND($A1102&lt;&gt;"",YEAR($A1102)&lt;&gt;Exercice),"hors exercice","")))))</f>
      </c>
    </row>
    <row r="1103">
      <c r="A1103" s="13"/>
      <c r="B1103" s="10"/>
      <c r="C1103" s="9"/>
      <c r="D1103" s="20"/>
      <c r="E1103" s="9">
        <f>IF($D1103="","",IFERROR(VLOOKUP($D1103,'Plan comptable'!$H:$I,2,FALSE),"compte hors plan"))</f>
      </c>
      <c r="F1103" s="9"/>
      <c r="G1103" s="10"/>
      <c r="H1103" s="11"/>
      <c r="I1103" s="11"/>
      <c r="J1103" s="10">
        <f>IF($D1103="","",IF(AND($H1103&lt;&gt;"",$I1103&lt;&gt;""),"débit ET crédit",IF(AND($H1103="",$I1103=""),"montant manquant",IF(ISNA(MATCH($D1103,'Plan comptable'!$H:$H,0)),"compte hors plan",IF(AND($A1103&lt;&gt;"",YEAR($A1103)&lt;&gt;Exercice),"hors exercice","")))))</f>
      </c>
    </row>
    <row r="1104">
      <c r="A1104" s="13"/>
      <c r="B1104" s="10"/>
      <c r="C1104" s="9"/>
      <c r="D1104" s="20"/>
      <c r="E1104" s="9">
        <f>IF($D1104="","",IFERROR(VLOOKUP($D1104,'Plan comptable'!$H:$I,2,FALSE),"compte hors plan"))</f>
      </c>
      <c r="F1104" s="9"/>
      <c r="G1104" s="10"/>
      <c r="H1104" s="11"/>
      <c r="I1104" s="11"/>
      <c r="J1104" s="10">
        <f>IF($D1104="","",IF(AND($H1104&lt;&gt;"",$I1104&lt;&gt;""),"débit ET crédit",IF(AND($H1104="",$I1104=""),"montant manquant",IF(ISNA(MATCH($D1104,'Plan comptable'!$H:$H,0)),"compte hors plan",IF(AND($A1104&lt;&gt;"",YEAR($A1104)&lt;&gt;Exercice),"hors exercice","")))))</f>
      </c>
    </row>
    <row r="1105">
      <c r="A1105" s="13"/>
      <c r="B1105" s="10"/>
      <c r="C1105" s="9"/>
      <c r="D1105" s="20"/>
      <c r="E1105" s="9">
        <f>IF($D1105="","",IFERROR(VLOOKUP($D1105,'Plan comptable'!$H:$I,2,FALSE),"compte hors plan"))</f>
      </c>
      <c r="F1105" s="9"/>
      <c r="G1105" s="10"/>
      <c r="H1105" s="11"/>
      <c r="I1105" s="11"/>
      <c r="J1105" s="10">
        <f>IF($D1105="","",IF(AND($H1105&lt;&gt;"",$I1105&lt;&gt;""),"débit ET crédit",IF(AND($H1105="",$I1105=""),"montant manquant",IF(ISNA(MATCH($D1105,'Plan comptable'!$H:$H,0)),"compte hors plan",IF(AND($A1105&lt;&gt;"",YEAR($A1105)&lt;&gt;Exercice),"hors exercice","")))))</f>
      </c>
    </row>
    <row r="1106">
      <c r="A1106" s="13"/>
      <c r="B1106" s="10"/>
      <c r="C1106" s="9"/>
      <c r="D1106" s="20"/>
      <c r="E1106" s="9">
        <f>IF($D1106="","",IFERROR(VLOOKUP($D1106,'Plan comptable'!$H:$I,2,FALSE),"compte hors plan"))</f>
      </c>
      <c r="F1106" s="9"/>
      <c r="G1106" s="10"/>
      <c r="H1106" s="11"/>
      <c r="I1106" s="11"/>
      <c r="J1106" s="10">
        <f>IF($D1106="","",IF(AND($H1106&lt;&gt;"",$I1106&lt;&gt;""),"débit ET crédit",IF(AND($H1106="",$I1106=""),"montant manquant",IF(ISNA(MATCH($D1106,'Plan comptable'!$H:$H,0)),"compte hors plan",IF(AND($A1106&lt;&gt;"",YEAR($A1106)&lt;&gt;Exercice),"hors exercice","")))))</f>
      </c>
    </row>
    <row r="1107">
      <c r="A1107" s="13"/>
      <c r="B1107" s="10"/>
      <c r="C1107" s="9"/>
      <c r="D1107" s="20"/>
      <c r="E1107" s="9">
        <f>IF($D1107="","",IFERROR(VLOOKUP($D1107,'Plan comptable'!$H:$I,2,FALSE),"compte hors plan"))</f>
      </c>
      <c r="F1107" s="9"/>
      <c r="G1107" s="10"/>
      <c r="H1107" s="11"/>
      <c r="I1107" s="11"/>
      <c r="J1107" s="10">
        <f>IF($D1107="","",IF(AND($H1107&lt;&gt;"",$I1107&lt;&gt;""),"débit ET crédit",IF(AND($H1107="",$I1107=""),"montant manquant",IF(ISNA(MATCH($D1107,'Plan comptable'!$H:$H,0)),"compte hors plan",IF(AND($A1107&lt;&gt;"",YEAR($A1107)&lt;&gt;Exercice),"hors exercice","")))))</f>
      </c>
    </row>
    <row r="1108">
      <c r="A1108" s="13"/>
      <c r="B1108" s="10"/>
      <c r="C1108" s="9"/>
      <c r="D1108" s="20"/>
      <c r="E1108" s="9">
        <f>IF($D1108="","",IFERROR(VLOOKUP($D1108,'Plan comptable'!$H:$I,2,FALSE),"compte hors plan"))</f>
      </c>
      <c r="F1108" s="9"/>
      <c r="G1108" s="10"/>
      <c r="H1108" s="11"/>
      <c r="I1108" s="11"/>
      <c r="J1108" s="10">
        <f>IF($D1108="","",IF(AND($H1108&lt;&gt;"",$I1108&lt;&gt;""),"débit ET crédit",IF(AND($H1108="",$I1108=""),"montant manquant",IF(ISNA(MATCH($D1108,'Plan comptable'!$H:$H,0)),"compte hors plan",IF(AND($A1108&lt;&gt;"",YEAR($A1108)&lt;&gt;Exercice),"hors exercice","")))))</f>
      </c>
    </row>
    <row r="1109">
      <c r="A1109" s="13"/>
      <c r="B1109" s="10"/>
      <c r="C1109" s="9"/>
      <c r="D1109" s="20"/>
      <c r="E1109" s="9">
        <f>IF($D1109="","",IFERROR(VLOOKUP($D1109,'Plan comptable'!$H:$I,2,FALSE),"compte hors plan"))</f>
      </c>
      <c r="F1109" s="9"/>
      <c r="G1109" s="10"/>
      <c r="H1109" s="11"/>
      <c r="I1109" s="11"/>
      <c r="J1109" s="10">
        <f>IF($D1109="","",IF(AND($H1109&lt;&gt;"",$I1109&lt;&gt;""),"débit ET crédit",IF(AND($H1109="",$I1109=""),"montant manquant",IF(ISNA(MATCH($D1109,'Plan comptable'!$H:$H,0)),"compte hors plan",IF(AND($A1109&lt;&gt;"",YEAR($A1109)&lt;&gt;Exercice),"hors exercice","")))))</f>
      </c>
    </row>
    <row r="1110">
      <c r="A1110" s="13"/>
      <c r="B1110" s="10"/>
      <c r="C1110" s="9"/>
      <c r="D1110" s="20"/>
      <c r="E1110" s="9">
        <f>IF($D1110="","",IFERROR(VLOOKUP($D1110,'Plan comptable'!$H:$I,2,FALSE),"compte hors plan"))</f>
      </c>
      <c r="F1110" s="9"/>
      <c r="G1110" s="10"/>
      <c r="H1110" s="11"/>
      <c r="I1110" s="11"/>
      <c r="J1110" s="10">
        <f>IF($D1110="","",IF(AND($H1110&lt;&gt;"",$I1110&lt;&gt;""),"débit ET crédit",IF(AND($H1110="",$I1110=""),"montant manquant",IF(ISNA(MATCH($D1110,'Plan comptable'!$H:$H,0)),"compte hors plan",IF(AND($A1110&lt;&gt;"",YEAR($A1110)&lt;&gt;Exercice),"hors exercice","")))))</f>
      </c>
    </row>
    <row r="1111">
      <c r="A1111" s="13"/>
      <c r="B1111" s="10"/>
      <c r="C1111" s="9"/>
      <c r="D1111" s="20"/>
      <c r="E1111" s="9">
        <f>IF($D1111="","",IFERROR(VLOOKUP($D1111,'Plan comptable'!$H:$I,2,FALSE),"compte hors plan"))</f>
      </c>
      <c r="F1111" s="9"/>
      <c r="G1111" s="10"/>
      <c r="H1111" s="11"/>
      <c r="I1111" s="11"/>
      <c r="J1111" s="10">
        <f>IF($D1111="","",IF(AND($H1111&lt;&gt;"",$I1111&lt;&gt;""),"débit ET crédit",IF(AND($H1111="",$I1111=""),"montant manquant",IF(ISNA(MATCH($D1111,'Plan comptable'!$H:$H,0)),"compte hors plan",IF(AND($A1111&lt;&gt;"",YEAR($A1111)&lt;&gt;Exercice),"hors exercice","")))))</f>
      </c>
    </row>
    <row r="1112">
      <c r="A1112" s="13"/>
      <c r="B1112" s="10"/>
      <c r="C1112" s="9"/>
      <c r="D1112" s="20"/>
      <c r="E1112" s="9">
        <f>IF($D1112="","",IFERROR(VLOOKUP($D1112,'Plan comptable'!$H:$I,2,FALSE),"compte hors plan"))</f>
      </c>
      <c r="F1112" s="9"/>
      <c r="G1112" s="10"/>
      <c r="H1112" s="11"/>
      <c r="I1112" s="11"/>
      <c r="J1112" s="10">
        <f>IF($D1112="","",IF(AND($H1112&lt;&gt;"",$I1112&lt;&gt;""),"débit ET crédit",IF(AND($H1112="",$I1112=""),"montant manquant",IF(ISNA(MATCH($D1112,'Plan comptable'!$H:$H,0)),"compte hors plan",IF(AND($A1112&lt;&gt;"",YEAR($A1112)&lt;&gt;Exercice),"hors exercice","")))))</f>
      </c>
    </row>
    <row r="1113">
      <c r="A1113" s="13"/>
      <c r="B1113" s="10"/>
      <c r="C1113" s="9"/>
      <c r="D1113" s="20"/>
      <c r="E1113" s="9">
        <f>IF($D1113="","",IFERROR(VLOOKUP($D1113,'Plan comptable'!$H:$I,2,FALSE),"compte hors plan"))</f>
      </c>
      <c r="F1113" s="9"/>
      <c r="G1113" s="10"/>
      <c r="H1113" s="11"/>
      <c r="I1113" s="11"/>
      <c r="J1113" s="10">
        <f>IF($D1113="","",IF(AND($H1113&lt;&gt;"",$I1113&lt;&gt;""),"débit ET crédit",IF(AND($H1113="",$I1113=""),"montant manquant",IF(ISNA(MATCH($D1113,'Plan comptable'!$H:$H,0)),"compte hors plan",IF(AND($A1113&lt;&gt;"",YEAR($A1113)&lt;&gt;Exercice),"hors exercice","")))))</f>
      </c>
    </row>
    <row r="1114">
      <c r="A1114" s="13"/>
      <c r="B1114" s="10"/>
      <c r="C1114" s="9"/>
      <c r="D1114" s="20"/>
      <c r="E1114" s="9">
        <f>IF($D1114="","",IFERROR(VLOOKUP($D1114,'Plan comptable'!$H:$I,2,FALSE),"compte hors plan"))</f>
      </c>
      <c r="F1114" s="9"/>
      <c r="G1114" s="10"/>
      <c r="H1114" s="11"/>
      <c r="I1114" s="11"/>
      <c r="J1114" s="10">
        <f>IF($D1114="","",IF(AND($H1114&lt;&gt;"",$I1114&lt;&gt;""),"débit ET crédit",IF(AND($H1114="",$I1114=""),"montant manquant",IF(ISNA(MATCH($D1114,'Plan comptable'!$H:$H,0)),"compte hors plan",IF(AND($A1114&lt;&gt;"",YEAR($A1114)&lt;&gt;Exercice),"hors exercice","")))))</f>
      </c>
    </row>
    <row r="1115">
      <c r="A1115" s="13"/>
      <c r="B1115" s="10"/>
      <c r="C1115" s="9"/>
      <c r="D1115" s="20"/>
      <c r="E1115" s="9">
        <f>IF($D1115="","",IFERROR(VLOOKUP($D1115,'Plan comptable'!$H:$I,2,FALSE),"compte hors plan"))</f>
      </c>
      <c r="F1115" s="9"/>
      <c r="G1115" s="10"/>
      <c r="H1115" s="11"/>
      <c r="I1115" s="11"/>
      <c r="J1115" s="10">
        <f>IF($D1115="","",IF(AND($H1115&lt;&gt;"",$I1115&lt;&gt;""),"débit ET crédit",IF(AND($H1115="",$I1115=""),"montant manquant",IF(ISNA(MATCH($D1115,'Plan comptable'!$H:$H,0)),"compte hors plan",IF(AND($A1115&lt;&gt;"",YEAR($A1115)&lt;&gt;Exercice),"hors exercice","")))))</f>
      </c>
    </row>
    <row r="1116">
      <c r="A1116" s="13"/>
      <c r="B1116" s="10"/>
      <c r="C1116" s="9"/>
      <c r="D1116" s="20"/>
      <c r="E1116" s="9">
        <f>IF($D1116="","",IFERROR(VLOOKUP($D1116,'Plan comptable'!$H:$I,2,FALSE),"compte hors plan"))</f>
      </c>
      <c r="F1116" s="9"/>
      <c r="G1116" s="10"/>
      <c r="H1116" s="11"/>
      <c r="I1116" s="11"/>
      <c r="J1116" s="10">
        <f>IF($D1116="","",IF(AND($H1116&lt;&gt;"",$I1116&lt;&gt;""),"débit ET crédit",IF(AND($H1116="",$I1116=""),"montant manquant",IF(ISNA(MATCH($D1116,'Plan comptable'!$H:$H,0)),"compte hors plan",IF(AND($A1116&lt;&gt;"",YEAR($A1116)&lt;&gt;Exercice),"hors exercice","")))))</f>
      </c>
    </row>
    <row r="1117">
      <c r="A1117" s="13"/>
      <c r="B1117" s="10"/>
      <c r="C1117" s="9"/>
      <c r="D1117" s="20"/>
      <c r="E1117" s="9">
        <f>IF($D1117="","",IFERROR(VLOOKUP($D1117,'Plan comptable'!$H:$I,2,FALSE),"compte hors plan"))</f>
      </c>
      <c r="F1117" s="9"/>
      <c r="G1117" s="10"/>
      <c r="H1117" s="11"/>
      <c r="I1117" s="11"/>
      <c r="J1117" s="10">
        <f>IF($D1117="","",IF(AND($H1117&lt;&gt;"",$I1117&lt;&gt;""),"débit ET crédit",IF(AND($H1117="",$I1117=""),"montant manquant",IF(ISNA(MATCH($D1117,'Plan comptable'!$H:$H,0)),"compte hors plan",IF(AND($A1117&lt;&gt;"",YEAR($A1117)&lt;&gt;Exercice),"hors exercice","")))))</f>
      </c>
    </row>
    <row r="1118">
      <c r="A1118" s="13"/>
      <c r="B1118" s="10"/>
      <c r="C1118" s="9"/>
      <c r="D1118" s="20"/>
      <c r="E1118" s="9">
        <f>IF($D1118="","",IFERROR(VLOOKUP($D1118,'Plan comptable'!$H:$I,2,FALSE),"compte hors plan"))</f>
      </c>
      <c r="F1118" s="9"/>
      <c r="G1118" s="10"/>
      <c r="H1118" s="11"/>
      <c r="I1118" s="11"/>
      <c r="J1118" s="10">
        <f>IF($D1118="","",IF(AND($H1118&lt;&gt;"",$I1118&lt;&gt;""),"débit ET crédit",IF(AND($H1118="",$I1118=""),"montant manquant",IF(ISNA(MATCH($D1118,'Plan comptable'!$H:$H,0)),"compte hors plan",IF(AND($A1118&lt;&gt;"",YEAR($A1118)&lt;&gt;Exercice),"hors exercice","")))))</f>
      </c>
    </row>
    <row r="1119">
      <c r="A1119" s="13"/>
      <c r="B1119" s="10"/>
      <c r="C1119" s="9"/>
      <c r="D1119" s="20"/>
      <c r="E1119" s="9">
        <f>IF($D1119="","",IFERROR(VLOOKUP($D1119,'Plan comptable'!$H:$I,2,FALSE),"compte hors plan"))</f>
      </c>
      <c r="F1119" s="9"/>
      <c r="G1119" s="10"/>
      <c r="H1119" s="11"/>
      <c r="I1119" s="11"/>
      <c r="J1119" s="10">
        <f>IF($D1119="","",IF(AND($H1119&lt;&gt;"",$I1119&lt;&gt;""),"débit ET crédit",IF(AND($H1119="",$I1119=""),"montant manquant",IF(ISNA(MATCH($D1119,'Plan comptable'!$H:$H,0)),"compte hors plan",IF(AND($A1119&lt;&gt;"",YEAR($A1119)&lt;&gt;Exercice),"hors exercice","")))))</f>
      </c>
    </row>
    <row r="1120">
      <c r="A1120" s="13"/>
      <c r="B1120" s="10"/>
      <c r="C1120" s="9"/>
      <c r="D1120" s="20"/>
      <c r="E1120" s="9">
        <f>IF($D1120="","",IFERROR(VLOOKUP($D1120,'Plan comptable'!$H:$I,2,FALSE),"compte hors plan"))</f>
      </c>
      <c r="F1120" s="9"/>
      <c r="G1120" s="10"/>
      <c r="H1120" s="11"/>
      <c r="I1120" s="11"/>
      <c r="J1120" s="10">
        <f>IF($D1120="","",IF(AND($H1120&lt;&gt;"",$I1120&lt;&gt;""),"débit ET crédit",IF(AND($H1120="",$I1120=""),"montant manquant",IF(ISNA(MATCH($D1120,'Plan comptable'!$H:$H,0)),"compte hors plan",IF(AND($A1120&lt;&gt;"",YEAR($A1120)&lt;&gt;Exercice),"hors exercice","")))))</f>
      </c>
    </row>
    <row r="1121">
      <c r="A1121" s="13"/>
      <c r="B1121" s="10"/>
      <c r="C1121" s="9"/>
      <c r="D1121" s="20"/>
      <c r="E1121" s="9">
        <f>IF($D1121="","",IFERROR(VLOOKUP($D1121,'Plan comptable'!$H:$I,2,FALSE),"compte hors plan"))</f>
      </c>
      <c r="F1121" s="9"/>
      <c r="G1121" s="10"/>
      <c r="H1121" s="11"/>
      <c r="I1121" s="11"/>
      <c r="J1121" s="10">
        <f>IF($D1121="","",IF(AND($H1121&lt;&gt;"",$I1121&lt;&gt;""),"débit ET crédit",IF(AND($H1121="",$I1121=""),"montant manquant",IF(ISNA(MATCH($D1121,'Plan comptable'!$H:$H,0)),"compte hors plan",IF(AND($A1121&lt;&gt;"",YEAR($A1121)&lt;&gt;Exercice),"hors exercice","")))))</f>
      </c>
    </row>
    <row r="1122">
      <c r="A1122" s="13"/>
      <c r="B1122" s="10"/>
      <c r="C1122" s="9"/>
      <c r="D1122" s="20"/>
      <c r="E1122" s="9">
        <f>IF($D1122="","",IFERROR(VLOOKUP($D1122,'Plan comptable'!$H:$I,2,FALSE),"compte hors plan"))</f>
      </c>
      <c r="F1122" s="9"/>
      <c r="G1122" s="10"/>
      <c r="H1122" s="11"/>
      <c r="I1122" s="11"/>
      <c r="J1122" s="10">
        <f>IF($D1122="","",IF(AND($H1122&lt;&gt;"",$I1122&lt;&gt;""),"débit ET crédit",IF(AND($H1122="",$I1122=""),"montant manquant",IF(ISNA(MATCH($D1122,'Plan comptable'!$H:$H,0)),"compte hors plan",IF(AND($A1122&lt;&gt;"",YEAR($A1122)&lt;&gt;Exercice),"hors exercice","")))))</f>
      </c>
    </row>
    <row r="1123">
      <c r="A1123" s="13"/>
      <c r="B1123" s="10"/>
      <c r="C1123" s="9"/>
      <c r="D1123" s="20"/>
      <c r="E1123" s="9">
        <f>IF($D1123="","",IFERROR(VLOOKUP($D1123,'Plan comptable'!$H:$I,2,FALSE),"compte hors plan"))</f>
      </c>
      <c r="F1123" s="9"/>
      <c r="G1123" s="10"/>
      <c r="H1123" s="11"/>
      <c r="I1123" s="11"/>
      <c r="J1123" s="10">
        <f>IF($D1123="","",IF(AND($H1123&lt;&gt;"",$I1123&lt;&gt;""),"débit ET crédit",IF(AND($H1123="",$I1123=""),"montant manquant",IF(ISNA(MATCH($D1123,'Plan comptable'!$H:$H,0)),"compte hors plan",IF(AND($A1123&lt;&gt;"",YEAR($A1123)&lt;&gt;Exercice),"hors exercice","")))))</f>
      </c>
    </row>
    <row r="1124">
      <c r="A1124" s="13"/>
      <c r="B1124" s="10"/>
      <c r="C1124" s="9"/>
      <c r="D1124" s="20"/>
      <c r="E1124" s="9">
        <f>IF($D1124="","",IFERROR(VLOOKUP($D1124,'Plan comptable'!$H:$I,2,FALSE),"compte hors plan"))</f>
      </c>
      <c r="F1124" s="9"/>
      <c r="G1124" s="10"/>
      <c r="H1124" s="11"/>
      <c r="I1124" s="11"/>
      <c r="J1124" s="10">
        <f>IF($D1124="","",IF(AND($H1124&lt;&gt;"",$I1124&lt;&gt;""),"débit ET crédit",IF(AND($H1124="",$I1124=""),"montant manquant",IF(ISNA(MATCH($D1124,'Plan comptable'!$H:$H,0)),"compte hors plan",IF(AND($A1124&lt;&gt;"",YEAR($A1124)&lt;&gt;Exercice),"hors exercice","")))))</f>
      </c>
    </row>
    <row r="1125">
      <c r="A1125" s="13"/>
      <c r="B1125" s="10"/>
      <c r="C1125" s="9"/>
      <c r="D1125" s="20"/>
      <c r="E1125" s="9">
        <f>IF($D1125="","",IFERROR(VLOOKUP($D1125,'Plan comptable'!$H:$I,2,FALSE),"compte hors plan"))</f>
      </c>
      <c r="F1125" s="9"/>
      <c r="G1125" s="10"/>
      <c r="H1125" s="11"/>
      <c r="I1125" s="11"/>
      <c r="J1125" s="10">
        <f>IF($D1125="","",IF(AND($H1125&lt;&gt;"",$I1125&lt;&gt;""),"débit ET crédit",IF(AND($H1125="",$I1125=""),"montant manquant",IF(ISNA(MATCH($D1125,'Plan comptable'!$H:$H,0)),"compte hors plan",IF(AND($A1125&lt;&gt;"",YEAR($A1125)&lt;&gt;Exercice),"hors exercice","")))))</f>
      </c>
    </row>
    <row r="1126">
      <c r="A1126" s="13"/>
      <c r="B1126" s="10"/>
      <c r="C1126" s="9"/>
      <c r="D1126" s="20"/>
      <c r="E1126" s="9">
        <f>IF($D1126="","",IFERROR(VLOOKUP($D1126,'Plan comptable'!$H:$I,2,FALSE),"compte hors plan"))</f>
      </c>
      <c r="F1126" s="9"/>
      <c r="G1126" s="10"/>
      <c r="H1126" s="11"/>
      <c r="I1126" s="11"/>
      <c r="J1126" s="10">
        <f>IF($D1126="","",IF(AND($H1126&lt;&gt;"",$I1126&lt;&gt;""),"débit ET crédit",IF(AND($H1126="",$I1126=""),"montant manquant",IF(ISNA(MATCH($D1126,'Plan comptable'!$H:$H,0)),"compte hors plan",IF(AND($A1126&lt;&gt;"",YEAR($A1126)&lt;&gt;Exercice),"hors exercice","")))))</f>
      </c>
    </row>
    <row r="1127">
      <c r="A1127" s="13"/>
      <c r="B1127" s="10"/>
      <c r="C1127" s="9"/>
      <c r="D1127" s="20"/>
      <c r="E1127" s="9">
        <f>IF($D1127="","",IFERROR(VLOOKUP($D1127,'Plan comptable'!$H:$I,2,FALSE),"compte hors plan"))</f>
      </c>
      <c r="F1127" s="9"/>
      <c r="G1127" s="10"/>
      <c r="H1127" s="11"/>
      <c r="I1127" s="11"/>
      <c r="J1127" s="10">
        <f>IF($D1127="","",IF(AND($H1127&lt;&gt;"",$I1127&lt;&gt;""),"débit ET crédit",IF(AND($H1127="",$I1127=""),"montant manquant",IF(ISNA(MATCH($D1127,'Plan comptable'!$H:$H,0)),"compte hors plan",IF(AND($A1127&lt;&gt;"",YEAR($A1127)&lt;&gt;Exercice),"hors exercice","")))))</f>
      </c>
    </row>
    <row r="1128">
      <c r="A1128" s="13"/>
      <c r="B1128" s="10"/>
      <c r="C1128" s="9"/>
      <c r="D1128" s="20"/>
      <c r="E1128" s="9">
        <f>IF($D1128="","",IFERROR(VLOOKUP($D1128,'Plan comptable'!$H:$I,2,FALSE),"compte hors plan"))</f>
      </c>
      <c r="F1128" s="9"/>
      <c r="G1128" s="10"/>
      <c r="H1128" s="11"/>
      <c r="I1128" s="11"/>
      <c r="J1128" s="10">
        <f>IF($D1128="","",IF(AND($H1128&lt;&gt;"",$I1128&lt;&gt;""),"débit ET crédit",IF(AND($H1128="",$I1128=""),"montant manquant",IF(ISNA(MATCH($D1128,'Plan comptable'!$H:$H,0)),"compte hors plan",IF(AND($A1128&lt;&gt;"",YEAR($A1128)&lt;&gt;Exercice),"hors exercice","")))))</f>
      </c>
    </row>
    <row r="1129">
      <c r="A1129" s="13"/>
      <c r="B1129" s="10"/>
      <c r="C1129" s="9"/>
      <c r="D1129" s="20"/>
      <c r="E1129" s="9">
        <f>IF($D1129="","",IFERROR(VLOOKUP($D1129,'Plan comptable'!$H:$I,2,FALSE),"compte hors plan"))</f>
      </c>
      <c r="F1129" s="9"/>
      <c r="G1129" s="10"/>
      <c r="H1129" s="11"/>
      <c r="I1129" s="11"/>
      <c r="J1129" s="10">
        <f>IF($D1129="","",IF(AND($H1129&lt;&gt;"",$I1129&lt;&gt;""),"débit ET crédit",IF(AND($H1129="",$I1129=""),"montant manquant",IF(ISNA(MATCH($D1129,'Plan comptable'!$H:$H,0)),"compte hors plan",IF(AND($A1129&lt;&gt;"",YEAR($A1129)&lt;&gt;Exercice),"hors exercice","")))))</f>
      </c>
    </row>
    <row r="1130">
      <c r="A1130" s="13"/>
      <c r="B1130" s="10"/>
      <c r="C1130" s="9"/>
      <c r="D1130" s="20"/>
      <c r="E1130" s="9">
        <f>IF($D1130="","",IFERROR(VLOOKUP($D1130,'Plan comptable'!$H:$I,2,FALSE),"compte hors plan"))</f>
      </c>
      <c r="F1130" s="9"/>
      <c r="G1130" s="10"/>
      <c r="H1130" s="11"/>
      <c r="I1130" s="11"/>
      <c r="J1130" s="10">
        <f>IF($D1130="","",IF(AND($H1130&lt;&gt;"",$I1130&lt;&gt;""),"débit ET crédit",IF(AND($H1130="",$I1130=""),"montant manquant",IF(ISNA(MATCH($D1130,'Plan comptable'!$H:$H,0)),"compte hors plan",IF(AND($A1130&lt;&gt;"",YEAR($A1130)&lt;&gt;Exercice),"hors exercice","")))))</f>
      </c>
    </row>
    <row r="1131">
      <c r="A1131" s="13"/>
      <c r="B1131" s="10"/>
      <c r="C1131" s="9"/>
      <c r="D1131" s="20"/>
      <c r="E1131" s="9">
        <f>IF($D1131="","",IFERROR(VLOOKUP($D1131,'Plan comptable'!$H:$I,2,FALSE),"compte hors plan"))</f>
      </c>
      <c r="F1131" s="9"/>
      <c r="G1131" s="10"/>
      <c r="H1131" s="11"/>
      <c r="I1131" s="11"/>
      <c r="J1131" s="10">
        <f>IF($D1131="","",IF(AND($H1131&lt;&gt;"",$I1131&lt;&gt;""),"débit ET crédit",IF(AND($H1131="",$I1131=""),"montant manquant",IF(ISNA(MATCH($D1131,'Plan comptable'!$H:$H,0)),"compte hors plan",IF(AND($A1131&lt;&gt;"",YEAR($A1131)&lt;&gt;Exercice),"hors exercice","")))))</f>
      </c>
    </row>
    <row r="1132">
      <c r="A1132" s="13"/>
      <c r="B1132" s="10"/>
      <c r="C1132" s="9"/>
      <c r="D1132" s="20"/>
      <c r="E1132" s="9">
        <f>IF($D1132="","",IFERROR(VLOOKUP($D1132,'Plan comptable'!$H:$I,2,FALSE),"compte hors plan"))</f>
      </c>
      <c r="F1132" s="9"/>
      <c r="G1132" s="10"/>
      <c r="H1132" s="11"/>
      <c r="I1132" s="11"/>
      <c r="J1132" s="10">
        <f>IF($D1132="","",IF(AND($H1132&lt;&gt;"",$I1132&lt;&gt;""),"débit ET crédit",IF(AND($H1132="",$I1132=""),"montant manquant",IF(ISNA(MATCH($D1132,'Plan comptable'!$H:$H,0)),"compte hors plan",IF(AND($A1132&lt;&gt;"",YEAR($A1132)&lt;&gt;Exercice),"hors exercice","")))))</f>
      </c>
    </row>
    <row r="1133">
      <c r="A1133" s="13"/>
      <c r="B1133" s="10"/>
      <c r="C1133" s="9"/>
      <c r="D1133" s="20"/>
      <c r="E1133" s="9">
        <f>IF($D1133="","",IFERROR(VLOOKUP($D1133,'Plan comptable'!$H:$I,2,FALSE),"compte hors plan"))</f>
      </c>
      <c r="F1133" s="9"/>
      <c r="G1133" s="10"/>
      <c r="H1133" s="11"/>
      <c r="I1133" s="11"/>
      <c r="J1133" s="10">
        <f>IF($D1133="","",IF(AND($H1133&lt;&gt;"",$I1133&lt;&gt;""),"débit ET crédit",IF(AND($H1133="",$I1133=""),"montant manquant",IF(ISNA(MATCH($D1133,'Plan comptable'!$H:$H,0)),"compte hors plan",IF(AND($A1133&lt;&gt;"",YEAR($A1133)&lt;&gt;Exercice),"hors exercice","")))))</f>
      </c>
    </row>
    <row r="1134">
      <c r="A1134" s="13"/>
      <c r="B1134" s="10"/>
      <c r="C1134" s="9"/>
      <c r="D1134" s="20"/>
      <c r="E1134" s="9">
        <f>IF($D1134="","",IFERROR(VLOOKUP($D1134,'Plan comptable'!$H:$I,2,FALSE),"compte hors plan"))</f>
      </c>
      <c r="F1134" s="9"/>
      <c r="G1134" s="10"/>
      <c r="H1134" s="11"/>
      <c r="I1134" s="11"/>
      <c r="J1134" s="10">
        <f>IF($D1134="","",IF(AND($H1134&lt;&gt;"",$I1134&lt;&gt;""),"débit ET crédit",IF(AND($H1134="",$I1134=""),"montant manquant",IF(ISNA(MATCH($D1134,'Plan comptable'!$H:$H,0)),"compte hors plan",IF(AND($A1134&lt;&gt;"",YEAR($A1134)&lt;&gt;Exercice),"hors exercice","")))))</f>
      </c>
    </row>
    <row r="1135">
      <c r="A1135" s="13"/>
      <c r="B1135" s="10"/>
      <c r="C1135" s="9"/>
      <c r="D1135" s="20"/>
      <c r="E1135" s="9">
        <f>IF($D1135="","",IFERROR(VLOOKUP($D1135,'Plan comptable'!$H:$I,2,FALSE),"compte hors plan"))</f>
      </c>
      <c r="F1135" s="9"/>
      <c r="G1135" s="10"/>
      <c r="H1135" s="11"/>
      <c r="I1135" s="11"/>
      <c r="J1135" s="10">
        <f>IF($D1135="","",IF(AND($H1135&lt;&gt;"",$I1135&lt;&gt;""),"débit ET crédit",IF(AND($H1135="",$I1135=""),"montant manquant",IF(ISNA(MATCH($D1135,'Plan comptable'!$H:$H,0)),"compte hors plan",IF(AND($A1135&lt;&gt;"",YEAR($A1135)&lt;&gt;Exercice),"hors exercice","")))))</f>
      </c>
    </row>
    <row r="1136">
      <c r="A1136" s="13"/>
      <c r="B1136" s="10"/>
      <c r="C1136" s="9"/>
      <c r="D1136" s="20"/>
      <c r="E1136" s="9">
        <f>IF($D1136="","",IFERROR(VLOOKUP($D1136,'Plan comptable'!$H:$I,2,FALSE),"compte hors plan"))</f>
      </c>
      <c r="F1136" s="9"/>
      <c r="G1136" s="10"/>
      <c r="H1136" s="11"/>
      <c r="I1136" s="11"/>
      <c r="J1136" s="10">
        <f>IF($D1136="","",IF(AND($H1136&lt;&gt;"",$I1136&lt;&gt;""),"débit ET crédit",IF(AND($H1136="",$I1136=""),"montant manquant",IF(ISNA(MATCH($D1136,'Plan comptable'!$H:$H,0)),"compte hors plan",IF(AND($A1136&lt;&gt;"",YEAR($A1136)&lt;&gt;Exercice),"hors exercice","")))))</f>
      </c>
    </row>
    <row r="1137">
      <c r="A1137" s="13"/>
      <c r="B1137" s="10"/>
      <c r="C1137" s="9"/>
      <c r="D1137" s="20"/>
      <c r="E1137" s="9">
        <f>IF($D1137="","",IFERROR(VLOOKUP($D1137,'Plan comptable'!$H:$I,2,FALSE),"compte hors plan"))</f>
      </c>
      <c r="F1137" s="9"/>
      <c r="G1137" s="10"/>
      <c r="H1137" s="11"/>
      <c r="I1137" s="11"/>
      <c r="J1137" s="10">
        <f>IF($D1137="","",IF(AND($H1137&lt;&gt;"",$I1137&lt;&gt;""),"débit ET crédit",IF(AND($H1137="",$I1137=""),"montant manquant",IF(ISNA(MATCH($D1137,'Plan comptable'!$H:$H,0)),"compte hors plan",IF(AND($A1137&lt;&gt;"",YEAR($A1137)&lt;&gt;Exercice),"hors exercice","")))))</f>
      </c>
    </row>
    <row r="1138">
      <c r="A1138" s="13"/>
      <c r="B1138" s="10"/>
      <c r="C1138" s="9"/>
      <c r="D1138" s="20"/>
      <c r="E1138" s="9">
        <f>IF($D1138="","",IFERROR(VLOOKUP($D1138,'Plan comptable'!$H:$I,2,FALSE),"compte hors plan"))</f>
      </c>
      <c r="F1138" s="9"/>
      <c r="G1138" s="10"/>
      <c r="H1138" s="11"/>
      <c r="I1138" s="11"/>
      <c r="J1138" s="10">
        <f>IF($D1138="","",IF(AND($H1138&lt;&gt;"",$I1138&lt;&gt;""),"débit ET crédit",IF(AND($H1138="",$I1138=""),"montant manquant",IF(ISNA(MATCH($D1138,'Plan comptable'!$H:$H,0)),"compte hors plan",IF(AND($A1138&lt;&gt;"",YEAR($A1138)&lt;&gt;Exercice),"hors exercice","")))))</f>
      </c>
    </row>
    <row r="1139">
      <c r="A1139" s="13"/>
      <c r="B1139" s="10"/>
      <c r="C1139" s="9"/>
      <c r="D1139" s="20"/>
      <c r="E1139" s="9">
        <f>IF($D1139="","",IFERROR(VLOOKUP($D1139,'Plan comptable'!$H:$I,2,FALSE),"compte hors plan"))</f>
      </c>
      <c r="F1139" s="9"/>
      <c r="G1139" s="10"/>
      <c r="H1139" s="11"/>
      <c r="I1139" s="11"/>
      <c r="J1139" s="10">
        <f>IF($D1139="","",IF(AND($H1139&lt;&gt;"",$I1139&lt;&gt;""),"débit ET crédit",IF(AND($H1139="",$I1139=""),"montant manquant",IF(ISNA(MATCH($D1139,'Plan comptable'!$H:$H,0)),"compte hors plan",IF(AND($A1139&lt;&gt;"",YEAR($A1139)&lt;&gt;Exercice),"hors exercice","")))))</f>
      </c>
    </row>
    <row r="1140">
      <c r="A1140" s="13"/>
      <c r="B1140" s="10"/>
      <c r="C1140" s="9"/>
      <c r="D1140" s="20"/>
      <c r="E1140" s="9">
        <f>IF($D1140="","",IFERROR(VLOOKUP($D1140,'Plan comptable'!$H:$I,2,FALSE),"compte hors plan"))</f>
      </c>
      <c r="F1140" s="9"/>
      <c r="G1140" s="10"/>
      <c r="H1140" s="11"/>
      <c r="I1140" s="11"/>
      <c r="J1140" s="10">
        <f>IF($D1140="","",IF(AND($H1140&lt;&gt;"",$I1140&lt;&gt;""),"débit ET crédit",IF(AND($H1140="",$I1140=""),"montant manquant",IF(ISNA(MATCH($D1140,'Plan comptable'!$H:$H,0)),"compte hors plan",IF(AND($A1140&lt;&gt;"",YEAR($A1140)&lt;&gt;Exercice),"hors exercice","")))))</f>
      </c>
    </row>
    <row r="1141">
      <c r="A1141" s="13"/>
      <c r="B1141" s="10"/>
      <c r="C1141" s="9"/>
      <c r="D1141" s="20"/>
      <c r="E1141" s="9">
        <f>IF($D1141="","",IFERROR(VLOOKUP($D1141,'Plan comptable'!$H:$I,2,FALSE),"compte hors plan"))</f>
      </c>
      <c r="F1141" s="9"/>
      <c r="G1141" s="10"/>
      <c r="H1141" s="11"/>
      <c r="I1141" s="11"/>
      <c r="J1141" s="10">
        <f>IF($D1141="","",IF(AND($H1141&lt;&gt;"",$I1141&lt;&gt;""),"débit ET crédit",IF(AND($H1141="",$I1141=""),"montant manquant",IF(ISNA(MATCH($D1141,'Plan comptable'!$H:$H,0)),"compte hors plan",IF(AND($A1141&lt;&gt;"",YEAR($A1141)&lt;&gt;Exercice),"hors exercice","")))))</f>
      </c>
    </row>
    <row r="1142">
      <c r="A1142" s="13"/>
      <c r="B1142" s="10"/>
      <c r="C1142" s="9"/>
      <c r="D1142" s="20"/>
      <c r="E1142" s="9">
        <f>IF($D1142="","",IFERROR(VLOOKUP($D1142,'Plan comptable'!$H:$I,2,FALSE),"compte hors plan"))</f>
      </c>
      <c r="F1142" s="9"/>
      <c r="G1142" s="10"/>
      <c r="H1142" s="11"/>
      <c r="I1142" s="11"/>
      <c r="J1142" s="10">
        <f>IF($D1142="","",IF(AND($H1142&lt;&gt;"",$I1142&lt;&gt;""),"débit ET crédit",IF(AND($H1142="",$I1142=""),"montant manquant",IF(ISNA(MATCH($D1142,'Plan comptable'!$H:$H,0)),"compte hors plan",IF(AND($A1142&lt;&gt;"",YEAR($A1142)&lt;&gt;Exercice),"hors exercice","")))))</f>
      </c>
    </row>
    <row r="1143">
      <c r="A1143" s="13"/>
      <c r="B1143" s="10"/>
      <c r="C1143" s="9"/>
      <c r="D1143" s="20"/>
      <c r="E1143" s="9">
        <f>IF($D1143="","",IFERROR(VLOOKUP($D1143,'Plan comptable'!$H:$I,2,FALSE),"compte hors plan"))</f>
      </c>
      <c r="F1143" s="9"/>
      <c r="G1143" s="10"/>
      <c r="H1143" s="11"/>
      <c r="I1143" s="11"/>
      <c r="J1143" s="10">
        <f>IF($D1143="","",IF(AND($H1143&lt;&gt;"",$I1143&lt;&gt;""),"débit ET crédit",IF(AND($H1143="",$I1143=""),"montant manquant",IF(ISNA(MATCH($D1143,'Plan comptable'!$H:$H,0)),"compte hors plan",IF(AND($A1143&lt;&gt;"",YEAR($A1143)&lt;&gt;Exercice),"hors exercice","")))))</f>
      </c>
    </row>
    <row r="1144">
      <c r="A1144" s="13"/>
      <c r="B1144" s="10"/>
      <c r="C1144" s="9"/>
      <c r="D1144" s="20"/>
      <c r="E1144" s="9">
        <f>IF($D1144="","",IFERROR(VLOOKUP($D1144,'Plan comptable'!$H:$I,2,FALSE),"compte hors plan"))</f>
      </c>
      <c r="F1144" s="9"/>
      <c r="G1144" s="10"/>
      <c r="H1144" s="11"/>
      <c r="I1144" s="11"/>
      <c r="J1144" s="10">
        <f>IF($D1144="","",IF(AND($H1144&lt;&gt;"",$I1144&lt;&gt;""),"débit ET crédit",IF(AND($H1144="",$I1144=""),"montant manquant",IF(ISNA(MATCH($D1144,'Plan comptable'!$H:$H,0)),"compte hors plan",IF(AND($A1144&lt;&gt;"",YEAR($A1144)&lt;&gt;Exercice),"hors exercice","")))))</f>
      </c>
    </row>
    <row r="1145">
      <c r="A1145" s="13"/>
      <c r="B1145" s="10"/>
      <c r="C1145" s="9"/>
      <c r="D1145" s="20"/>
      <c r="E1145" s="9">
        <f>IF($D1145="","",IFERROR(VLOOKUP($D1145,'Plan comptable'!$H:$I,2,FALSE),"compte hors plan"))</f>
      </c>
      <c r="F1145" s="9"/>
      <c r="G1145" s="10"/>
      <c r="H1145" s="11"/>
      <c r="I1145" s="11"/>
      <c r="J1145" s="10">
        <f>IF($D1145="","",IF(AND($H1145&lt;&gt;"",$I1145&lt;&gt;""),"débit ET crédit",IF(AND($H1145="",$I1145=""),"montant manquant",IF(ISNA(MATCH($D1145,'Plan comptable'!$H:$H,0)),"compte hors plan",IF(AND($A1145&lt;&gt;"",YEAR($A1145)&lt;&gt;Exercice),"hors exercice","")))))</f>
      </c>
    </row>
    <row r="1146">
      <c r="A1146" s="13"/>
      <c r="B1146" s="10"/>
      <c r="C1146" s="9"/>
      <c r="D1146" s="20"/>
      <c r="E1146" s="9">
        <f>IF($D1146="","",IFERROR(VLOOKUP($D1146,'Plan comptable'!$H:$I,2,FALSE),"compte hors plan"))</f>
      </c>
      <c r="F1146" s="9"/>
      <c r="G1146" s="10"/>
      <c r="H1146" s="11"/>
      <c r="I1146" s="11"/>
      <c r="J1146" s="10">
        <f>IF($D1146="","",IF(AND($H1146&lt;&gt;"",$I1146&lt;&gt;""),"débit ET crédit",IF(AND($H1146="",$I1146=""),"montant manquant",IF(ISNA(MATCH($D1146,'Plan comptable'!$H:$H,0)),"compte hors plan",IF(AND($A1146&lt;&gt;"",YEAR($A1146)&lt;&gt;Exercice),"hors exercice","")))))</f>
      </c>
    </row>
    <row r="1147">
      <c r="A1147" s="13"/>
      <c r="B1147" s="10"/>
      <c r="C1147" s="9"/>
      <c r="D1147" s="20"/>
      <c r="E1147" s="9">
        <f>IF($D1147="","",IFERROR(VLOOKUP($D1147,'Plan comptable'!$H:$I,2,FALSE),"compte hors plan"))</f>
      </c>
      <c r="F1147" s="9"/>
      <c r="G1147" s="10"/>
      <c r="H1147" s="11"/>
      <c r="I1147" s="11"/>
      <c r="J1147" s="10">
        <f>IF($D1147="","",IF(AND($H1147&lt;&gt;"",$I1147&lt;&gt;""),"débit ET crédit",IF(AND($H1147="",$I1147=""),"montant manquant",IF(ISNA(MATCH($D1147,'Plan comptable'!$H:$H,0)),"compte hors plan",IF(AND($A1147&lt;&gt;"",YEAR($A1147)&lt;&gt;Exercice),"hors exercice","")))))</f>
      </c>
    </row>
    <row r="1148">
      <c r="A1148" s="13"/>
      <c r="B1148" s="10"/>
      <c r="C1148" s="9"/>
      <c r="D1148" s="20"/>
      <c r="E1148" s="9">
        <f>IF($D1148="","",IFERROR(VLOOKUP($D1148,'Plan comptable'!$H:$I,2,FALSE),"compte hors plan"))</f>
      </c>
      <c r="F1148" s="9"/>
      <c r="G1148" s="10"/>
      <c r="H1148" s="11"/>
      <c r="I1148" s="11"/>
      <c r="J1148" s="10">
        <f>IF($D1148="","",IF(AND($H1148&lt;&gt;"",$I1148&lt;&gt;""),"débit ET crédit",IF(AND($H1148="",$I1148=""),"montant manquant",IF(ISNA(MATCH($D1148,'Plan comptable'!$H:$H,0)),"compte hors plan",IF(AND($A1148&lt;&gt;"",YEAR($A1148)&lt;&gt;Exercice),"hors exercice","")))))</f>
      </c>
    </row>
    <row r="1149">
      <c r="A1149" s="13"/>
      <c r="B1149" s="10"/>
      <c r="C1149" s="9"/>
      <c r="D1149" s="20"/>
      <c r="E1149" s="9">
        <f>IF($D1149="","",IFERROR(VLOOKUP($D1149,'Plan comptable'!$H:$I,2,FALSE),"compte hors plan"))</f>
      </c>
      <c r="F1149" s="9"/>
      <c r="G1149" s="10"/>
      <c r="H1149" s="11"/>
      <c r="I1149" s="11"/>
      <c r="J1149" s="10">
        <f>IF($D1149="","",IF(AND($H1149&lt;&gt;"",$I1149&lt;&gt;""),"débit ET crédit",IF(AND($H1149="",$I1149=""),"montant manquant",IF(ISNA(MATCH($D1149,'Plan comptable'!$H:$H,0)),"compte hors plan",IF(AND($A1149&lt;&gt;"",YEAR($A1149)&lt;&gt;Exercice),"hors exercice","")))))</f>
      </c>
    </row>
    <row r="1150">
      <c r="A1150" s="13"/>
      <c r="B1150" s="10"/>
      <c r="C1150" s="9"/>
      <c r="D1150" s="20"/>
      <c r="E1150" s="9">
        <f>IF($D1150="","",IFERROR(VLOOKUP($D1150,'Plan comptable'!$H:$I,2,FALSE),"compte hors plan"))</f>
      </c>
      <c r="F1150" s="9"/>
      <c r="G1150" s="10"/>
      <c r="H1150" s="11"/>
      <c r="I1150" s="11"/>
      <c r="J1150" s="10">
        <f>IF($D1150="","",IF(AND($H1150&lt;&gt;"",$I1150&lt;&gt;""),"débit ET crédit",IF(AND($H1150="",$I1150=""),"montant manquant",IF(ISNA(MATCH($D1150,'Plan comptable'!$H:$H,0)),"compte hors plan",IF(AND($A1150&lt;&gt;"",YEAR($A1150)&lt;&gt;Exercice),"hors exercice","")))))</f>
      </c>
    </row>
    <row r="1151">
      <c r="A1151" s="13"/>
      <c r="B1151" s="10"/>
      <c r="C1151" s="9"/>
      <c r="D1151" s="20"/>
      <c r="E1151" s="9">
        <f>IF($D1151="","",IFERROR(VLOOKUP($D1151,'Plan comptable'!$H:$I,2,FALSE),"compte hors plan"))</f>
      </c>
      <c r="F1151" s="9"/>
      <c r="G1151" s="10"/>
      <c r="H1151" s="11"/>
      <c r="I1151" s="11"/>
      <c r="J1151" s="10">
        <f>IF($D1151="","",IF(AND($H1151&lt;&gt;"",$I1151&lt;&gt;""),"débit ET crédit",IF(AND($H1151="",$I1151=""),"montant manquant",IF(ISNA(MATCH($D1151,'Plan comptable'!$H:$H,0)),"compte hors plan",IF(AND($A1151&lt;&gt;"",YEAR($A1151)&lt;&gt;Exercice),"hors exercice","")))))</f>
      </c>
    </row>
    <row r="1152">
      <c r="A1152" s="13"/>
      <c r="B1152" s="10"/>
      <c r="C1152" s="9"/>
      <c r="D1152" s="20"/>
      <c r="E1152" s="9">
        <f>IF($D1152="","",IFERROR(VLOOKUP($D1152,'Plan comptable'!$H:$I,2,FALSE),"compte hors plan"))</f>
      </c>
      <c r="F1152" s="9"/>
      <c r="G1152" s="10"/>
      <c r="H1152" s="11"/>
      <c r="I1152" s="11"/>
      <c r="J1152" s="10">
        <f>IF($D1152="","",IF(AND($H1152&lt;&gt;"",$I1152&lt;&gt;""),"débit ET crédit",IF(AND($H1152="",$I1152=""),"montant manquant",IF(ISNA(MATCH($D1152,'Plan comptable'!$H:$H,0)),"compte hors plan",IF(AND($A1152&lt;&gt;"",YEAR($A1152)&lt;&gt;Exercice),"hors exercice","")))))</f>
      </c>
    </row>
    <row r="1153">
      <c r="A1153" s="13"/>
      <c r="B1153" s="10"/>
      <c r="C1153" s="9"/>
      <c r="D1153" s="20"/>
      <c r="E1153" s="9">
        <f>IF($D1153="","",IFERROR(VLOOKUP($D1153,'Plan comptable'!$H:$I,2,FALSE),"compte hors plan"))</f>
      </c>
      <c r="F1153" s="9"/>
      <c r="G1153" s="10"/>
      <c r="H1153" s="11"/>
      <c r="I1153" s="11"/>
      <c r="J1153" s="10">
        <f>IF($D1153="","",IF(AND($H1153&lt;&gt;"",$I1153&lt;&gt;""),"débit ET crédit",IF(AND($H1153="",$I1153=""),"montant manquant",IF(ISNA(MATCH($D1153,'Plan comptable'!$H:$H,0)),"compte hors plan",IF(AND($A1153&lt;&gt;"",YEAR($A1153)&lt;&gt;Exercice),"hors exercice","")))))</f>
      </c>
    </row>
    <row r="1154">
      <c r="A1154" s="13"/>
      <c r="B1154" s="10"/>
      <c r="C1154" s="9"/>
      <c r="D1154" s="20"/>
      <c r="E1154" s="9">
        <f>IF($D1154="","",IFERROR(VLOOKUP($D1154,'Plan comptable'!$H:$I,2,FALSE),"compte hors plan"))</f>
      </c>
      <c r="F1154" s="9"/>
      <c r="G1154" s="10"/>
      <c r="H1154" s="11"/>
      <c r="I1154" s="11"/>
      <c r="J1154" s="10">
        <f>IF($D1154="","",IF(AND($H1154&lt;&gt;"",$I1154&lt;&gt;""),"débit ET crédit",IF(AND($H1154="",$I1154=""),"montant manquant",IF(ISNA(MATCH($D1154,'Plan comptable'!$H:$H,0)),"compte hors plan",IF(AND($A1154&lt;&gt;"",YEAR($A1154)&lt;&gt;Exercice),"hors exercice","")))))</f>
      </c>
    </row>
    <row r="1155">
      <c r="A1155" s="13"/>
      <c r="B1155" s="10"/>
      <c r="C1155" s="9"/>
      <c r="D1155" s="20"/>
      <c r="E1155" s="9">
        <f>IF($D1155="","",IFERROR(VLOOKUP($D1155,'Plan comptable'!$H:$I,2,FALSE),"compte hors plan"))</f>
      </c>
      <c r="F1155" s="9"/>
      <c r="G1155" s="10"/>
      <c r="H1155" s="11"/>
      <c r="I1155" s="11"/>
      <c r="J1155" s="10">
        <f>IF($D1155="","",IF(AND($H1155&lt;&gt;"",$I1155&lt;&gt;""),"débit ET crédit",IF(AND($H1155="",$I1155=""),"montant manquant",IF(ISNA(MATCH($D1155,'Plan comptable'!$H:$H,0)),"compte hors plan",IF(AND($A1155&lt;&gt;"",YEAR($A1155)&lt;&gt;Exercice),"hors exercice","")))))</f>
      </c>
    </row>
    <row r="1156">
      <c r="A1156" s="13"/>
      <c r="B1156" s="10"/>
      <c r="C1156" s="9"/>
      <c r="D1156" s="20"/>
      <c r="E1156" s="9">
        <f>IF($D1156="","",IFERROR(VLOOKUP($D1156,'Plan comptable'!$H:$I,2,FALSE),"compte hors plan"))</f>
      </c>
      <c r="F1156" s="9"/>
      <c r="G1156" s="10"/>
      <c r="H1156" s="11"/>
      <c r="I1156" s="11"/>
      <c r="J1156" s="10">
        <f>IF($D1156="","",IF(AND($H1156&lt;&gt;"",$I1156&lt;&gt;""),"débit ET crédit",IF(AND($H1156="",$I1156=""),"montant manquant",IF(ISNA(MATCH($D1156,'Plan comptable'!$H:$H,0)),"compte hors plan",IF(AND($A1156&lt;&gt;"",YEAR($A1156)&lt;&gt;Exercice),"hors exercice","")))))</f>
      </c>
    </row>
    <row r="1157">
      <c r="A1157" s="13"/>
      <c r="B1157" s="10"/>
      <c r="C1157" s="9"/>
      <c r="D1157" s="20"/>
      <c r="E1157" s="9">
        <f>IF($D1157="","",IFERROR(VLOOKUP($D1157,'Plan comptable'!$H:$I,2,FALSE),"compte hors plan"))</f>
      </c>
      <c r="F1157" s="9"/>
      <c r="G1157" s="10"/>
      <c r="H1157" s="11"/>
      <c r="I1157" s="11"/>
      <c r="J1157" s="10">
        <f>IF($D1157="","",IF(AND($H1157&lt;&gt;"",$I1157&lt;&gt;""),"débit ET crédit",IF(AND($H1157="",$I1157=""),"montant manquant",IF(ISNA(MATCH($D1157,'Plan comptable'!$H:$H,0)),"compte hors plan",IF(AND($A1157&lt;&gt;"",YEAR($A1157)&lt;&gt;Exercice),"hors exercice","")))))</f>
      </c>
    </row>
    <row r="1158">
      <c r="A1158" s="13"/>
      <c r="B1158" s="10"/>
      <c r="C1158" s="9"/>
      <c r="D1158" s="20"/>
      <c r="E1158" s="9">
        <f>IF($D1158="","",IFERROR(VLOOKUP($D1158,'Plan comptable'!$H:$I,2,FALSE),"compte hors plan"))</f>
      </c>
      <c r="F1158" s="9"/>
      <c r="G1158" s="10"/>
      <c r="H1158" s="11"/>
      <c r="I1158" s="11"/>
      <c r="J1158" s="10">
        <f>IF($D1158="","",IF(AND($H1158&lt;&gt;"",$I1158&lt;&gt;""),"débit ET crédit",IF(AND($H1158="",$I1158=""),"montant manquant",IF(ISNA(MATCH($D1158,'Plan comptable'!$H:$H,0)),"compte hors plan",IF(AND($A1158&lt;&gt;"",YEAR($A1158)&lt;&gt;Exercice),"hors exercice","")))))</f>
      </c>
    </row>
    <row r="1159">
      <c r="A1159" s="13"/>
      <c r="B1159" s="10"/>
      <c r="C1159" s="9"/>
      <c r="D1159" s="20"/>
      <c r="E1159" s="9">
        <f>IF($D1159="","",IFERROR(VLOOKUP($D1159,'Plan comptable'!$H:$I,2,FALSE),"compte hors plan"))</f>
      </c>
      <c r="F1159" s="9"/>
      <c r="G1159" s="10"/>
      <c r="H1159" s="11"/>
      <c r="I1159" s="11"/>
      <c r="J1159" s="10">
        <f>IF($D1159="","",IF(AND($H1159&lt;&gt;"",$I1159&lt;&gt;""),"débit ET crédit",IF(AND($H1159="",$I1159=""),"montant manquant",IF(ISNA(MATCH($D1159,'Plan comptable'!$H:$H,0)),"compte hors plan",IF(AND($A1159&lt;&gt;"",YEAR($A1159)&lt;&gt;Exercice),"hors exercice","")))))</f>
      </c>
    </row>
    <row r="1160">
      <c r="A1160" s="13"/>
      <c r="B1160" s="10"/>
      <c r="C1160" s="9"/>
      <c r="D1160" s="20"/>
      <c r="E1160" s="9">
        <f>IF($D1160="","",IFERROR(VLOOKUP($D1160,'Plan comptable'!$H:$I,2,FALSE),"compte hors plan"))</f>
      </c>
      <c r="F1160" s="9"/>
      <c r="G1160" s="10"/>
      <c r="H1160" s="11"/>
      <c r="I1160" s="11"/>
      <c r="J1160" s="10">
        <f>IF($D1160="","",IF(AND($H1160&lt;&gt;"",$I1160&lt;&gt;""),"débit ET crédit",IF(AND($H1160="",$I1160=""),"montant manquant",IF(ISNA(MATCH($D1160,'Plan comptable'!$H:$H,0)),"compte hors plan",IF(AND($A1160&lt;&gt;"",YEAR($A1160)&lt;&gt;Exercice),"hors exercice","")))))</f>
      </c>
    </row>
    <row r="1161">
      <c r="A1161" s="13"/>
      <c r="B1161" s="10"/>
      <c r="C1161" s="9"/>
      <c r="D1161" s="20"/>
      <c r="E1161" s="9">
        <f>IF($D1161="","",IFERROR(VLOOKUP($D1161,'Plan comptable'!$H:$I,2,FALSE),"compte hors plan"))</f>
      </c>
      <c r="F1161" s="9"/>
      <c r="G1161" s="10"/>
      <c r="H1161" s="11"/>
      <c r="I1161" s="11"/>
      <c r="J1161" s="10">
        <f>IF($D1161="","",IF(AND($H1161&lt;&gt;"",$I1161&lt;&gt;""),"débit ET crédit",IF(AND($H1161="",$I1161=""),"montant manquant",IF(ISNA(MATCH($D1161,'Plan comptable'!$H:$H,0)),"compte hors plan",IF(AND($A1161&lt;&gt;"",YEAR($A1161)&lt;&gt;Exercice),"hors exercice","")))))</f>
      </c>
    </row>
    <row r="1162">
      <c r="A1162" s="13"/>
      <c r="B1162" s="10"/>
      <c r="C1162" s="9"/>
      <c r="D1162" s="20"/>
      <c r="E1162" s="9">
        <f>IF($D1162="","",IFERROR(VLOOKUP($D1162,'Plan comptable'!$H:$I,2,FALSE),"compte hors plan"))</f>
      </c>
      <c r="F1162" s="9"/>
      <c r="G1162" s="10"/>
      <c r="H1162" s="11"/>
      <c r="I1162" s="11"/>
      <c r="J1162" s="10">
        <f>IF($D1162="","",IF(AND($H1162&lt;&gt;"",$I1162&lt;&gt;""),"débit ET crédit",IF(AND($H1162="",$I1162=""),"montant manquant",IF(ISNA(MATCH($D1162,'Plan comptable'!$H:$H,0)),"compte hors plan",IF(AND($A1162&lt;&gt;"",YEAR($A1162)&lt;&gt;Exercice),"hors exercice","")))))</f>
      </c>
    </row>
    <row r="1163">
      <c r="A1163" s="13"/>
      <c r="B1163" s="10"/>
      <c r="C1163" s="9"/>
      <c r="D1163" s="20"/>
      <c r="E1163" s="9">
        <f>IF($D1163="","",IFERROR(VLOOKUP($D1163,'Plan comptable'!$H:$I,2,FALSE),"compte hors plan"))</f>
      </c>
      <c r="F1163" s="9"/>
      <c r="G1163" s="10"/>
      <c r="H1163" s="11"/>
      <c r="I1163" s="11"/>
      <c r="J1163" s="10">
        <f>IF($D1163="","",IF(AND($H1163&lt;&gt;"",$I1163&lt;&gt;""),"débit ET crédit",IF(AND($H1163="",$I1163=""),"montant manquant",IF(ISNA(MATCH($D1163,'Plan comptable'!$H:$H,0)),"compte hors plan",IF(AND($A1163&lt;&gt;"",YEAR($A1163)&lt;&gt;Exercice),"hors exercice","")))))</f>
      </c>
    </row>
    <row r="1164">
      <c r="A1164" s="13"/>
      <c r="B1164" s="10"/>
      <c r="C1164" s="9"/>
      <c r="D1164" s="20"/>
      <c r="E1164" s="9">
        <f>IF($D1164="","",IFERROR(VLOOKUP($D1164,'Plan comptable'!$H:$I,2,FALSE),"compte hors plan"))</f>
      </c>
      <c r="F1164" s="9"/>
      <c r="G1164" s="10"/>
      <c r="H1164" s="11"/>
      <c r="I1164" s="11"/>
      <c r="J1164" s="10">
        <f>IF($D1164="","",IF(AND($H1164&lt;&gt;"",$I1164&lt;&gt;""),"débit ET crédit",IF(AND($H1164="",$I1164=""),"montant manquant",IF(ISNA(MATCH($D1164,'Plan comptable'!$H:$H,0)),"compte hors plan",IF(AND($A1164&lt;&gt;"",YEAR($A1164)&lt;&gt;Exercice),"hors exercice","")))))</f>
      </c>
    </row>
    <row r="1165">
      <c r="A1165" s="13"/>
      <c r="B1165" s="10"/>
      <c r="C1165" s="9"/>
      <c r="D1165" s="20"/>
      <c r="E1165" s="9">
        <f>IF($D1165="","",IFERROR(VLOOKUP($D1165,'Plan comptable'!$H:$I,2,FALSE),"compte hors plan"))</f>
      </c>
      <c r="F1165" s="9"/>
      <c r="G1165" s="10"/>
      <c r="H1165" s="11"/>
      <c r="I1165" s="11"/>
      <c r="J1165" s="10">
        <f>IF($D1165="","",IF(AND($H1165&lt;&gt;"",$I1165&lt;&gt;""),"débit ET crédit",IF(AND($H1165="",$I1165=""),"montant manquant",IF(ISNA(MATCH($D1165,'Plan comptable'!$H:$H,0)),"compte hors plan",IF(AND($A1165&lt;&gt;"",YEAR($A1165)&lt;&gt;Exercice),"hors exercice","")))))</f>
      </c>
    </row>
    <row r="1166">
      <c r="A1166" s="13"/>
      <c r="B1166" s="10"/>
      <c r="C1166" s="9"/>
      <c r="D1166" s="20"/>
      <c r="E1166" s="9">
        <f>IF($D1166="","",IFERROR(VLOOKUP($D1166,'Plan comptable'!$H:$I,2,FALSE),"compte hors plan"))</f>
      </c>
      <c r="F1166" s="9"/>
      <c r="G1166" s="10"/>
      <c r="H1166" s="11"/>
      <c r="I1166" s="11"/>
      <c r="J1166" s="10">
        <f>IF($D1166="","",IF(AND($H1166&lt;&gt;"",$I1166&lt;&gt;""),"débit ET crédit",IF(AND($H1166="",$I1166=""),"montant manquant",IF(ISNA(MATCH($D1166,'Plan comptable'!$H:$H,0)),"compte hors plan",IF(AND($A1166&lt;&gt;"",YEAR($A1166)&lt;&gt;Exercice),"hors exercice","")))))</f>
      </c>
    </row>
    <row r="1167">
      <c r="A1167" s="13"/>
      <c r="B1167" s="10"/>
      <c r="C1167" s="9"/>
      <c r="D1167" s="20"/>
      <c r="E1167" s="9">
        <f>IF($D1167="","",IFERROR(VLOOKUP($D1167,'Plan comptable'!$H:$I,2,FALSE),"compte hors plan"))</f>
      </c>
      <c r="F1167" s="9"/>
      <c r="G1167" s="10"/>
      <c r="H1167" s="11"/>
      <c r="I1167" s="11"/>
      <c r="J1167" s="10">
        <f>IF($D1167="","",IF(AND($H1167&lt;&gt;"",$I1167&lt;&gt;""),"débit ET crédit",IF(AND($H1167="",$I1167=""),"montant manquant",IF(ISNA(MATCH($D1167,'Plan comptable'!$H:$H,0)),"compte hors plan",IF(AND($A1167&lt;&gt;"",YEAR($A1167)&lt;&gt;Exercice),"hors exercice","")))))</f>
      </c>
    </row>
    <row r="1168">
      <c r="A1168" s="13"/>
      <c r="B1168" s="10"/>
      <c r="C1168" s="9"/>
      <c r="D1168" s="20"/>
      <c r="E1168" s="9">
        <f>IF($D1168="","",IFERROR(VLOOKUP($D1168,'Plan comptable'!$H:$I,2,FALSE),"compte hors plan"))</f>
      </c>
      <c r="F1168" s="9"/>
      <c r="G1168" s="10"/>
      <c r="H1168" s="11"/>
      <c r="I1168" s="11"/>
      <c r="J1168" s="10">
        <f>IF($D1168="","",IF(AND($H1168&lt;&gt;"",$I1168&lt;&gt;""),"débit ET crédit",IF(AND($H1168="",$I1168=""),"montant manquant",IF(ISNA(MATCH($D1168,'Plan comptable'!$H:$H,0)),"compte hors plan",IF(AND($A1168&lt;&gt;"",YEAR($A1168)&lt;&gt;Exercice),"hors exercice","")))))</f>
      </c>
    </row>
    <row r="1169">
      <c r="A1169" s="13"/>
      <c r="B1169" s="10"/>
      <c r="C1169" s="9"/>
      <c r="D1169" s="20"/>
      <c r="E1169" s="9">
        <f>IF($D1169="","",IFERROR(VLOOKUP($D1169,'Plan comptable'!$H:$I,2,FALSE),"compte hors plan"))</f>
      </c>
      <c r="F1169" s="9"/>
      <c r="G1169" s="10"/>
      <c r="H1169" s="11"/>
      <c r="I1169" s="11"/>
      <c r="J1169" s="10">
        <f>IF($D1169="","",IF(AND($H1169&lt;&gt;"",$I1169&lt;&gt;""),"débit ET crédit",IF(AND($H1169="",$I1169=""),"montant manquant",IF(ISNA(MATCH($D1169,'Plan comptable'!$H:$H,0)),"compte hors plan",IF(AND($A1169&lt;&gt;"",YEAR($A1169)&lt;&gt;Exercice),"hors exercice","")))))</f>
      </c>
    </row>
    <row r="1170">
      <c r="A1170" s="13"/>
      <c r="B1170" s="10"/>
      <c r="C1170" s="9"/>
      <c r="D1170" s="20"/>
      <c r="E1170" s="9">
        <f>IF($D1170="","",IFERROR(VLOOKUP($D1170,'Plan comptable'!$H:$I,2,FALSE),"compte hors plan"))</f>
      </c>
      <c r="F1170" s="9"/>
      <c r="G1170" s="10"/>
      <c r="H1170" s="11"/>
      <c r="I1170" s="11"/>
      <c r="J1170" s="10">
        <f>IF($D1170="","",IF(AND($H1170&lt;&gt;"",$I1170&lt;&gt;""),"débit ET crédit",IF(AND($H1170="",$I1170=""),"montant manquant",IF(ISNA(MATCH($D1170,'Plan comptable'!$H:$H,0)),"compte hors plan",IF(AND($A1170&lt;&gt;"",YEAR($A1170)&lt;&gt;Exercice),"hors exercice","")))))</f>
      </c>
    </row>
    <row r="1171">
      <c r="A1171" s="13"/>
      <c r="B1171" s="10"/>
      <c r="C1171" s="9"/>
      <c r="D1171" s="20"/>
      <c r="E1171" s="9">
        <f>IF($D1171="","",IFERROR(VLOOKUP($D1171,'Plan comptable'!$H:$I,2,FALSE),"compte hors plan"))</f>
      </c>
      <c r="F1171" s="9"/>
      <c r="G1171" s="10"/>
      <c r="H1171" s="11"/>
      <c r="I1171" s="11"/>
      <c r="J1171" s="10">
        <f>IF($D1171="","",IF(AND($H1171&lt;&gt;"",$I1171&lt;&gt;""),"débit ET crédit",IF(AND($H1171="",$I1171=""),"montant manquant",IF(ISNA(MATCH($D1171,'Plan comptable'!$H:$H,0)),"compte hors plan",IF(AND($A1171&lt;&gt;"",YEAR($A1171)&lt;&gt;Exercice),"hors exercice","")))))</f>
      </c>
    </row>
    <row r="1172">
      <c r="A1172" s="13"/>
      <c r="B1172" s="10"/>
      <c r="C1172" s="9"/>
      <c r="D1172" s="20"/>
      <c r="E1172" s="9">
        <f>IF($D1172="","",IFERROR(VLOOKUP($D1172,'Plan comptable'!$H:$I,2,FALSE),"compte hors plan"))</f>
      </c>
      <c r="F1172" s="9"/>
      <c r="G1172" s="10"/>
      <c r="H1172" s="11"/>
      <c r="I1172" s="11"/>
      <c r="J1172" s="10">
        <f>IF($D1172="","",IF(AND($H1172&lt;&gt;"",$I1172&lt;&gt;""),"débit ET crédit",IF(AND($H1172="",$I1172=""),"montant manquant",IF(ISNA(MATCH($D1172,'Plan comptable'!$H:$H,0)),"compte hors plan",IF(AND($A1172&lt;&gt;"",YEAR($A1172)&lt;&gt;Exercice),"hors exercice","")))))</f>
      </c>
    </row>
    <row r="1173">
      <c r="A1173" s="13"/>
      <c r="B1173" s="10"/>
      <c r="C1173" s="9"/>
      <c r="D1173" s="20"/>
      <c r="E1173" s="9">
        <f>IF($D1173="","",IFERROR(VLOOKUP($D1173,'Plan comptable'!$H:$I,2,FALSE),"compte hors plan"))</f>
      </c>
      <c r="F1173" s="9"/>
      <c r="G1173" s="10"/>
      <c r="H1173" s="11"/>
      <c r="I1173" s="11"/>
      <c r="J1173" s="10">
        <f>IF($D1173="","",IF(AND($H1173&lt;&gt;"",$I1173&lt;&gt;""),"débit ET crédit",IF(AND($H1173="",$I1173=""),"montant manquant",IF(ISNA(MATCH($D1173,'Plan comptable'!$H:$H,0)),"compte hors plan",IF(AND($A1173&lt;&gt;"",YEAR($A1173)&lt;&gt;Exercice),"hors exercice","")))))</f>
      </c>
    </row>
    <row r="1174">
      <c r="A1174" s="13"/>
      <c r="B1174" s="10"/>
      <c r="C1174" s="9"/>
      <c r="D1174" s="20"/>
      <c r="E1174" s="9">
        <f>IF($D1174="","",IFERROR(VLOOKUP($D1174,'Plan comptable'!$H:$I,2,FALSE),"compte hors plan"))</f>
      </c>
      <c r="F1174" s="9"/>
      <c r="G1174" s="10"/>
      <c r="H1174" s="11"/>
      <c r="I1174" s="11"/>
      <c r="J1174" s="10">
        <f>IF($D1174="","",IF(AND($H1174&lt;&gt;"",$I1174&lt;&gt;""),"débit ET crédit",IF(AND($H1174="",$I1174=""),"montant manquant",IF(ISNA(MATCH($D1174,'Plan comptable'!$H:$H,0)),"compte hors plan",IF(AND($A1174&lt;&gt;"",YEAR($A1174)&lt;&gt;Exercice),"hors exercice","")))))</f>
      </c>
    </row>
    <row r="1175">
      <c r="A1175" s="13"/>
      <c r="B1175" s="10"/>
      <c r="C1175" s="9"/>
      <c r="D1175" s="20"/>
      <c r="E1175" s="9">
        <f>IF($D1175="","",IFERROR(VLOOKUP($D1175,'Plan comptable'!$H:$I,2,FALSE),"compte hors plan"))</f>
      </c>
      <c r="F1175" s="9"/>
      <c r="G1175" s="10"/>
      <c r="H1175" s="11"/>
      <c r="I1175" s="11"/>
      <c r="J1175" s="10">
        <f>IF($D1175="","",IF(AND($H1175&lt;&gt;"",$I1175&lt;&gt;""),"débit ET crédit",IF(AND($H1175="",$I1175=""),"montant manquant",IF(ISNA(MATCH($D1175,'Plan comptable'!$H:$H,0)),"compte hors plan",IF(AND($A1175&lt;&gt;"",YEAR($A1175)&lt;&gt;Exercice),"hors exercice","")))))</f>
      </c>
    </row>
    <row r="1176">
      <c r="A1176" s="13"/>
      <c r="B1176" s="10"/>
      <c r="C1176" s="9"/>
      <c r="D1176" s="20"/>
      <c r="E1176" s="9">
        <f>IF($D1176="","",IFERROR(VLOOKUP($D1176,'Plan comptable'!$H:$I,2,FALSE),"compte hors plan"))</f>
      </c>
      <c r="F1176" s="9"/>
      <c r="G1176" s="10"/>
      <c r="H1176" s="11"/>
      <c r="I1176" s="11"/>
      <c r="J1176" s="10">
        <f>IF($D1176="","",IF(AND($H1176&lt;&gt;"",$I1176&lt;&gt;""),"débit ET crédit",IF(AND($H1176="",$I1176=""),"montant manquant",IF(ISNA(MATCH($D1176,'Plan comptable'!$H:$H,0)),"compte hors plan",IF(AND($A1176&lt;&gt;"",YEAR($A1176)&lt;&gt;Exercice),"hors exercice","")))))</f>
      </c>
    </row>
    <row r="1177">
      <c r="A1177" s="13"/>
      <c r="B1177" s="10"/>
      <c r="C1177" s="9"/>
      <c r="D1177" s="20"/>
      <c r="E1177" s="9">
        <f>IF($D1177="","",IFERROR(VLOOKUP($D1177,'Plan comptable'!$H:$I,2,FALSE),"compte hors plan"))</f>
      </c>
      <c r="F1177" s="9"/>
      <c r="G1177" s="10"/>
      <c r="H1177" s="11"/>
      <c r="I1177" s="11"/>
      <c r="J1177" s="10">
        <f>IF($D1177="","",IF(AND($H1177&lt;&gt;"",$I1177&lt;&gt;""),"débit ET crédit",IF(AND($H1177="",$I1177=""),"montant manquant",IF(ISNA(MATCH($D1177,'Plan comptable'!$H:$H,0)),"compte hors plan",IF(AND($A1177&lt;&gt;"",YEAR($A1177)&lt;&gt;Exercice),"hors exercice","")))))</f>
      </c>
    </row>
    <row r="1178">
      <c r="A1178" s="13"/>
      <c r="B1178" s="10"/>
      <c r="C1178" s="9"/>
      <c r="D1178" s="20"/>
      <c r="E1178" s="9">
        <f>IF($D1178="","",IFERROR(VLOOKUP($D1178,'Plan comptable'!$H:$I,2,FALSE),"compte hors plan"))</f>
      </c>
      <c r="F1178" s="9"/>
      <c r="G1178" s="10"/>
      <c r="H1178" s="11"/>
      <c r="I1178" s="11"/>
      <c r="J1178" s="10">
        <f>IF($D1178="","",IF(AND($H1178&lt;&gt;"",$I1178&lt;&gt;""),"débit ET crédit",IF(AND($H1178="",$I1178=""),"montant manquant",IF(ISNA(MATCH($D1178,'Plan comptable'!$H:$H,0)),"compte hors plan",IF(AND($A1178&lt;&gt;"",YEAR($A1178)&lt;&gt;Exercice),"hors exercice","")))))</f>
      </c>
    </row>
    <row r="1179">
      <c r="A1179" s="13"/>
      <c r="B1179" s="10"/>
      <c r="C1179" s="9"/>
      <c r="D1179" s="20"/>
      <c r="E1179" s="9">
        <f>IF($D1179="","",IFERROR(VLOOKUP($D1179,'Plan comptable'!$H:$I,2,FALSE),"compte hors plan"))</f>
      </c>
      <c r="F1179" s="9"/>
      <c r="G1179" s="10"/>
      <c r="H1179" s="11"/>
      <c r="I1179" s="11"/>
      <c r="J1179" s="10">
        <f>IF($D1179="","",IF(AND($H1179&lt;&gt;"",$I1179&lt;&gt;""),"débit ET crédit",IF(AND($H1179="",$I1179=""),"montant manquant",IF(ISNA(MATCH($D1179,'Plan comptable'!$H:$H,0)),"compte hors plan",IF(AND($A1179&lt;&gt;"",YEAR($A1179)&lt;&gt;Exercice),"hors exercice","")))))</f>
      </c>
    </row>
    <row r="1180">
      <c r="A1180" s="13"/>
      <c r="B1180" s="10"/>
      <c r="C1180" s="9"/>
      <c r="D1180" s="20"/>
      <c r="E1180" s="9">
        <f>IF($D1180="","",IFERROR(VLOOKUP($D1180,'Plan comptable'!$H:$I,2,FALSE),"compte hors plan"))</f>
      </c>
      <c r="F1180" s="9"/>
      <c r="G1180" s="10"/>
      <c r="H1180" s="11"/>
      <c r="I1180" s="11"/>
      <c r="J1180" s="10">
        <f>IF($D1180="","",IF(AND($H1180&lt;&gt;"",$I1180&lt;&gt;""),"débit ET crédit",IF(AND($H1180="",$I1180=""),"montant manquant",IF(ISNA(MATCH($D1180,'Plan comptable'!$H:$H,0)),"compte hors plan",IF(AND($A1180&lt;&gt;"",YEAR($A1180)&lt;&gt;Exercice),"hors exercice","")))))</f>
      </c>
    </row>
    <row r="1181">
      <c r="A1181" s="13"/>
      <c r="B1181" s="10"/>
      <c r="C1181" s="9"/>
      <c r="D1181" s="20"/>
      <c r="E1181" s="9">
        <f>IF($D1181="","",IFERROR(VLOOKUP($D1181,'Plan comptable'!$H:$I,2,FALSE),"compte hors plan"))</f>
      </c>
      <c r="F1181" s="9"/>
      <c r="G1181" s="10"/>
      <c r="H1181" s="11"/>
      <c r="I1181" s="11"/>
      <c r="J1181" s="10">
        <f>IF($D1181="","",IF(AND($H1181&lt;&gt;"",$I1181&lt;&gt;""),"débit ET crédit",IF(AND($H1181="",$I1181=""),"montant manquant",IF(ISNA(MATCH($D1181,'Plan comptable'!$H:$H,0)),"compte hors plan",IF(AND($A1181&lt;&gt;"",YEAR($A1181)&lt;&gt;Exercice),"hors exercice","")))))</f>
      </c>
    </row>
    <row r="1182">
      <c r="A1182" s="13"/>
      <c r="B1182" s="10"/>
      <c r="C1182" s="9"/>
      <c r="D1182" s="20"/>
      <c r="E1182" s="9">
        <f>IF($D1182="","",IFERROR(VLOOKUP($D1182,'Plan comptable'!$H:$I,2,FALSE),"compte hors plan"))</f>
      </c>
      <c r="F1182" s="9"/>
      <c r="G1182" s="10"/>
      <c r="H1182" s="11"/>
      <c r="I1182" s="11"/>
      <c r="J1182" s="10">
        <f>IF($D1182="","",IF(AND($H1182&lt;&gt;"",$I1182&lt;&gt;""),"débit ET crédit",IF(AND($H1182="",$I1182=""),"montant manquant",IF(ISNA(MATCH($D1182,'Plan comptable'!$H:$H,0)),"compte hors plan",IF(AND($A1182&lt;&gt;"",YEAR($A1182)&lt;&gt;Exercice),"hors exercice","")))))</f>
      </c>
    </row>
    <row r="1183">
      <c r="A1183" s="13"/>
      <c r="B1183" s="10"/>
      <c r="C1183" s="9"/>
      <c r="D1183" s="20"/>
      <c r="E1183" s="9">
        <f>IF($D1183="","",IFERROR(VLOOKUP($D1183,'Plan comptable'!$H:$I,2,FALSE),"compte hors plan"))</f>
      </c>
      <c r="F1183" s="9"/>
      <c r="G1183" s="10"/>
      <c r="H1183" s="11"/>
      <c r="I1183" s="11"/>
      <c r="J1183" s="10">
        <f>IF($D1183="","",IF(AND($H1183&lt;&gt;"",$I1183&lt;&gt;""),"débit ET crédit",IF(AND($H1183="",$I1183=""),"montant manquant",IF(ISNA(MATCH($D1183,'Plan comptable'!$H:$H,0)),"compte hors plan",IF(AND($A1183&lt;&gt;"",YEAR($A1183)&lt;&gt;Exercice),"hors exercice","")))))</f>
      </c>
    </row>
    <row r="1184">
      <c r="A1184" s="13"/>
      <c r="B1184" s="10"/>
      <c r="C1184" s="9"/>
      <c r="D1184" s="20"/>
      <c r="E1184" s="9">
        <f>IF($D1184="","",IFERROR(VLOOKUP($D1184,'Plan comptable'!$H:$I,2,FALSE),"compte hors plan"))</f>
      </c>
      <c r="F1184" s="9"/>
      <c r="G1184" s="10"/>
      <c r="H1184" s="11"/>
      <c r="I1184" s="11"/>
      <c r="J1184" s="10">
        <f>IF($D1184="","",IF(AND($H1184&lt;&gt;"",$I1184&lt;&gt;""),"débit ET crédit",IF(AND($H1184="",$I1184=""),"montant manquant",IF(ISNA(MATCH($D1184,'Plan comptable'!$H:$H,0)),"compte hors plan",IF(AND($A1184&lt;&gt;"",YEAR($A1184)&lt;&gt;Exercice),"hors exercice","")))))</f>
      </c>
    </row>
    <row r="1185">
      <c r="A1185" s="13"/>
      <c r="B1185" s="10"/>
      <c r="C1185" s="9"/>
      <c r="D1185" s="20"/>
      <c r="E1185" s="9">
        <f>IF($D1185="","",IFERROR(VLOOKUP($D1185,'Plan comptable'!$H:$I,2,FALSE),"compte hors plan"))</f>
      </c>
      <c r="F1185" s="9"/>
      <c r="G1185" s="10"/>
      <c r="H1185" s="11"/>
      <c r="I1185" s="11"/>
      <c r="J1185" s="10">
        <f>IF($D1185="","",IF(AND($H1185&lt;&gt;"",$I1185&lt;&gt;""),"débit ET crédit",IF(AND($H1185="",$I1185=""),"montant manquant",IF(ISNA(MATCH($D1185,'Plan comptable'!$H:$H,0)),"compte hors plan",IF(AND($A1185&lt;&gt;"",YEAR($A1185)&lt;&gt;Exercice),"hors exercice","")))))</f>
      </c>
    </row>
    <row r="1186">
      <c r="A1186" s="13"/>
      <c r="B1186" s="10"/>
      <c r="C1186" s="9"/>
      <c r="D1186" s="20"/>
      <c r="E1186" s="9">
        <f>IF($D1186="","",IFERROR(VLOOKUP($D1186,'Plan comptable'!$H:$I,2,FALSE),"compte hors plan"))</f>
      </c>
      <c r="F1186" s="9"/>
      <c r="G1186" s="10"/>
      <c r="H1186" s="11"/>
      <c r="I1186" s="11"/>
      <c r="J1186" s="10">
        <f>IF($D1186="","",IF(AND($H1186&lt;&gt;"",$I1186&lt;&gt;""),"débit ET crédit",IF(AND($H1186="",$I1186=""),"montant manquant",IF(ISNA(MATCH($D1186,'Plan comptable'!$H:$H,0)),"compte hors plan",IF(AND($A1186&lt;&gt;"",YEAR($A1186)&lt;&gt;Exercice),"hors exercice","")))))</f>
      </c>
    </row>
    <row r="1187">
      <c r="A1187" s="13"/>
      <c r="B1187" s="10"/>
      <c r="C1187" s="9"/>
      <c r="D1187" s="20"/>
      <c r="E1187" s="9">
        <f>IF($D1187="","",IFERROR(VLOOKUP($D1187,'Plan comptable'!$H:$I,2,FALSE),"compte hors plan"))</f>
      </c>
      <c r="F1187" s="9"/>
      <c r="G1187" s="10"/>
      <c r="H1187" s="11"/>
      <c r="I1187" s="11"/>
      <c r="J1187" s="10">
        <f>IF($D1187="","",IF(AND($H1187&lt;&gt;"",$I1187&lt;&gt;""),"débit ET crédit",IF(AND($H1187="",$I1187=""),"montant manquant",IF(ISNA(MATCH($D1187,'Plan comptable'!$H:$H,0)),"compte hors plan",IF(AND($A1187&lt;&gt;"",YEAR($A1187)&lt;&gt;Exercice),"hors exercice","")))))</f>
      </c>
    </row>
    <row r="1188">
      <c r="A1188" s="13"/>
      <c r="B1188" s="10"/>
      <c r="C1188" s="9"/>
      <c r="D1188" s="20"/>
      <c r="E1188" s="9">
        <f>IF($D1188="","",IFERROR(VLOOKUP($D1188,'Plan comptable'!$H:$I,2,FALSE),"compte hors plan"))</f>
      </c>
      <c r="F1188" s="9"/>
      <c r="G1188" s="10"/>
      <c r="H1188" s="11"/>
      <c r="I1188" s="11"/>
      <c r="J1188" s="10">
        <f>IF($D1188="","",IF(AND($H1188&lt;&gt;"",$I1188&lt;&gt;""),"débit ET crédit",IF(AND($H1188="",$I1188=""),"montant manquant",IF(ISNA(MATCH($D1188,'Plan comptable'!$H:$H,0)),"compte hors plan",IF(AND($A1188&lt;&gt;"",YEAR($A1188)&lt;&gt;Exercice),"hors exercice","")))))</f>
      </c>
    </row>
    <row r="1189">
      <c r="A1189" s="13"/>
      <c r="B1189" s="10"/>
      <c r="C1189" s="9"/>
      <c r="D1189" s="20"/>
      <c r="E1189" s="9">
        <f>IF($D1189="","",IFERROR(VLOOKUP($D1189,'Plan comptable'!$H:$I,2,FALSE),"compte hors plan"))</f>
      </c>
      <c r="F1189" s="9"/>
      <c r="G1189" s="10"/>
      <c r="H1189" s="11"/>
      <c r="I1189" s="11"/>
      <c r="J1189" s="10">
        <f>IF($D1189="","",IF(AND($H1189&lt;&gt;"",$I1189&lt;&gt;""),"débit ET crédit",IF(AND($H1189="",$I1189=""),"montant manquant",IF(ISNA(MATCH($D1189,'Plan comptable'!$H:$H,0)),"compte hors plan",IF(AND($A1189&lt;&gt;"",YEAR($A1189)&lt;&gt;Exercice),"hors exercice","")))))</f>
      </c>
    </row>
    <row r="1190">
      <c r="A1190" s="13"/>
      <c r="B1190" s="10"/>
      <c r="C1190" s="9"/>
      <c r="D1190" s="20"/>
      <c r="E1190" s="9">
        <f>IF($D1190="","",IFERROR(VLOOKUP($D1190,'Plan comptable'!$H:$I,2,FALSE),"compte hors plan"))</f>
      </c>
      <c r="F1190" s="9"/>
      <c r="G1190" s="10"/>
      <c r="H1190" s="11"/>
      <c r="I1190" s="11"/>
      <c r="J1190" s="10">
        <f>IF($D1190="","",IF(AND($H1190&lt;&gt;"",$I1190&lt;&gt;""),"débit ET crédit",IF(AND($H1190="",$I1190=""),"montant manquant",IF(ISNA(MATCH($D1190,'Plan comptable'!$H:$H,0)),"compte hors plan",IF(AND($A1190&lt;&gt;"",YEAR($A1190)&lt;&gt;Exercice),"hors exercice","")))))</f>
      </c>
    </row>
    <row r="1191">
      <c r="A1191" s="13"/>
      <c r="B1191" s="10"/>
      <c r="C1191" s="9"/>
      <c r="D1191" s="20"/>
      <c r="E1191" s="9">
        <f>IF($D1191="","",IFERROR(VLOOKUP($D1191,'Plan comptable'!$H:$I,2,FALSE),"compte hors plan"))</f>
      </c>
      <c r="F1191" s="9"/>
      <c r="G1191" s="10"/>
      <c r="H1191" s="11"/>
      <c r="I1191" s="11"/>
      <c r="J1191" s="10">
        <f>IF($D1191="","",IF(AND($H1191&lt;&gt;"",$I1191&lt;&gt;""),"débit ET crédit",IF(AND($H1191="",$I1191=""),"montant manquant",IF(ISNA(MATCH($D1191,'Plan comptable'!$H:$H,0)),"compte hors plan",IF(AND($A1191&lt;&gt;"",YEAR($A1191)&lt;&gt;Exercice),"hors exercice","")))))</f>
      </c>
    </row>
    <row r="1192">
      <c r="A1192" s="13"/>
      <c r="B1192" s="10"/>
      <c r="C1192" s="9"/>
      <c r="D1192" s="20"/>
      <c r="E1192" s="9">
        <f>IF($D1192="","",IFERROR(VLOOKUP($D1192,'Plan comptable'!$H:$I,2,FALSE),"compte hors plan"))</f>
      </c>
      <c r="F1192" s="9"/>
      <c r="G1192" s="10"/>
      <c r="H1192" s="11"/>
      <c r="I1192" s="11"/>
      <c r="J1192" s="10">
        <f>IF($D1192="","",IF(AND($H1192&lt;&gt;"",$I1192&lt;&gt;""),"débit ET crédit",IF(AND($H1192="",$I1192=""),"montant manquant",IF(ISNA(MATCH($D1192,'Plan comptable'!$H:$H,0)),"compte hors plan",IF(AND($A1192&lt;&gt;"",YEAR($A1192)&lt;&gt;Exercice),"hors exercice","")))))</f>
      </c>
    </row>
    <row r="1193">
      <c r="A1193" s="13"/>
      <c r="B1193" s="10"/>
      <c r="C1193" s="9"/>
      <c r="D1193" s="20"/>
      <c r="E1193" s="9">
        <f>IF($D1193="","",IFERROR(VLOOKUP($D1193,'Plan comptable'!$H:$I,2,FALSE),"compte hors plan"))</f>
      </c>
      <c r="F1193" s="9"/>
      <c r="G1193" s="10"/>
      <c r="H1193" s="11"/>
      <c r="I1193" s="11"/>
      <c r="J1193" s="10">
        <f>IF($D1193="","",IF(AND($H1193&lt;&gt;"",$I1193&lt;&gt;""),"débit ET crédit",IF(AND($H1193="",$I1193=""),"montant manquant",IF(ISNA(MATCH($D1193,'Plan comptable'!$H:$H,0)),"compte hors plan",IF(AND($A1193&lt;&gt;"",YEAR($A1193)&lt;&gt;Exercice),"hors exercice","")))))</f>
      </c>
    </row>
    <row r="1194">
      <c r="A1194" s="13"/>
      <c r="B1194" s="10"/>
      <c r="C1194" s="9"/>
      <c r="D1194" s="20"/>
      <c r="E1194" s="9">
        <f>IF($D1194="","",IFERROR(VLOOKUP($D1194,'Plan comptable'!$H:$I,2,FALSE),"compte hors plan"))</f>
      </c>
      <c r="F1194" s="9"/>
      <c r="G1194" s="10"/>
      <c r="H1194" s="11"/>
      <c r="I1194" s="11"/>
      <c r="J1194" s="10">
        <f>IF($D1194="","",IF(AND($H1194&lt;&gt;"",$I1194&lt;&gt;""),"débit ET crédit",IF(AND($H1194="",$I1194=""),"montant manquant",IF(ISNA(MATCH($D1194,'Plan comptable'!$H:$H,0)),"compte hors plan",IF(AND($A1194&lt;&gt;"",YEAR($A1194)&lt;&gt;Exercice),"hors exercice","")))))</f>
      </c>
    </row>
    <row r="1195">
      <c r="A1195" s="13"/>
      <c r="B1195" s="10"/>
      <c r="C1195" s="9"/>
      <c r="D1195" s="20"/>
      <c r="E1195" s="9">
        <f>IF($D1195="","",IFERROR(VLOOKUP($D1195,'Plan comptable'!$H:$I,2,FALSE),"compte hors plan"))</f>
      </c>
      <c r="F1195" s="9"/>
      <c r="G1195" s="10"/>
      <c r="H1195" s="11"/>
      <c r="I1195" s="11"/>
      <c r="J1195" s="10">
        <f>IF($D1195="","",IF(AND($H1195&lt;&gt;"",$I1195&lt;&gt;""),"débit ET crédit",IF(AND($H1195="",$I1195=""),"montant manquant",IF(ISNA(MATCH($D1195,'Plan comptable'!$H:$H,0)),"compte hors plan",IF(AND($A1195&lt;&gt;"",YEAR($A1195)&lt;&gt;Exercice),"hors exercice","")))))</f>
      </c>
    </row>
    <row r="1196">
      <c r="A1196" s="13"/>
      <c r="B1196" s="10"/>
      <c r="C1196" s="9"/>
      <c r="D1196" s="20"/>
      <c r="E1196" s="9">
        <f>IF($D1196="","",IFERROR(VLOOKUP($D1196,'Plan comptable'!$H:$I,2,FALSE),"compte hors plan"))</f>
      </c>
      <c r="F1196" s="9"/>
      <c r="G1196" s="10"/>
      <c r="H1196" s="11"/>
      <c r="I1196" s="11"/>
      <c r="J1196" s="10">
        <f>IF($D1196="","",IF(AND($H1196&lt;&gt;"",$I1196&lt;&gt;""),"débit ET crédit",IF(AND($H1196="",$I1196=""),"montant manquant",IF(ISNA(MATCH($D1196,'Plan comptable'!$H:$H,0)),"compte hors plan",IF(AND($A1196&lt;&gt;"",YEAR($A1196)&lt;&gt;Exercice),"hors exercice","")))))</f>
      </c>
    </row>
    <row r="1197">
      <c r="A1197" s="13"/>
      <c r="B1197" s="10"/>
      <c r="C1197" s="9"/>
      <c r="D1197" s="20"/>
      <c r="E1197" s="9">
        <f>IF($D1197="","",IFERROR(VLOOKUP($D1197,'Plan comptable'!$H:$I,2,FALSE),"compte hors plan"))</f>
      </c>
      <c r="F1197" s="9"/>
      <c r="G1197" s="10"/>
      <c r="H1197" s="11"/>
      <c r="I1197" s="11"/>
      <c r="J1197" s="10">
        <f>IF($D1197="","",IF(AND($H1197&lt;&gt;"",$I1197&lt;&gt;""),"débit ET crédit",IF(AND($H1197="",$I1197=""),"montant manquant",IF(ISNA(MATCH($D1197,'Plan comptable'!$H:$H,0)),"compte hors plan",IF(AND($A1197&lt;&gt;"",YEAR($A1197)&lt;&gt;Exercice),"hors exercice","")))))</f>
      </c>
    </row>
    <row r="1198">
      <c r="A1198" s="13"/>
      <c r="B1198" s="10"/>
      <c r="C1198" s="9"/>
      <c r="D1198" s="20"/>
      <c r="E1198" s="9">
        <f>IF($D1198="","",IFERROR(VLOOKUP($D1198,'Plan comptable'!$H:$I,2,FALSE),"compte hors plan"))</f>
      </c>
      <c r="F1198" s="9"/>
      <c r="G1198" s="10"/>
      <c r="H1198" s="11"/>
      <c r="I1198" s="11"/>
      <c r="J1198" s="10">
        <f>IF($D1198="","",IF(AND($H1198&lt;&gt;"",$I1198&lt;&gt;""),"débit ET crédit",IF(AND($H1198="",$I1198=""),"montant manquant",IF(ISNA(MATCH($D1198,'Plan comptable'!$H:$H,0)),"compte hors plan",IF(AND($A1198&lt;&gt;"",YEAR($A1198)&lt;&gt;Exercice),"hors exercice","")))))</f>
      </c>
    </row>
    <row r="1199">
      <c r="A1199" s="13"/>
      <c r="B1199" s="10"/>
      <c r="C1199" s="9"/>
      <c r="D1199" s="20"/>
      <c r="E1199" s="9">
        <f>IF($D1199="","",IFERROR(VLOOKUP($D1199,'Plan comptable'!$H:$I,2,FALSE),"compte hors plan"))</f>
      </c>
      <c r="F1199" s="9"/>
      <c r="G1199" s="10"/>
      <c r="H1199" s="11"/>
      <c r="I1199" s="11"/>
      <c r="J1199" s="10">
        <f>IF($D1199="","",IF(AND($H1199&lt;&gt;"",$I1199&lt;&gt;""),"débit ET crédit",IF(AND($H1199="",$I1199=""),"montant manquant",IF(ISNA(MATCH($D1199,'Plan comptable'!$H:$H,0)),"compte hors plan",IF(AND($A1199&lt;&gt;"",YEAR($A1199)&lt;&gt;Exercice),"hors exercice","")))))</f>
      </c>
    </row>
    <row r="1200">
      <c r="A1200" s="13"/>
      <c r="B1200" s="10"/>
      <c r="C1200" s="9"/>
      <c r="D1200" s="20"/>
      <c r="E1200" s="9">
        <f>IF($D1200="","",IFERROR(VLOOKUP($D1200,'Plan comptable'!$H:$I,2,FALSE),"compte hors plan"))</f>
      </c>
      <c r="F1200" s="9"/>
      <c r="G1200" s="10"/>
      <c r="H1200" s="11"/>
      <c r="I1200" s="11"/>
      <c r="J1200" s="10">
        <f>IF($D1200="","",IF(AND($H1200&lt;&gt;"",$I1200&lt;&gt;""),"débit ET crédit",IF(AND($H1200="",$I1200=""),"montant manquant",IF(ISNA(MATCH($D1200,'Plan comptable'!$H:$H,0)),"compte hors plan",IF(AND($A1200&lt;&gt;"",YEAR($A1200)&lt;&gt;Exercice),"hors exercice","")))))</f>
      </c>
    </row>
    <row r="1201">
      <c r="A1201" s="13"/>
      <c r="B1201" s="10"/>
      <c r="C1201" s="9"/>
      <c r="D1201" s="20"/>
      <c r="E1201" s="9">
        <f>IF($D1201="","",IFERROR(VLOOKUP($D1201,'Plan comptable'!$H:$I,2,FALSE),"compte hors plan"))</f>
      </c>
      <c r="F1201" s="9"/>
      <c r="G1201" s="10"/>
      <c r="H1201" s="11"/>
      <c r="I1201" s="11"/>
      <c r="J1201" s="10">
        <f>IF($D1201="","",IF(AND($H1201&lt;&gt;"",$I1201&lt;&gt;""),"débit ET crédit",IF(AND($H1201="",$I1201=""),"montant manquant",IF(ISNA(MATCH($D1201,'Plan comptable'!$H:$H,0)),"compte hors plan",IF(AND($A1201&lt;&gt;"",YEAR($A1201)&lt;&gt;Exercice),"hors exercice","")))))</f>
      </c>
    </row>
    <row r="1202">
      <c r="A1202" s="13"/>
      <c r="B1202" s="10"/>
      <c r="C1202" s="9"/>
      <c r="D1202" s="20"/>
      <c r="E1202" s="9">
        <f>IF($D1202="","",IFERROR(VLOOKUP($D1202,'Plan comptable'!$H:$I,2,FALSE),"compte hors plan"))</f>
      </c>
      <c r="F1202" s="9"/>
      <c r="G1202" s="10"/>
      <c r="H1202" s="11"/>
      <c r="I1202" s="11"/>
      <c r="J1202" s="10">
        <f>IF($D1202="","",IF(AND($H1202&lt;&gt;"",$I1202&lt;&gt;""),"débit ET crédit",IF(AND($H1202="",$I1202=""),"montant manquant",IF(ISNA(MATCH($D1202,'Plan comptable'!$H:$H,0)),"compte hors plan",IF(AND($A1202&lt;&gt;"",YEAR($A1202)&lt;&gt;Exercice),"hors exercice","")))))</f>
      </c>
    </row>
    <row r="1203">
      <c r="A1203" s="13"/>
      <c r="B1203" s="10"/>
      <c r="C1203" s="9"/>
      <c r="D1203" s="20"/>
      <c r="E1203" s="9">
        <f>IF($D1203="","",IFERROR(VLOOKUP($D1203,'Plan comptable'!$H:$I,2,FALSE),"compte hors plan"))</f>
      </c>
      <c r="F1203" s="9"/>
      <c r="G1203" s="10"/>
      <c r="H1203" s="11"/>
      <c r="I1203" s="11"/>
      <c r="J1203" s="10">
        <f>IF($D1203="","",IF(AND($H1203&lt;&gt;"",$I1203&lt;&gt;""),"débit ET crédit",IF(AND($H1203="",$I1203=""),"montant manquant",IF(ISNA(MATCH($D1203,'Plan comptable'!$H:$H,0)),"compte hors plan",IF(AND($A1203&lt;&gt;"",YEAR($A1203)&lt;&gt;Exercice),"hors exercice","")))))</f>
      </c>
    </row>
    <row r="1204">
      <c r="A1204" s="13"/>
      <c r="B1204" s="10"/>
      <c r="C1204" s="9"/>
      <c r="D1204" s="20"/>
      <c r="E1204" s="9">
        <f>IF($D1204="","",IFERROR(VLOOKUP($D1204,'Plan comptable'!$H:$I,2,FALSE),"compte hors plan"))</f>
      </c>
      <c r="F1204" s="9"/>
      <c r="G1204" s="10"/>
      <c r="H1204" s="11"/>
      <c r="I1204" s="11"/>
      <c r="J1204" s="10">
        <f>IF($D1204="","",IF(AND($H1204&lt;&gt;"",$I1204&lt;&gt;""),"débit ET crédit",IF(AND($H1204="",$I1204=""),"montant manquant",IF(ISNA(MATCH($D1204,'Plan comptable'!$H:$H,0)),"compte hors plan",IF(AND($A1204&lt;&gt;"",YEAR($A1204)&lt;&gt;Exercice),"hors exercice","")))))</f>
      </c>
    </row>
    <row r="1205">
      <c r="A1205" s="13"/>
      <c r="B1205" s="10"/>
      <c r="C1205" s="9"/>
      <c r="D1205" s="20"/>
      <c r="E1205" s="9">
        <f>IF($D1205="","",IFERROR(VLOOKUP($D1205,'Plan comptable'!$H:$I,2,FALSE),"compte hors plan"))</f>
      </c>
      <c r="F1205" s="9"/>
      <c r="G1205" s="10"/>
      <c r="H1205" s="11"/>
      <c r="I1205" s="11"/>
      <c r="J1205" s="10">
        <f>IF($D1205="","",IF(AND($H1205&lt;&gt;"",$I1205&lt;&gt;""),"débit ET crédit",IF(AND($H1205="",$I1205=""),"montant manquant",IF(ISNA(MATCH($D1205,'Plan comptable'!$H:$H,0)),"compte hors plan",IF(AND($A1205&lt;&gt;"",YEAR($A1205)&lt;&gt;Exercice),"hors exercice","")))))</f>
      </c>
    </row>
    <row r="1206">
      <c r="A1206" s="13"/>
      <c r="B1206" s="10"/>
      <c r="C1206" s="9"/>
      <c r="D1206" s="20"/>
      <c r="E1206" s="9">
        <f>IF($D1206="","",IFERROR(VLOOKUP($D1206,'Plan comptable'!$H:$I,2,FALSE),"compte hors plan"))</f>
      </c>
      <c r="F1206" s="9"/>
      <c r="G1206" s="10"/>
      <c r="H1206" s="11"/>
      <c r="I1206" s="11"/>
      <c r="J1206" s="10">
        <f>IF($D1206="","",IF(AND($H1206&lt;&gt;"",$I1206&lt;&gt;""),"débit ET crédit",IF(AND($H1206="",$I1206=""),"montant manquant",IF(ISNA(MATCH($D1206,'Plan comptable'!$H:$H,0)),"compte hors plan",IF(AND($A1206&lt;&gt;"",YEAR($A1206)&lt;&gt;Exercice),"hors exercice","")))))</f>
      </c>
    </row>
    <row r="1207">
      <c r="A1207" s="13"/>
      <c r="B1207" s="10"/>
      <c r="C1207" s="9"/>
      <c r="D1207" s="20"/>
      <c r="E1207" s="9">
        <f>IF($D1207="","",IFERROR(VLOOKUP($D1207,'Plan comptable'!$H:$I,2,FALSE),"compte hors plan"))</f>
      </c>
      <c r="F1207" s="9"/>
      <c r="G1207" s="10"/>
      <c r="H1207" s="11"/>
      <c r="I1207" s="11"/>
      <c r="J1207" s="10">
        <f>IF($D1207="","",IF(AND($H1207&lt;&gt;"",$I1207&lt;&gt;""),"débit ET crédit",IF(AND($H1207="",$I1207=""),"montant manquant",IF(ISNA(MATCH($D1207,'Plan comptable'!$H:$H,0)),"compte hors plan",IF(AND($A1207&lt;&gt;"",YEAR($A1207)&lt;&gt;Exercice),"hors exercice","")))))</f>
      </c>
    </row>
    <row r="1208">
      <c r="A1208" s="13"/>
      <c r="B1208" s="10"/>
      <c r="C1208" s="9"/>
      <c r="D1208" s="20"/>
      <c r="E1208" s="9">
        <f>IF($D1208="","",IFERROR(VLOOKUP($D1208,'Plan comptable'!$H:$I,2,FALSE),"compte hors plan"))</f>
      </c>
      <c r="F1208" s="9"/>
      <c r="G1208" s="10"/>
      <c r="H1208" s="11"/>
      <c r="I1208" s="11"/>
      <c r="J1208" s="10">
        <f>IF($D1208="","",IF(AND($H1208&lt;&gt;"",$I1208&lt;&gt;""),"débit ET crédit",IF(AND($H1208="",$I1208=""),"montant manquant",IF(ISNA(MATCH($D1208,'Plan comptable'!$H:$H,0)),"compte hors plan",IF(AND($A1208&lt;&gt;"",YEAR($A1208)&lt;&gt;Exercice),"hors exercice","")))))</f>
      </c>
    </row>
    <row r="1209">
      <c r="A1209" s="13"/>
      <c r="B1209" s="10"/>
      <c r="C1209" s="9"/>
      <c r="D1209" s="20"/>
      <c r="E1209" s="9">
        <f>IF($D1209="","",IFERROR(VLOOKUP($D1209,'Plan comptable'!$H:$I,2,FALSE),"compte hors plan"))</f>
      </c>
      <c r="F1209" s="9"/>
      <c r="G1209" s="10"/>
      <c r="H1209" s="11"/>
      <c r="I1209" s="11"/>
      <c r="J1209" s="10">
        <f>IF($D1209="","",IF(AND($H1209&lt;&gt;"",$I1209&lt;&gt;""),"débit ET crédit",IF(AND($H1209="",$I1209=""),"montant manquant",IF(ISNA(MATCH($D1209,'Plan comptable'!$H:$H,0)),"compte hors plan",IF(AND($A1209&lt;&gt;"",YEAR($A1209)&lt;&gt;Exercice),"hors exercice","")))))</f>
      </c>
    </row>
    <row r="1210">
      <c r="A1210" s="13"/>
      <c r="B1210" s="10"/>
      <c r="C1210" s="9"/>
      <c r="D1210" s="20"/>
      <c r="E1210" s="9">
        <f>IF($D1210="","",IFERROR(VLOOKUP($D1210,'Plan comptable'!$H:$I,2,FALSE),"compte hors plan"))</f>
      </c>
      <c r="F1210" s="9"/>
      <c r="G1210" s="10"/>
      <c r="H1210" s="11"/>
      <c r="I1210" s="11"/>
      <c r="J1210" s="10">
        <f>IF($D1210="","",IF(AND($H1210&lt;&gt;"",$I1210&lt;&gt;""),"débit ET crédit",IF(AND($H1210="",$I1210=""),"montant manquant",IF(ISNA(MATCH($D1210,'Plan comptable'!$H:$H,0)),"compte hors plan",IF(AND($A1210&lt;&gt;"",YEAR($A1210)&lt;&gt;Exercice),"hors exercice","")))))</f>
      </c>
    </row>
    <row r="1211">
      <c r="A1211" s="13"/>
      <c r="B1211" s="10"/>
      <c r="C1211" s="9"/>
      <c r="D1211" s="20"/>
      <c r="E1211" s="9">
        <f>IF($D1211="","",IFERROR(VLOOKUP($D1211,'Plan comptable'!$H:$I,2,FALSE),"compte hors plan"))</f>
      </c>
      <c r="F1211" s="9"/>
      <c r="G1211" s="10"/>
      <c r="H1211" s="11"/>
      <c r="I1211" s="11"/>
      <c r="J1211" s="10">
        <f>IF($D1211="","",IF(AND($H1211&lt;&gt;"",$I1211&lt;&gt;""),"débit ET crédit",IF(AND($H1211="",$I1211=""),"montant manquant",IF(ISNA(MATCH($D1211,'Plan comptable'!$H:$H,0)),"compte hors plan",IF(AND($A1211&lt;&gt;"",YEAR($A1211)&lt;&gt;Exercice),"hors exercice","")))))</f>
      </c>
    </row>
    <row r="1212">
      <c r="A1212" s="13"/>
      <c r="B1212" s="10"/>
      <c r="C1212" s="9"/>
      <c r="D1212" s="20"/>
      <c r="E1212" s="9">
        <f>IF($D1212="","",IFERROR(VLOOKUP($D1212,'Plan comptable'!$H:$I,2,FALSE),"compte hors plan"))</f>
      </c>
      <c r="F1212" s="9"/>
      <c r="G1212" s="10"/>
      <c r="H1212" s="11"/>
      <c r="I1212" s="11"/>
      <c r="J1212" s="10">
        <f>IF($D1212="","",IF(AND($H1212&lt;&gt;"",$I1212&lt;&gt;""),"débit ET crédit",IF(AND($H1212="",$I1212=""),"montant manquant",IF(ISNA(MATCH($D1212,'Plan comptable'!$H:$H,0)),"compte hors plan",IF(AND($A1212&lt;&gt;"",YEAR($A1212)&lt;&gt;Exercice),"hors exercice","")))))</f>
      </c>
    </row>
    <row r="1213">
      <c r="A1213" s="13"/>
      <c r="B1213" s="10"/>
      <c r="C1213" s="9"/>
      <c r="D1213" s="20"/>
      <c r="E1213" s="9">
        <f>IF($D1213="","",IFERROR(VLOOKUP($D1213,'Plan comptable'!$H:$I,2,FALSE),"compte hors plan"))</f>
      </c>
      <c r="F1213" s="9"/>
      <c r="G1213" s="10"/>
      <c r="H1213" s="11"/>
      <c r="I1213" s="11"/>
      <c r="J1213" s="10">
        <f>IF($D1213="","",IF(AND($H1213&lt;&gt;"",$I1213&lt;&gt;""),"débit ET crédit",IF(AND($H1213="",$I1213=""),"montant manquant",IF(ISNA(MATCH($D1213,'Plan comptable'!$H:$H,0)),"compte hors plan",IF(AND($A1213&lt;&gt;"",YEAR($A1213)&lt;&gt;Exercice),"hors exercice","")))))</f>
      </c>
    </row>
    <row r="1214">
      <c r="A1214" s="13"/>
      <c r="B1214" s="10"/>
      <c r="C1214" s="9"/>
      <c r="D1214" s="20"/>
      <c r="E1214" s="9">
        <f>IF($D1214="","",IFERROR(VLOOKUP($D1214,'Plan comptable'!$H:$I,2,FALSE),"compte hors plan"))</f>
      </c>
      <c r="F1214" s="9"/>
      <c r="G1214" s="10"/>
      <c r="H1214" s="11"/>
      <c r="I1214" s="11"/>
      <c r="J1214" s="10">
        <f>IF($D1214="","",IF(AND($H1214&lt;&gt;"",$I1214&lt;&gt;""),"débit ET crédit",IF(AND($H1214="",$I1214=""),"montant manquant",IF(ISNA(MATCH($D1214,'Plan comptable'!$H:$H,0)),"compte hors plan",IF(AND($A1214&lt;&gt;"",YEAR($A1214)&lt;&gt;Exercice),"hors exercice","")))))</f>
      </c>
    </row>
    <row r="1215">
      <c r="A1215" s="13"/>
      <c r="B1215" s="10"/>
      <c r="C1215" s="9"/>
      <c r="D1215" s="20"/>
      <c r="E1215" s="9">
        <f>IF($D1215="","",IFERROR(VLOOKUP($D1215,'Plan comptable'!$H:$I,2,FALSE),"compte hors plan"))</f>
      </c>
      <c r="F1215" s="9"/>
      <c r="G1215" s="10"/>
      <c r="H1215" s="11"/>
      <c r="I1215" s="11"/>
      <c r="J1215" s="10">
        <f>IF($D1215="","",IF(AND($H1215&lt;&gt;"",$I1215&lt;&gt;""),"débit ET crédit",IF(AND($H1215="",$I1215=""),"montant manquant",IF(ISNA(MATCH($D1215,'Plan comptable'!$H:$H,0)),"compte hors plan",IF(AND($A1215&lt;&gt;"",YEAR($A1215)&lt;&gt;Exercice),"hors exercice","")))))</f>
      </c>
    </row>
    <row r="1216">
      <c r="A1216" s="13"/>
      <c r="B1216" s="10"/>
      <c r="C1216" s="9"/>
      <c r="D1216" s="20"/>
      <c r="E1216" s="9">
        <f>IF($D1216="","",IFERROR(VLOOKUP($D1216,'Plan comptable'!$H:$I,2,FALSE),"compte hors plan"))</f>
      </c>
      <c r="F1216" s="9"/>
      <c r="G1216" s="10"/>
      <c r="H1216" s="11"/>
      <c r="I1216" s="11"/>
      <c r="J1216" s="10">
        <f>IF($D1216="","",IF(AND($H1216&lt;&gt;"",$I1216&lt;&gt;""),"débit ET crédit",IF(AND($H1216="",$I1216=""),"montant manquant",IF(ISNA(MATCH($D1216,'Plan comptable'!$H:$H,0)),"compte hors plan",IF(AND($A1216&lt;&gt;"",YEAR($A1216)&lt;&gt;Exercice),"hors exercice","")))))</f>
      </c>
    </row>
    <row r="1217">
      <c r="A1217" s="13"/>
      <c r="B1217" s="10"/>
      <c r="C1217" s="9"/>
      <c r="D1217" s="20"/>
      <c r="E1217" s="9">
        <f>IF($D1217="","",IFERROR(VLOOKUP($D1217,'Plan comptable'!$H:$I,2,FALSE),"compte hors plan"))</f>
      </c>
      <c r="F1217" s="9"/>
      <c r="G1217" s="10"/>
      <c r="H1217" s="11"/>
      <c r="I1217" s="11"/>
      <c r="J1217" s="10">
        <f>IF($D1217="","",IF(AND($H1217&lt;&gt;"",$I1217&lt;&gt;""),"débit ET crédit",IF(AND($H1217="",$I1217=""),"montant manquant",IF(ISNA(MATCH($D1217,'Plan comptable'!$H:$H,0)),"compte hors plan",IF(AND($A1217&lt;&gt;"",YEAR($A1217)&lt;&gt;Exercice),"hors exercice","")))))</f>
      </c>
    </row>
    <row r="1218">
      <c r="A1218" s="13"/>
      <c r="B1218" s="10"/>
      <c r="C1218" s="9"/>
      <c r="D1218" s="20"/>
      <c r="E1218" s="9">
        <f>IF($D1218="","",IFERROR(VLOOKUP($D1218,'Plan comptable'!$H:$I,2,FALSE),"compte hors plan"))</f>
      </c>
      <c r="F1218" s="9"/>
      <c r="G1218" s="10"/>
      <c r="H1218" s="11"/>
      <c r="I1218" s="11"/>
      <c r="J1218" s="10">
        <f>IF($D1218="","",IF(AND($H1218&lt;&gt;"",$I1218&lt;&gt;""),"débit ET crédit",IF(AND($H1218="",$I1218=""),"montant manquant",IF(ISNA(MATCH($D1218,'Plan comptable'!$H:$H,0)),"compte hors plan",IF(AND($A1218&lt;&gt;"",YEAR($A1218)&lt;&gt;Exercice),"hors exercice","")))))</f>
      </c>
    </row>
    <row r="1219">
      <c r="A1219" s="13"/>
      <c r="B1219" s="10"/>
      <c r="C1219" s="9"/>
      <c r="D1219" s="20"/>
      <c r="E1219" s="9">
        <f>IF($D1219="","",IFERROR(VLOOKUP($D1219,'Plan comptable'!$H:$I,2,FALSE),"compte hors plan"))</f>
      </c>
      <c r="F1219" s="9"/>
      <c r="G1219" s="10"/>
      <c r="H1219" s="11"/>
      <c r="I1219" s="11"/>
      <c r="J1219" s="10">
        <f>IF($D1219="","",IF(AND($H1219&lt;&gt;"",$I1219&lt;&gt;""),"débit ET crédit",IF(AND($H1219="",$I1219=""),"montant manquant",IF(ISNA(MATCH($D1219,'Plan comptable'!$H:$H,0)),"compte hors plan",IF(AND($A1219&lt;&gt;"",YEAR($A1219)&lt;&gt;Exercice),"hors exercice","")))))</f>
      </c>
    </row>
    <row r="1220">
      <c r="A1220" s="13"/>
      <c r="B1220" s="10"/>
      <c r="C1220" s="9"/>
      <c r="D1220" s="20"/>
      <c r="E1220" s="9">
        <f>IF($D1220="","",IFERROR(VLOOKUP($D1220,'Plan comptable'!$H:$I,2,FALSE),"compte hors plan"))</f>
      </c>
      <c r="F1220" s="9"/>
      <c r="G1220" s="10"/>
      <c r="H1220" s="11"/>
      <c r="I1220" s="11"/>
      <c r="J1220" s="10">
        <f>IF($D1220="","",IF(AND($H1220&lt;&gt;"",$I1220&lt;&gt;""),"débit ET crédit",IF(AND($H1220="",$I1220=""),"montant manquant",IF(ISNA(MATCH($D1220,'Plan comptable'!$H:$H,0)),"compte hors plan",IF(AND($A1220&lt;&gt;"",YEAR($A1220)&lt;&gt;Exercice),"hors exercice","")))))</f>
      </c>
    </row>
    <row r="1221">
      <c r="A1221" s="13"/>
      <c r="B1221" s="10"/>
      <c r="C1221" s="9"/>
      <c r="D1221" s="20"/>
      <c r="E1221" s="9">
        <f>IF($D1221="","",IFERROR(VLOOKUP($D1221,'Plan comptable'!$H:$I,2,FALSE),"compte hors plan"))</f>
      </c>
      <c r="F1221" s="9"/>
      <c r="G1221" s="10"/>
      <c r="H1221" s="11"/>
      <c r="I1221" s="11"/>
      <c r="J1221" s="10">
        <f>IF($D1221="","",IF(AND($H1221&lt;&gt;"",$I1221&lt;&gt;""),"débit ET crédit",IF(AND($H1221="",$I1221=""),"montant manquant",IF(ISNA(MATCH($D1221,'Plan comptable'!$H:$H,0)),"compte hors plan",IF(AND($A1221&lt;&gt;"",YEAR($A1221)&lt;&gt;Exercice),"hors exercice","")))))</f>
      </c>
    </row>
    <row r="1222">
      <c r="A1222" s="13"/>
      <c r="B1222" s="10"/>
      <c r="C1222" s="9"/>
      <c r="D1222" s="20"/>
      <c r="E1222" s="9">
        <f>IF($D1222="","",IFERROR(VLOOKUP($D1222,'Plan comptable'!$H:$I,2,FALSE),"compte hors plan"))</f>
      </c>
      <c r="F1222" s="9"/>
      <c r="G1222" s="10"/>
      <c r="H1222" s="11"/>
      <c r="I1222" s="11"/>
      <c r="J1222" s="10">
        <f>IF($D1222="","",IF(AND($H1222&lt;&gt;"",$I1222&lt;&gt;""),"débit ET crédit",IF(AND($H1222="",$I1222=""),"montant manquant",IF(ISNA(MATCH($D1222,'Plan comptable'!$H:$H,0)),"compte hors plan",IF(AND($A1222&lt;&gt;"",YEAR($A1222)&lt;&gt;Exercice),"hors exercice","")))))</f>
      </c>
    </row>
    <row r="1223">
      <c r="A1223" s="13"/>
      <c r="B1223" s="10"/>
      <c r="C1223" s="9"/>
      <c r="D1223" s="20"/>
      <c r="E1223" s="9">
        <f>IF($D1223="","",IFERROR(VLOOKUP($D1223,'Plan comptable'!$H:$I,2,FALSE),"compte hors plan"))</f>
      </c>
      <c r="F1223" s="9"/>
      <c r="G1223" s="10"/>
      <c r="H1223" s="11"/>
      <c r="I1223" s="11"/>
      <c r="J1223" s="10">
        <f>IF($D1223="","",IF(AND($H1223&lt;&gt;"",$I1223&lt;&gt;""),"débit ET crédit",IF(AND($H1223="",$I1223=""),"montant manquant",IF(ISNA(MATCH($D1223,'Plan comptable'!$H:$H,0)),"compte hors plan",IF(AND($A1223&lt;&gt;"",YEAR($A1223)&lt;&gt;Exercice),"hors exercice","")))))</f>
      </c>
    </row>
    <row r="1224">
      <c r="A1224" s="13"/>
      <c r="B1224" s="10"/>
      <c r="C1224" s="9"/>
      <c r="D1224" s="20"/>
      <c r="E1224" s="9">
        <f>IF($D1224="","",IFERROR(VLOOKUP($D1224,'Plan comptable'!$H:$I,2,FALSE),"compte hors plan"))</f>
      </c>
      <c r="F1224" s="9"/>
      <c r="G1224" s="10"/>
      <c r="H1224" s="11"/>
      <c r="I1224" s="11"/>
      <c r="J1224" s="10">
        <f>IF($D1224="","",IF(AND($H1224&lt;&gt;"",$I1224&lt;&gt;""),"débit ET crédit",IF(AND($H1224="",$I1224=""),"montant manquant",IF(ISNA(MATCH($D1224,'Plan comptable'!$H:$H,0)),"compte hors plan",IF(AND($A1224&lt;&gt;"",YEAR($A1224)&lt;&gt;Exercice),"hors exercice","")))))</f>
      </c>
    </row>
    <row r="1225">
      <c r="A1225" s="13"/>
      <c r="B1225" s="10"/>
      <c r="C1225" s="9"/>
      <c r="D1225" s="20"/>
      <c r="E1225" s="9">
        <f>IF($D1225="","",IFERROR(VLOOKUP($D1225,'Plan comptable'!$H:$I,2,FALSE),"compte hors plan"))</f>
      </c>
      <c r="F1225" s="9"/>
      <c r="G1225" s="10"/>
      <c r="H1225" s="11"/>
      <c r="I1225" s="11"/>
      <c r="J1225" s="10">
        <f>IF($D1225="","",IF(AND($H1225&lt;&gt;"",$I1225&lt;&gt;""),"débit ET crédit",IF(AND($H1225="",$I1225=""),"montant manquant",IF(ISNA(MATCH($D1225,'Plan comptable'!$H:$H,0)),"compte hors plan",IF(AND($A1225&lt;&gt;"",YEAR($A1225)&lt;&gt;Exercice),"hors exercice","")))))</f>
      </c>
    </row>
    <row r="1226">
      <c r="A1226" s="13"/>
      <c r="B1226" s="10"/>
      <c r="C1226" s="9"/>
      <c r="D1226" s="20"/>
      <c r="E1226" s="9">
        <f>IF($D1226="","",IFERROR(VLOOKUP($D1226,'Plan comptable'!$H:$I,2,FALSE),"compte hors plan"))</f>
      </c>
      <c r="F1226" s="9"/>
      <c r="G1226" s="10"/>
      <c r="H1226" s="11"/>
      <c r="I1226" s="11"/>
      <c r="J1226" s="10">
        <f>IF($D1226="","",IF(AND($H1226&lt;&gt;"",$I1226&lt;&gt;""),"débit ET crédit",IF(AND($H1226="",$I1226=""),"montant manquant",IF(ISNA(MATCH($D1226,'Plan comptable'!$H:$H,0)),"compte hors plan",IF(AND($A1226&lt;&gt;"",YEAR($A1226)&lt;&gt;Exercice),"hors exercice","")))))</f>
      </c>
    </row>
    <row r="1227">
      <c r="A1227" s="13"/>
      <c r="B1227" s="10"/>
      <c r="C1227" s="9"/>
      <c r="D1227" s="20"/>
      <c r="E1227" s="9">
        <f>IF($D1227="","",IFERROR(VLOOKUP($D1227,'Plan comptable'!$H:$I,2,FALSE),"compte hors plan"))</f>
      </c>
      <c r="F1227" s="9"/>
      <c r="G1227" s="10"/>
      <c r="H1227" s="11"/>
      <c r="I1227" s="11"/>
      <c r="J1227" s="10">
        <f>IF($D1227="","",IF(AND($H1227&lt;&gt;"",$I1227&lt;&gt;""),"débit ET crédit",IF(AND($H1227="",$I1227=""),"montant manquant",IF(ISNA(MATCH($D1227,'Plan comptable'!$H:$H,0)),"compte hors plan",IF(AND($A1227&lt;&gt;"",YEAR($A1227)&lt;&gt;Exercice),"hors exercice","")))))</f>
      </c>
    </row>
    <row r="1228">
      <c r="A1228" s="13"/>
      <c r="B1228" s="10"/>
      <c r="C1228" s="9"/>
      <c r="D1228" s="20"/>
      <c r="E1228" s="9">
        <f>IF($D1228="","",IFERROR(VLOOKUP($D1228,'Plan comptable'!$H:$I,2,FALSE),"compte hors plan"))</f>
      </c>
      <c r="F1228" s="9"/>
      <c r="G1228" s="10"/>
      <c r="H1228" s="11"/>
      <c r="I1228" s="11"/>
      <c r="J1228" s="10">
        <f>IF($D1228="","",IF(AND($H1228&lt;&gt;"",$I1228&lt;&gt;""),"débit ET crédit",IF(AND($H1228="",$I1228=""),"montant manquant",IF(ISNA(MATCH($D1228,'Plan comptable'!$H:$H,0)),"compte hors plan",IF(AND($A1228&lt;&gt;"",YEAR($A1228)&lt;&gt;Exercice),"hors exercice","")))))</f>
      </c>
    </row>
    <row r="1229">
      <c r="A1229" s="13"/>
      <c r="B1229" s="10"/>
      <c r="C1229" s="9"/>
      <c r="D1229" s="20"/>
      <c r="E1229" s="9">
        <f>IF($D1229="","",IFERROR(VLOOKUP($D1229,'Plan comptable'!$H:$I,2,FALSE),"compte hors plan"))</f>
      </c>
      <c r="F1229" s="9"/>
      <c r="G1229" s="10"/>
      <c r="H1229" s="11"/>
      <c r="I1229" s="11"/>
      <c r="J1229" s="10">
        <f>IF($D1229="","",IF(AND($H1229&lt;&gt;"",$I1229&lt;&gt;""),"débit ET crédit",IF(AND($H1229="",$I1229=""),"montant manquant",IF(ISNA(MATCH($D1229,'Plan comptable'!$H:$H,0)),"compte hors plan",IF(AND($A1229&lt;&gt;"",YEAR($A1229)&lt;&gt;Exercice),"hors exercice","")))))</f>
      </c>
    </row>
    <row r="1230">
      <c r="A1230" s="13"/>
      <c r="B1230" s="10"/>
      <c r="C1230" s="9"/>
      <c r="D1230" s="20"/>
      <c r="E1230" s="9">
        <f>IF($D1230="","",IFERROR(VLOOKUP($D1230,'Plan comptable'!$H:$I,2,FALSE),"compte hors plan"))</f>
      </c>
      <c r="F1230" s="9"/>
      <c r="G1230" s="10"/>
      <c r="H1230" s="11"/>
      <c r="I1230" s="11"/>
      <c r="J1230" s="10">
        <f>IF($D1230="","",IF(AND($H1230&lt;&gt;"",$I1230&lt;&gt;""),"débit ET crédit",IF(AND($H1230="",$I1230=""),"montant manquant",IF(ISNA(MATCH($D1230,'Plan comptable'!$H:$H,0)),"compte hors plan",IF(AND($A1230&lt;&gt;"",YEAR($A1230)&lt;&gt;Exercice),"hors exercice","")))))</f>
      </c>
    </row>
    <row r="1231">
      <c r="A1231" s="13"/>
      <c r="B1231" s="10"/>
      <c r="C1231" s="9"/>
      <c r="D1231" s="20"/>
      <c r="E1231" s="9">
        <f>IF($D1231="","",IFERROR(VLOOKUP($D1231,'Plan comptable'!$H:$I,2,FALSE),"compte hors plan"))</f>
      </c>
      <c r="F1231" s="9"/>
      <c r="G1231" s="10"/>
      <c r="H1231" s="11"/>
      <c r="I1231" s="11"/>
      <c r="J1231" s="10">
        <f>IF($D1231="","",IF(AND($H1231&lt;&gt;"",$I1231&lt;&gt;""),"débit ET crédit",IF(AND($H1231="",$I1231=""),"montant manquant",IF(ISNA(MATCH($D1231,'Plan comptable'!$H:$H,0)),"compte hors plan",IF(AND($A1231&lt;&gt;"",YEAR($A1231)&lt;&gt;Exercice),"hors exercice","")))))</f>
      </c>
    </row>
    <row r="1232">
      <c r="A1232" s="13"/>
      <c r="B1232" s="10"/>
      <c r="C1232" s="9"/>
      <c r="D1232" s="20"/>
      <c r="E1232" s="9">
        <f>IF($D1232="","",IFERROR(VLOOKUP($D1232,'Plan comptable'!$H:$I,2,FALSE),"compte hors plan"))</f>
      </c>
      <c r="F1232" s="9"/>
      <c r="G1232" s="10"/>
      <c r="H1232" s="11"/>
      <c r="I1232" s="11"/>
      <c r="J1232" s="10">
        <f>IF($D1232="","",IF(AND($H1232&lt;&gt;"",$I1232&lt;&gt;""),"débit ET crédit",IF(AND($H1232="",$I1232=""),"montant manquant",IF(ISNA(MATCH($D1232,'Plan comptable'!$H:$H,0)),"compte hors plan",IF(AND($A1232&lt;&gt;"",YEAR($A1232)&lt;&gt;Exercice),"hors exercice","")))))</f>
      </c>
    </row>
    <row r="1233">
      <c r="A1233" s="13"/>
      <c r="B1233" s="10"/>
      <c r="C1233" s="9"/>
      <c r="D1233" s="20"/>
      <c r="E1233" s="9">
        <f>IF($D1233="","",IFERROR(VLOOKUP($D1233,'Plan comptable'!$H:$I,2,FALSE),"compte hors plan"))</f>
      </c>
      <c r="F1233" s="9"/>
      <c r="G1233" s="10"/>
      <c r="H1233" s="11"/>
      <c r="I1233" s="11"/>
      <c r="J1233" s="10">
        <f>IF($D1233="","",IF(AND($H1233&lt;&gt;"",$I1233&lt;&gt;""),"débit ET crédit",IF(AND($H1233="",$I1233=""),"montant manquant",IF(ISNA(MATCH($D1233,'Plan comptable'!$H:$H,0)),"compte hors plan",IF(AND($A1233&lt;&gt;"",YEAR($A1233)&lt;&gt;Exercice),"hors exercice","")))))</f>
      </c>
    </row>
    <row r="1234">
      <c r="A1234" s="13"/>
      <c r="B1234" s="10"/>
      <c r="C1234" s="9"/>
      <c r="D1234" s="20"/>
      <c r="E1234" s="9">
        <f>IF($D1234="","",IFERROR(VLOOKUP($D1234,'Plan comptable'!$H:$I,2,FALSE),"compte hors plan"))</f>
      </c>
      <c r="F1234" s="9"/>
      <c r="G1234" s="10"/>
      <c r="H1234" s="11"/>
      <c r="I1234" s="11"/>
      <c r="J1234" s="10">
        <f>IF($D1234="","",IF(AND($H1234&lt;&gt;"",$I1234&lt;&gt;""),"débit ET crédit",IF(AND($H1234="",$I1234=""),"montant manquant",IF(ISNA(MATCH($D1234,'Plan comptable'!$H:$H,0)),"compte hors plan",IF(AND($A1234&lt;&gt;"",YEAR($A1234)&lt;&gt;Exercice),"hors exercice","")))))</f>
      </c>
    </row>
    <row r="1235">
      <c r="A1235" s="13"/>
      <c r="B1235" s="10"/>
      <c r="C1235" s="9"/>
      <c r="D1235" s="20"/>
      <c r="E1235" s="9">
        <f>IF($D1235="","",IFERROR(VLOOKUP($D1235,'Plan comptable'!$H:$I,2,FALSE),"compte hors plan"))</f>
      </c>
      <c r="F1235" s="9"/>
      <c r="G1235" s="10"/>
      <c r="H1235" s="11"/>
      <c r="I1235" s="11"/>
      <c r="J1235" s="10">
        <f>IF($D1235="","",IF(AND($H1235&lt;&gt;"",$I1235&lt;&gt;""),"débit ET crédit",IF(AND($H1235="",$I1235=""),"montant manquant",IF(ISNA(MATCH($D1235,'Plan comptable'!$H:$H,0)),"compte hors plan",IF(AND($A1235&lt;&gt;"",YEAR($A1235)&lt;&gt;Exercice),"hors exercice","")))))</f>
      </c>
    </row>
    <row r="1236">
      <c r="A1236" s="13"/>
      <c r="B1236" s="10"/>
      <c r="C1236" s="9"/>
      <c r="D1236" s="20"/>
      <c r="E1236" s="9">
        <f>IF($D1236="","",IFERROR(VLOOKUP($D1236,'Plan comptable'!$H:$I,2,FALSE),"compte hors plan"))</f>
      </c>
      <c r="F1236" s="9"/>
      <c r="G1236" s="10"/>
      <c r="H1236" s="11"/>
      <c r="I1236" s="11"/>
      <c r="J1236" s="10">
        <f>IF($D1236="","",IF(AND($H1236&lt;&gt;"",$I1236&lt;&gt;""),"débit ET crédit",IF(AND($H1236="",$I1236=""),"montant manquant",IF(ISNA(MATCH($D1236,'Plan comptable'!$H:$H,0)),"compte hors plan",IF(AND($A1236&lt;&gt;"",YEAR($A1236)&lt;&gt;Exercice),"hors exercice","")))))</f>
      </c>
    </row>
    <row r="1237">
      <c r="A1237" s="13"/>
      <c r="B1237" s="10"/>
      <c r="C1237" s="9"/>
      <c r="D1237" s="20"/>
      <c r="E1237" s="9">
        <f>IF($D1237="","",IFERROR(VLOOKUP($D1237,'Plan comptable'!$H:$I,2,FALSE),"compte hors plan"))</f>
      </c>
      <c r="F1237" s="9"/>
      <c r="G1237" s="10"/>
      <c r="H1237" s="11"/>
      <c r="I1237" s="11"/>
      <c r="J1237" s="10">
        <f>IF($D1237="","",IF(AND($H1237&lt;&gt;"",$I1237&lt;&gt;""),"débit ET crédit",IF(AND($H1237="",$I1237=""),"montant manquant",IF(ISNA(MATCH($D1237,'Plan comptable'!$H:$H,0)),"compte hors plan",IF(AND($A1237&lt;&gt;"",YEAR($A1237)&lt;&gt;Exercice),"hors exercice","")))))</f>
      </c>
    </row>
    <row r="1238">
      <c r="A1238" s="13"/>
      <c r="B1238" s="10"/>
      <c r="C1238" s="9"/>
      <c r="D1238" s="20"/>
      <c r="E1238" s="9">
        <f>IF($D1238="","",IFERROR(VLOOKUP($D1238,'Plan comptable'!$H:$I,2,FALSE),"compte hors plan"))</f>
      </c>
      <c r="F1238" s="9"/>
      <c r="G1238" s="10"/>
      <c r="H1238" s="11"/>
      <c r="I1238" s="11"/>
      <c r="J1238" s="10">
        <f>IF($D1238="","",IF(AND($H1238&lt;&gt;"",$I1238&lt;&gt;""),"débit ET crédit",IF(AND($H1238="",$I1238=""),"montant manquant",IF(ISNA(MATCH($D1238,'Plan comptable'!$H:$H,0)),"compte hors plan",IF(AND($A1238&lt;&gt;"",YEAR($A1238)&lt;&gt;Exercice),"hors exercice","")))))</f>
      </c>
    </row>
    <row r="1239">
      <c r="A1239" s="13"/>
      <c r="B1239" s="10"/>
      <c r="C1239" s="9"/>
      <c r="D1239" s="20"/>
      <c r="E1239" s="9">
        <f>IF($D1239="","",IFERROR(VLOOKUP($D1239,'Plan comptable'!$H:$I,2,FALSE),"compte hors plan"))</f>
      </c>
      <c r="F1239" s="9"/>
      <c r="G1239" s="10"/>
      <c r="H1239" s="11"/>
      <c r="I1239" s="11"/>
      <c r="J1239" s="10">
        <f>IF($D1239="","",IF(AND($H1239&lt;&gt;"",$I1239&lt;&gt;""),"débit ET crédit",IF(AND($H1239="",$I1239=""),"montant manquant",IF(ISNA(MATCH($D1239,'Plan comptable'!$H:$H,0)),"compte hors plan",IF(AND($A1239&lt;&gt;"",YEAR($A1239)&lt;&gt;Exercice),"hors exercice","")))))</f>
      </c>
    </row>
    <row r="1240">
      <c r="A1240" s="13"/>
      <c r="B1240" s="10"/>
      <c r="C1240" s="9"/>
      <c r="D1240" s="20"/>
      <c r="E1240" s="9">
        <f>IF($D1240="","",IFERROR(VLOOKUP($D1240,'Plan comptable'!$H:$I,2,FALSE),"compte hors plan"))</f>
      </c>
      <c r="F1240" s="9"/>
      <c r="G1240" s="10"/>
      <c r="H1240" s="11"/>
      <c r="I1240" s="11"/>
      <c r="J1240" s="10">
        <f>IF($D1240="","",IF(AND($H1240&lt;&gt;"",$I1240&lt;&gt;""),"débit ET crédit",IF(AND($H1240="",$I1240=""),"montant manquant",IF(ISNA(MATCH($D1240,'Plan comptable'!$H:$H,0)),"compte hors plan",IF(AND($A1240&lt;&gt;"",YEAR($A1240)&lt;&gt;Exercice),"hors exercice","")))))</f>
      </c>
    </row>
    <row r="1241">
      <c r="A1241" s="13"/>
      <c r="B1241" s="10"/>
      <c r="C1241" s="9"/>
      <c r="D1241" s="20"/>
      <c r="E1241" s="9">
        <f>IF($D1241="","",IFERROR(VLOOKUP($D1241,'Plan comptable'!$H:$I,2,FALSE),"compte hors plan"))</f>
      </c>
      <c r="F1241" s="9"/>
      <c r="G1241" s="10"/>
      <c r="H1241" s="11"/>
      <c r="I1241" s="11"/>
      <c r="J1241" s="10">
        <f>IF($D1241="","",IF(AND($H1241&lt;&gt;"",$I1241&lt;&gt;""),"débit ET crédit",IF(AND($H1241="",$I1241=""),"montant manquant",IF(ISNA(MATCH($D1241,'Plan comptable'!$H:$H,0)),"compte hors plan",IF(AND($A1241&lt;&gt;"",YEAR($A1241)&lt;&gt;Exercice),"hors exercice","")))))</f>
      </c>
    </row>
    <row r="1242">
      <c r="A1242" s="13"/>
      <c r="B1242" s="10"/>
      <c r="C1242" s="9"/>
      <c r="D1242" s="20"/>
      <c r="E1242" s="9">
        <f>IF($D1242="","",IFERROR(VLOOKUP($D1242,'Plan comptable'!$H:$I,2,FALSE),"compte hors plan"))</f>
      </c>
      <c r="F1242" s="9"/>
      <c r="G1242" s="10"/>
      <c r="H1242" s="11"/>
      <c r="I1242" s="11"/>
      <c r="J1242" s="10">
        <f>IF($D1242="","",IF(AND($H1242&lt;&gt;"",$I1242&lt;&gt;""),"débit ET crédit",IF(AND($H1242="",$I1242=""),"montant manquant",IF(ISNA(MATCH($D1242,'Plan comptable'!$H:$H,0)),"compte hors plan",IF(AND($A1242&lt;&gt;"",YEAR($A1242)&lt;&gt;Exercice),"hors exercice","")))))</f>
      </c>
    </row>
    <row r="1243">
      <c r="A1243" s="13"/>
      <c r="B1243" s="10"/>
      <c r="C1243" s="9"/>
      <c r="D1243" s="20"/>
      <c r="E1243" s="9">
        <f>IF($D1243="","",IFERROR(VLOOKUP($D1243,'Plan comptable'!$H:$I,2,FALSE),"compte hors plan"))</f>
      </c>
      <c r="F1243" s="9"/>
      <c r="G1243" s="10"/>
      <c r="H1243" s="11"/>
      <c r="I1243" s="11"/>
      <c r="J1243" s="10">
        <f>IF($D1243="","",IF(AND($H1243&lt;&gt;"",$I1243&lt;&gt;""),"débit ET crédit",IF(AND($H1243="",$I1243=""),"montant manquant",IF(ISNA(MATCH($D1243,'Plan comptable'!$H:$H,0)),"compte hors plan",IF(AND($A1243&lt;&gt;"",YEAR($A1243)&lt;&gt;Exercice),"hors exercice","")))))</f>
      </c>
    </row>
    <row r="1244">
      <c r="A1244" s="13"/>
      <c r="B1244" s="10"/>
      <c r="C1244" s="9"/>
      <c r="D1244" s="20"/>
      <c r="E1244" s="9">
        <f>IF($D1244="","",IFERROR(VLOOKUP($D1244,'Plan comptable'!$H:$I,2,FALSE),"compte hors plan"))</f>
      </c>
      <c r="F1244" s="9"/>
      <c r="G1244" s="10"/>
      <c r="H1244" s="11"/>
      <c r="I1244" s="11"/>
      <c r="J1244" s="10">
        <f>IF($D1244="","",IF(AND($H1244&lt;&gt;"",$I1244&lt;&gt;""),"débit ET crédit",IF(AND($H1244="",$I1244=""),"montant manquant",IF(ISNA(MATCH($D1244,'Plan comptable'!$H:$H,0)),"compte hors plan",IF(AND($A1244&lt;&gt;"",YEAR($A1244)&lt;&gt;Exercice),"hors exercice","")))))</f>
      </c>
    </row>
    <row r="1245">
      <c r="A1245" s="13"/>
      <c r="B1245" s="10"/>
      <c r="C1245" s="9"/>
      <c r="D1245" s="20"/>
      <c r="E1245" s="9">
        <f>IF($D1245="","",IFERROR(VLOOKUP($D1245,'Plan comptable'!$H:$I,2,FALSE),"compte hors plan"))</f>
      </c>
      <c r="F1245" s="9"/>
      <c r="G1245" s="10"/>
      <c r="H1245" s="11"/>
      <c r="I1245" s="11"/>
      <c r="J1245" s="10">
        <f>IF($D1245="","",IF(AND($H1245&lt;&gt;"",$I1245&lt;&gt;""),"débit ET crédit",IF(AND($H1245="",$I1245=""),"montant manquant",IF(ISNA(MATCH($D1245,'Plan comptable'!$H:$H,0)),"compte hors plan",IF(AND($A1245&lt;&gt;"",YEAR($A1245)&lt;&gt;Exercice),"hors exercice","")))))</f>
      </c>
    </row>
    <row r="1246">
      <c r="A1246" s="13"/>
      <c r="B1246" s="10"/>
      <c r="C1246" s="9"/>
      <c r="D1246" s="20"/>
      <c r="E1246" s="9">
        <f>IF($D1246="","",IFERROR(VLOOKUP($D1246,'Plan comptable'!$H:$I,2,FALSE),"compte hors plan"))</f>
      </c>
      <c r="F1246" s="9"/>
      <c r="G1246" s="10"/>
      <c r="H1246" s="11"/>
      <c r="I1246" s="11"/>
      <c r="J1246" s="10">
        <f>IF($D1246="","",IF(AND($H1246&lt;&gt;"",$I1246&lt;&gt;""),"débit ET crédit",IF(AND($H1246="",$I1246=""),"montant manquant",IF(ISNA(MATCH($D1246,'Plan comptable'!$H:$H,0)),"compte hors plan",IF(AND($A1246&lt;&gt;"",YEAR($A1246)&lt;&gt;Exercice),"hors exercice","")))))</f>
      </c>
    </row>
    <row r="1247">
      <c r="A1247" s="13"/>
      <c r="B1247" s="10"/>
      <c r="C1247" s="9"/>
      <c r="D1247" s="20"/>
      <c r="E1247" s="9">
        <f>IF($D1247="","",IFERROR(VLOOKUP($D1247,'Plan comptable'!$H:$I,2,FALSE),"compte hors plan"))</f>
      </c>
      <c r="F1247" s="9"/>
      <c r="G1247" s="10"/>
      <c r="H1247" s="11"/>
      <c r="I1247" s="11"/>
      <c r="J1247" s="10">
        <f>IF($D1247="","",IF(AND($H1247&lt;&gt;"",$I1247&lt;&gt;""),"débit ET crédit",IF(AND($H1247="",$I1247=""),"montant manquant",IF(ISNA(MATCH($D1247,'Plan comptable'!$H:$H,0)),"compte hors plan",IF(AND($A1247&lt;&gt;"",YEAR($A1247)&lt;&gt;Exercice),"hors exercice","")))))</f>
      </c>
    </row>
    <row r="1248">
      <c r="A1248" s="13"/>
      <c r="B1248" s="10"/>
      <c r="C1248" s="9"/>
      <c r="D1248" s="20"/>
      <c r="E1248" s="9">
        <f>IF($D1248="","",IFERROR(VLOOKUP($D1248,'Plan comptable'!$H:$I,2,FALSE),"compte hors plan"))</f>
      </c>
      <c r="F1248" s="9"/>
      <c r="G1248" s="10"/>
      <c r="H1248" s="11"/>
      <c r="I1248" s="11"/>
      <c r="J1248" s="10">
        <f>IF($D1248="","",IF(AND($H1248&lt;&gt;"",$I1248&lt;&gt;""),"débit ET crédit",IF(AND($H1248="",$I1248=""),"montant manquant",IF(ISNA(MATCH($D1248,'Plan comptable'!$H:$H,0)),"compte hors plan",IF(AND($A1248&lt;&gt;"",YEAR($A1248)&lt;&gt;Exercice),"hors exercice","")))))</f>
      </c>
    </row>
    <row r="1249">
      <c r="A1249" s="13"/>
      <c r="B1249" s="10"/>
      <c r="C1249" s="9"/>
      <c r="D1249" s="20"/>
      <c r="E1249" s="9">
        <f>IF($D1249="","",IFERROR(VLOOKUP($D1249,'Plan comptable'!$H:$I,2,FALSE),"compte hors plan"))</f>
      </c>
      <c r="F1249" s="9"/>
      <c r="G1249" s="10"/>
      <c r="H1249" s="11"/>
      <c r="I1249" s="11"/>
      <c r="J1249" s="10">
        <f>IF($D1249="","",IF(AND($H1249&lt;&gt;"",$I1249&lt;&gt;""),"débit ET crédit",IF(AND($H1249="",$I1249=""),"montant manquant",IF(ISNA(MATCH($D1249,'Plan comptable'!$H:$H,0)),"compte hors plan",IF(AND($A1249&lt;&gt;"",YEAR($A1249)&lt;&gt;Exercice),"hors exercice","")))))</f>
      </c>
    </row>
    <row r="1250">
      <c r="A1250" s="13"/>
      <c r="B1250" s="10"/>
      <c r="C1250" s="9"/>
      <c r="D1250" s="20"/>
      <c r="E1250" s="9">
        <f>IF($D1250="","",IFERROR(VLOOKUP($D1250,'Plan comptable'!$H:$I,2,FALSE),"compte hors plan"))</f>
      </c>
      <c r="F1250" s="9"/>
      <c r="G1250" s="10"/>
      <c r="H1250" s="11"/>
      <c r="I1250" s="11"/>
      <c r="J1250" s="10">
        <f>IF($D1250="","",IF(AND($H1250&lt;&gt;"",$I1250&lt;&gt;""),"débit ET crédit",IF(AND($H1250="",$I1250=""),"montant manquant",IF(ISNA(MATCH($D1250,'Plan comptable'!$H:$H,0)),"compte hors plan",IF(AND($A1250&lt;&gt;"",YEAR($A1250)&lt;&gt;Exercice),"hors exercice","")))))</f>
      </c>
    </row>
    <row r="1251">
      <c r="A1251" s="13"/>
      <c r="B1251" s="10"/>
      <c r="C1251" s="9"/>
      <c r="D1251" s="20"/>
      <c r="E1251" s="9">
        <f>IF($D1251="","",IFERROR(VLOOKUP($D1251,'Plan comptable'!$H:$I,2,FALSE),"compte hors plan"))</f>
      </c>
      <c r="F1251" s="9"/>
      <c r="G1251" s="10"/>
      <c r="H1251" s="11"/>
      <c r="I1251" s="11"/>
      <c r="J1251" s="10">
        <f>IF($D1251="","",IF(AND($H1251&lt;&gt;"",$I1251&lt;&gt;""),"débit ET crédit",IF(AND($H1251="",$I1251=""),"montant manquant",IF(ISNA(MATCH($D1251,'Plan comptable'!$H:$H,0)),"compte hors plan",IF(AND($A1251&lt;&gt;"",YEAR($A1251)&lt;&gt;Exercice),"hors exercice","")))))</f>
      </c>
    </row>
    <row r="1252">
      <c r="A1252" s="13"/>
      <c r="B1252" s="10"/>
      <c r="C1252" s="9"/>
      <c r="D1252" s="20"/>
      <c r="E1252" s="9">
        <f>IF($D1252="","",IFERROR(VLOOKUP($D1252,'Plan comptable'!$H:$I,2,FALSE),"compte hors plan"))</f>
      </c>
      <c r="F1252" s="9"/>
      <c r="G1252" s="10"/>
      <c r="H1252" s="11"/>
      <c r="I1252" s="11"/>
      <c r="J1252" s="10">
        <f>IF($D1252="","",IF(AND($H1252&lt;&gt;"",$I1252&lt;&gt;""),"débit ET crédit",IF(AND($H1252="",$I1252=""),"montant manquant",IF(ISNA(MATCH($D1252,'Plan comptable'!$H:$H,0)),"compte hors plan",IF(AND($A1252&lt;&gt;"",YEAR($A1252)&lt;&gt;Exercice),"hors exercice","")))))</f>
      </c>
    </row>
    <row r="1253">
      <c r="A1253" s="13"/>
      <c r="B1253" s="10"/>
      <c r="C1253" s="9"/>
      <c r="D1253" s="20"/>
      <c r="E1253" s="9">
        <f>IF($D1253="","",IFERROR(VLOOKUP($D1253,'Plan comptable'!$H:$I,2,FALSE),"compte hors plan"))</f>
      </c>
      <c r="F1253" s="9"/>
      <c r="G1253" s="10"/>
      <c r="H1253" s="11"/>
      <c r="I1253" s="11"/>
      <c r="J1253" s="10">
        <f>IF($D1253="","",IF(AND($H1253&lt;&gt;"",$I1253&lt;&gt;""),"débit ET crédit",IF(AND($H1253="",$I1253=""),"montant manquant",IF(ISNA(MATCH($D1253,'Plan comptable'!$H:$H,0)),"compte hors plan",IF(AND($A1253&lt;&gt;"",YEAR($A1253)&lt;&gt;Exercice),"hors exercice","")))))</f>
      </c>
    </row>
    <row r="1254">
      <c r="A1254" s="13"/>
      <c r="B1254" s="10"/>
      <c r="C1254" s="9"/>
      <c r="D1254" s="20"/>
      <c r="E1254" s="9">
        <f>IF($D1254="","",IFERROR(VLOOKUP($D1254,'Plan comptable'!$H:$I,2,FALSE),"compte hors plan"))</f>
      </c>
      <c r="F1254" s="9"/>
      <c r="G1254" s="10"/>
      <c r="H1254" s="11"/>
      <c r="I1254" s="11"/>
      <c r="J1254" s="10">
        <f>IF($D1254="","",IF(AND($H1254&lt;&gt;"",$I1254&lt;&gt;""),"débit ET crédit",IF(AND($H1254="",$I1254=""),"montant manquant",IF(ISNA(MATCH($D1254,'Plan comptable'!$H:$H,0)),"compte hors plan",IF(AND($A1254&lt;&gt;"",YEAR($A1254)&lt;&gt;Exercice),"hors exercice","")))))</f>
      </c>
    </row>
    <row r="1255">
      <c r="A1255" s="13"/>
      <c r="B1255" s="10"/>
      <c r="C1255" s="9"/>
      <c r="D1255" s="20"/>
      <c r="E1255" s="9">
        <f>IF($D1255="","",IFERROR(VLOOKUP($D1255,'Plan comptable'!$H:$I,2,FALSE),"compte hors plan"))</f>
      </c>
      <c r="F1255" s="9"/>
      <c r="G1255" s="10"/>
      <c r="H1255" s="11"/>
      <c r="I1255" s="11"/>
      <c r="J1255" s="10">
        <f>IF($D1255="","",IF(AND($H1255&lt;&gt;"",$I1255&lt;&gt;""),"débit ET crédit",IF(AND($H1255="",$I1255=""),"montant manquant",IF(ISNA(MATCH($D1255,'Plan comptable'!$H:$H,0)),"compte hors plan",IF(AND($A1255&lt;&gt;"",YEAR($A1255)&lt;&gt;Exercice),"hors exercice","")))))</f>
      </c>
    </row>
    <row r="1256">
      <c r="A1256" s="13"/>
      <c r="B1256" s="10"/>
      <c r="C1256" s="9"/>
      <c r="D1256" s="20"/>
      <c r="E1256" s="9">
        <f>IF($D1256="","",IFERROR(VLOOKUP($D1256,'Plan comptable'!$H:$I,2,FALSE),"compte hors plan"))</f>
      </c>
      <c r="F1256" s="9"/>
      <c r="G1256" s="10"/>
      <c r="H1256" s="11"/>
      <c r="I1256" s="11"/>
      <c r="J1256" s="10">
        <f>IF($D1256="","",IF(AND($H1256&lt;&gt;"",$I1256&lt;&gt;""),"débit ET crédit",IF(AND($H1256="",$I1256=""),"montant manquant",IF(ISNA(MATCH($D1256,'Plan comptable'!$H:$H,0)),"compte hors plan",IF(AND($A1256&lt;&gt;"",YEAR($A1256)&lt;&gt;Exercice),"hors exercice","")))))</f>
      </c>
    </row>
    <row r="1257">
      <c r="A1257" s="13"/>
      <c r="B1257" s="10"/>
      <c r="C1257" s="9"/>
      <c r="D1257" s="20"/>
      <c r="E1257" s="9">
        <f>IF($D1257="","",IFERROR(VLOOKUP($D1257,'Plan comptable'!$H:$I,2,FALSE),"compte hors plan"))</f>
      </c>
      <c r="F1257" s="9"/>
      <c r="G1257" s="10"/>
      <c r="H1257" s="11"/>
      <c r="I1257" s="11"/>
      <c r="J1257" s="10">
        <f>IF($D1257="","",IF(AND($H1257&lt;&gt;"",$I1257&lt;&gt;""),"débit ET crédit",IF(AND($H1257="",$I1257=""),"montant manquant",IF(ISNA(MATCH($D1257,'Plan comptable'!$H:$H,0)),"compte hors plan",IF(AND($A1257&lt;&gt;"",YEAR($A1257)&lt;&gt;Exercice),"hors exercice","")))))</f>
      </c>
    </row>
    <row r="1258">
      <c r="A1258" s="13"/>
      <c r="B1258" s="10"/>
      <c r="C1258" s="9"/>
      <c r="D1258" s="20"/>
      <c r="E1258" s="9">
        <f>IF($D1258="","",IFERROR(VLOOKUP($D1258,'Plan comptable'!$H:$I,2,FALSE),"compte hors plan"))</f>
      </c>
      <c r="F1258" s="9"/>
      <c r="G1258" s="10"/>
      <c r="H1258" s="11"/>
      <c r="I1258" s="11"/>
      <c r="J1258" s="10">
        <f>IF($D1258="","",IF(AND($H1258&lt;&gt;"",$I1258&lt;&gt;""),"débit ET crédit",IF(AND($H1258="",$I1258=""),"montant manquant",IF(ISNA(MATCH($D1258,'Plan comptable'!$H:$H,0)),"compte hors plan",IF(AND($A1258&lt;&gt;"",YEAR($A1258)&lt;&gt;Exercice),"hors exercice","")))))</f>
      </c>
    </row>
    <row r="1259">
      <c r="A1259" s="13"/>
      <c r="B1259" s="10"/>
      <c r="C1259" s="9"/>
      <c r="D1259" s="20"/>
      <c r="E1259" s="9">
        <f>IF($D1259="","",IFERROR(VLOOKUP($D1259,'Plan comptable'!$H:$I,2,FALSE),"compte hors plan"))</f>
      </c>
      <c r="F1259" s="9"/>
      <c r="G1259" s="10"/>
      <c r="H1259" s="11"/>
      <c r="I1259" s="11"/>
      <c r="J1259" s="10">
        <f>IF($D1259="","",IF(AND($H1259&lt;&gt;"",$I1259&lt;&gt;""),"débit ET crédit",IF(AND($H1259="",$I1259=""),"montant manquant",IF(ISNA(MATCH($D1259,'Plan comptable'!$H:$H,0)),"compte hors plan",IF(AND($A1259&lt;&gt;"",YEAR($A1259)&lt;&gt;Exercice),"hors exercice","")))))</f>
      </c>
    </row>
    <row r="1260">
      <c r="A1260" s="13"/>
      <c r="B1260" s="10"/>
      <c r="C1260" s="9"/>
      <c r="D1260" s="20"/>
      <c r="E1260" s="9">
        <f>IF($D1260="","",IFERROR(VLOOKUP($D1260,'Plan comptable'!$H:$I,2,FALSE),"compte hors plan"))</f>
      </c>
      <c r="F1260" s="9"/>
      <c r="G1260" s="10"/>
      <c r="H1260" s="11"/>
      <c r="I1260" s="11"/>
      <c r="J1260" s="10">
        <f>IF($D1260="","",IF(AND($H1260&lt;&gt;"",$I1260&lt;&gt;""),"débit ET crédit",IF(AND($H1260="",$I1260=""),"montant manquant",IF(ISNA(MATCH($D1260,'Plan comptable'!$H:$H,0)),"compte hors plan",IF(AND($A1260&lt;&gt;"",YEAR($A1260)&lt;&gt;Exercice),"hors exercice","")))))</f>
      </c>
    </row>
    <row r="1261">
      <c r="A1261" s="13"/>
      <c r="B1261" s="10"/>
      <c r="C1261" s="9"/>
      <c r="D1261" s="20"/>
      <c r="E1261" s="9">
        <f>IF($D1261="","",IFERROR(VLOOKUP($D1261,'Plan comptable'!$H:$I,2,FALSE),"compte hors plan"))</f>
      </c>
      <c r="F1261" s="9"/>
      <c r="G1261" s="10"/>
      <c r="H1261" s="11"/>
      <c r="I1261" s="11"/>
      <c r="J1261" s="10">
        <f>IF($D1261="","",IF(AND($H1261&lt;&gt;"",$I1261&lt;&gt;""),"débit ET crédit",IF(AND($H1261="",$I1261=""),"montant manquant",IF(ISNA(MATCH($D1261,'Plan comptable'!$H:$H,0)),"compte hors plan",IF(AND($A1261&lt;&gt;"",YEAR($A1261)&lt;&gt;Exercice),"hors exercice","")))))</f>
      </c>
    </row>
    <row r="1262">
      <c r="A1262" s="13"/>
      <c r="B1262" s="10"/>
      <c r="C1262" s="9"/>
      <c r="D1262" s="20"/>
      <c r="E1262" s="9">
        <f>IF($D1262="","",IFERROR(VLOOKUP($D1262,'Plan comptable'!$H:$I,2,FALSE),"compte hors plan"))</f>
      </c>
      <c r="F1262" s="9"/>
      <c r="G1262" s="10"/>
      <c r="H1262" s="11"/>
      <c r="I1262" s="11"/>
      <c r="J1262" s="10">
        <f>IF($D1262="","",IF(AND($H1262&lt;&gt;"",$I1262&lt;&gt;""),"débit ET crédit",IF(AND($H1262="",$I1262=""),"montant manquant",IF(ISNA(MATCH($D1262,'Plan comptable'!$H:$H,0)),"compte hors plan",IF(AND($A1262&lt;&gt;"",YEAR($A1262)&lt;&gt;Exercice),"hors exercice","")))))</f>
      </c>
    </row>
    <row r="1263">
      <c r="A1263" s="13"/>
      <c r="B1263" s="10"/>
      <c r="C1263" s="9"/>
      <c r="D1263" s="20"/>
      <c r="E1263" s="9">
        <f>IF($D1263="","",IFERROR(VLOOKUP($D1263,'Plan comptable'!$H:$I,2,FALSE),"compte hors plan"))</f>
      </c>
      <c r="F1263" s="9"/>
      <c r="G1263" s="10"/>
      <c r="H1263" s="11"/>
      <c r="I1263" s="11"/>
      <c r="J1263" s="10">
        <f>IF($D1263="","",IF(AND($H1263&lt;&gt;"",$I1263&lt;&gt;""),"débit ET crédit",IF(AND($H1263="",$I1263=""),"montant manquant",IF(ISNA(MATCH($D1263,'Plan comptable'!$H:$H,0)),"compte hors plan",IF(AND($A1263&lt;&gt;"",YEAR($A1263)&lt;&gt;Exercice),"hors exercice","")))))</f>
      </c>
    </row>
    <row r="1264">
      <c r="A1264" s="13"/>
      <c r="B1264" s="10"/>
      <c r="C1264" s="9"/>
      <c r="D1264" s="20"/>
      <c r="E1264" s="9">
        <f>IF($D1264="","",IFERROR(VLOOKUP($D1264,'Plan comptable'!$H:$I,2,FALSE),"compte hors plan"))</f>
      </c>
      <c r="F1264" s="9"/>
      <c r="G1264" s="10"/>
      <c r="H1264" s="11"/>
      <c r="I1264" s="11"/>
      <c r="J1264" s="10">
        <f>IF($D1264="","",IF(AND($H1264&lt;&gt;"",$I1264&lt;&gt;""),"débit ET crédit",IF(AND($H1264="",$I1264=""),"montant manquant",IF(ISNA(MATCH($D1264,'Plan comptable'!$H:$H,0)),"compte hors plan",IF(AND($A1264&lt;&gt;"",YEAR($A1264)&lt;&gt;Exercice),"hors exercice","")))))</f>
      </c>
    </row>
    <row r="1265">
      <c r="A1265" s="13"/>
      <c r="B1265" s="10"/>
      <c r="C1265" s="9"/>
      <c r="D1265" s="20"/>
      <c r="E1265" s="9">
        <f>IF($D1265="","",IFERROR(VLOOKUP($D1265,'Plan comptable'!$H:$I,2,FALSE),"compte hors plan"))</f>
      </c>
      <c r="F1265" s="9"/>
      <c r="G1265" s="10"/>
      <c r="H1265" s="11"/>
      <c r="I1265" s="11"/>
      <c r="J1265" s="10">
        <f>IF($D1265="","",IF(AND($H1265&lt;&gt;"",$I1265&lt;&gt;""),"débit ET crédit",IF(AND($H1265="",$I1265=""),"montant manquant",IF(ISNA(MATCH($D1265,'Plan comptable'!$H:$H,0)),"compte hors plan",IF(AND($A1265&lt;&gt;"",YEAR($A1265)&lt;&gt;Exercice),"hors exercice","")))))</f>
      </c>
    </row>
    <row r="1266">
      <c r="A1266" s="13"/>
      <c r="B1266" s="10"/>
      <c r="C1266" s="9"/>
      <c r="D1266" s="20"/>
      <c r="E1266" s="9">
        <f>IF($D1266="","",IFERROR(VLOOKUP($D1266,'Plan comptable'!$H:$I,2,FALSE),"compte hors plan"))</f>
      </c>
      <c r="F1266" s="9"/>
      <c r="G1266" s="10"/>
      <c r="H1266" s="11"/>
      <c r="I1266" s="11"/>
      <c r="J1266" s="10">
        <f>IF($D1266="","",IF(AND($H1266&lt;&gt;"",$I1266&lt;&gt;""),"débit ET crédit",IF(AND($H1266="",$I1266=""),"montant manquant",IF(ISNA(MATCH($D1266,'Plan comptable'!$H:$H,0)),"compte hors plan",IF(AND($A1266&lt;&gt;"",YEAR($A1266)&lt;&gt;Exercice),"hors exercice","")))))</f>
      </c>
    </row>
    <row r="1267">
      <c r="A1267" s="13"/>
      <c r="B1267" s="10"/>
      <c r="C1267" s="9"/>
      <c r="D1267" s="20"/>
      <c r="E1267" s="9">
        <f>IF($D1267="","",IFERROR(VLOOKUP($D1267,'Plan comptable'!$H:$I,2,FALSE),"compte hors plan"))</f>
      </c>
      <c r="F1267" s="9"/>
      <c r="G1267" s="10"/>
      <c r="H1267" s="11"/>
      <c r="I1267" s="11"/>
      <c r="J1267" s="10">
        <f>IF($D1267="","",IF(AND($H1267&lt;&gt;"",$I1267&lt;&gt;""),"débit ET crédit",IF(AND($H1267="",$I1267=""),"montant manquant",IF(ISNA(MATCH($D1267,'Plan comptable'!$H:$H,0)),"compte hors plan",IF(AND($A1267&lt;&gt;"",YEAR($A1267)&lt;&gt;Exercice),"hors exercice","")))))</f>
      </c>
    </row>
    <row r="1268">
      <c r="A1268" s="13"/>
      <c r="B1268" s="10"/>
      <c r="C1268" s="9"/>
      <c r="D1268" s="20"/>
      <c r="E1268" s="9">
        <f>IF($D1268="","",IFERROR(VLOOKUP($D1268,'Plan comptable'!$H:$I,2,FALSE),"compte hors plan"))</f>
      </c>
      <c r="F1268" s="9"/>
      <c r="G1268" s="10"/>
      <c r="H1268" s="11"/>
      <c r="I1268" s="11"/>
      <c r="J1268" s="10">
        <f>IF($D1268="","",IF(AND($H1268&lt;&gt;"",$I1268&lt;&gt;""),"débit ET crédit",IF(AND($H1268="",$I1268=""),"montant manquant",IF(ISNA(MATCH($D1268,'Plan comptable'!$H:$H,0)),"compte hors plan",IF(AND($A1268&lt;&gt;"",YEAR($A1268)&lt;&gt;Exercice),"hors exercice","")))))</f>
      </c>
    </row>
    <row r="1269">
      <c r="A1269" s="13"/>
      <c r="B1269" s="10"/>
      <c r="C1269" s="9"/>
      <c r="D1269" s="20"/>
      <c r="E1269" s="9">
        <f>IF($D1269="","",IFERROR(VLOOKUP($D1269,'Plan comptable'!$H:$I,2,FALSE),"compte hors plan"))</f>
      </c>
      <c r="F1269" s="9"/>
      <c r="G1269" s="10"/>
      <c r="H1269" s="11"/>
      <c r="I1269" s="11"/>
      <c r="J1269" s="10">
        <f>IF($D1269="","",IF(AND($H1269&lt;&gt;"",$I1269&lt;&gt;""),"débit ET crédit",IF(AND($H1269="",$I1269=""),"montant manquant",IF(ISNA(MATCH($D1269,'Plan comptable'!$H:$H,0)),"compte hors plan",IF(AND($A1269&lt;&gt;"",YEAR($A1269)&lt;&gt;Exercice),"hors exercice","")))))</f>
      </c>
    </row>
    <row r="1270">
      <c r="A1270" s="13"/>
      <c r="B1270" s="10"/>
      <c r="C1270" s="9"/>
      <c r="D1270" s="20"/>
      <c r="E1270" s="9">
        <f>IF($D1270="","",IFERROR(VLOOKUP($D1270,'Plan comptable'!$H:$I,2,FALSE),"compte hors plan"))</f>
      </c>
      <c r="F1270" s="9"/>
      <c r="G1270" s="10"/>
      <c r="H1270" s="11"/>
      <c r="I1270" s="11"/>
      <c r="J1270" s="10">
        <f>IF($D1270="","",IF(AND($H1270&lt;&gt;"",$I1270&lt;&gt;""),"débit ET crédit",IF(AND($H1270="",$I1270=""),"montant manquant",IF(ISNA(MATCH($D1270,'Plan comptable'!$H:$H,0)),"compte hors plan",IF(AND($A1270&lt;&gt;"",YEAR($A1270)&lt;&gt;Exercice),"hors exercice","")))))</f>
      </c>
    </row>
    <row r="1271">
      <c r="A1271" s="13"/>
      <c r="B1271" s="10"/>
      <c r="C1271" s="9"/>
      <c r="D1271" s="20"/>
      <c r="E1271" s="9">
        <f>IF($D1271="","",IFERROR(VLOOKUP($D1271,'Plan comptable'!$H:$I,2,FALSE),"compte hors plan"))</f>
      </c>
      <c r="F1271" s="9"/>
      <c r="G1271" s="10"/>
      <c r="H1271" s="11"/>
      <c r="I1271" s="11"/>
      <c r="J1271" s="10">
        <f>IF($D1271="","",IF(AND($H1271&lt;&gt;"",$I1271&lt;&gt;""),"débit ET crédit",IF(AND($H1271="",$I1271=""),"montant manquant",IF(ISNA(MATCH($D1271,'Plan comptable'!$H:$H,0)),"compte hors plan",IF(AND($A1271&lt;&gt;"",YEAR($A1271)&lt;&gt;Exercice),"hors exercice","")))))</f>
      </c>
    </row>
    <row r="1272">
      <c r="A1272" s="13"/>
      <c r="B1272" s="10"/>
      <c r="C1272" s="9"/>
      <c r="D1272" s="20"/>
      <c r="E1272" s="9">
        <f>IF($D1272="","",IFERROR(VLOOKUP($D1272,'Plan comptable'!$H:$I,2,FALSE),"compte hors plan"))</f>
      </c>
      <c r="F1272" s="9"/>
      <c r="G1272" s="10"/>
      <c r="H1272" s="11"/>
      <c r="I1272" s="11"/>
      <c r="J1272" s="10">
        <f>IF($D1272="","",IF(AND($H1272&lt;&gt;"",$I1272&lt;&gt;""),"débit ET crédit",IF(AND($H1272="",$I1272=""),"montant manquant",IF(ISNA(MATCH($D1272,'Plan comptable'!$H:$H,0)),"compte hors plan",IF(AND($A1272&lt;&gt;"",YEAR($A1272)&lt;&gt;Exercice),"hors exercice","")))))</f>
      </c>
    </row>
    <row r="1273">
      <c r="A1273" s="13"/>
      <c r="B1273" s="10"/>
      <c r="C1273" s="9"/>
      <c r="D1273" s="20"/>
      <c r="E1273" s="9">
        <f>IF($D1273="","",IFERROR(VLOOKUP($D1273,'Plan comptable'!$H:$I,2,FALSE),"compte hors plan"))</f>
      </c>
      <c r="F1273" s="9"/>
      <c r="G1273" s="10"/>
      <c r="H1273" s="11"/>
      <c r="I1273" s="11"/>
      <c r="J1273" s="10">
        <f>IF($D1273="","",IF(AND($H1273&lt;&gt;"",$I1273&lt;&gt;""),"débit ET crédit",IF(AND($H1273="",$I1273=""),"montant manquant",IF(ISNA(MATCH($D1273,'Plan comptable'!$H:$H,0)),"compte hors plan",IF(AND($A1273&lt;&gt;"",YEAR($A1273)&lt;&gt;Exercice),"hors exercice","")))))</f>
      </c>
    </row>
    <row r="1274">
      <c r="A1274" s="13"/>
      <c r="B1274" s="10"/>
      <c r="C1274" s="9"/>
      <c r="D1274" s="20"/>
      <c r="E1274" s="9">
        <f>IF($D1274="","",IFERROR(VLOOKUP($D1274,'Plan comptable'!$H:$I,2,FALSE),"compte hors plan"))</f>
      </c>
      <c r="F1274" s="9"/>
      <c r="G1274" s="10"/>
      <c r="H1274" s="11"/>
      <c r="I1274" s="11"/>
      <c r="J1274" s="10">
        <f>IF($D1274="","",IF(AND($H1274&lt;&gt;"",$I1274&lt;&gt;""),"débit ET crédit",IF(AND($H1274="",$I1274=""),"montant manquant",IF(ISNA(MATCH($D1274,'Plan comptable'!$H:$H,0)),"compte hors plan",IF(AND($A1274&lt;&gt;"",YEAR($A1274)&lt;&gt;Exercice),"hors exercice","")))))</f>
      </c>
    </row>
    <row r="1275">
      <c r="A1275" s="13"/>
      <c r="B1275" s="10"/>
      <c r="C1275" s="9"/>
      <c r="D1275" s="20"/>
      <c r="E1275" s="9">
        <f>IF($D1275="","",IFERROR(VLOOKUP($D1275,'Plan comptable'!$H:$I,2,FALSE),"compte hors plan"))</f>
      </c>
      <c r="F1275" s="9"/>
      <c r="G1275" s="10"/>
      <c r="H1275" s="11"/>
      <c r="I1275" s="11"/>
      <c r="J1275" s="10">
        <f>IF($D1275="","",IF(AND($H1275&lt;&gt;"",$I1275&lt;&gt;""),"débit ET crédit",IF(AND($H1275="",$I1275=""),"montant manquant",IF(ISNA(MATCH($D1275,'Plan comptable'!$H:$H,0)),"compte hors plan",IF(AND($A1275&lt;&gt;"",YEAR($A1275)&lt;&gt;Exercice),"hors exercice","")))))</f>
      </c>
    </row>
    <row r="1276">
      <c r="A1276" s="13"/>
      <c r="B1276" s="10"/>
      <c r="C1276" s="9"/>
      <c r="D1276" s="20"/>
      <c r="E1276" s="9">
        <f>IF($D1276="","",IFERROR(VLOOKUP($D1276,'Plan comptable'!$H:$I,2,FALSE),"compte hors plan"))</f>
      </c>
      <c r="F1276" s="9"/>
      <c r="G1276" s="10"/>
      <c r="H1276" s="11"/>
      <c r="I1276" s="11"/>
      <c r="J1276" s="10">
        <f>IF($D1276="","",IF(AND($H1276&lt;&gt;"",$I1276&lt;&gt;""),"débit ET crédit",IF(AND($H1276="",$I1276=""),"montant manquant",IF(ISNA(MATCH($D1276,'Plan comptable'!$H:$H,0)),"compte hors plan",IF(AND($A1276&lt;&gt;"",YEAR($A1276)&lt;&gt;Exercice),"hors exercice","")))))</f>
      </c>
    </row>
    <row r="1277">
      <c r="A1277" s="13"/>
      <c r="B1277" s="10"/>
      <c r="C1277" s="9"/>
      <c r="D1277" s="20"/>
      <c r="E1277" s="9">
        <f>IF($D1277="","",IFERROR(VLOOKUP($D1277,'Plan comptable'!$H:$I,2,FALSE),"compte hors plan"))</f>
      </c>
      <c r="F1277" s="9"/>
      <c r="G1277" s="10"/>
      <c r="H1277" s="11"/>
      <c r="I1277" s="11"/>
      <c r="J1277" s="10">
        <f>IF($D1277="","",IF(AND($H1277&lt;&gt;"",$I1277&lt;&gt;""),"débit ET crédit",IF(AND($H1277="",$I1277=""),"montant manquant",IF(ISNA(MATCH($D1277,'Plan comptable'!$H:$H,0)),"compte hors plan",IF(AND($A1277&lt;&gt;"",YEAR($A1277)&lt;&gt;Exercice),"hors exercice","")))))</f>
      </c>
    </row>
    <row r="1278">
      <c r="A1278" s="13"/>
      <c r="B1278" s="10"/>
      <c r="C1278" s="9"/>
      <c r="D1278" s="20"/>
      <c r="E1278" s="9">
        <f>IF($D1278="","",IFERROR(VLOOKUP($D1278,'Plan comptable'!$H:$I,2,FALSE),"compte hors plan"))</f>
      </c>
      <c r="F1278" s="9"/>
      <c r="G1278" s="10"/>
      <c r="H1278" s="11"/>
      <c r="I1278" s="11"/>
      <c r="J1278" s="10">
        <f>IF($D1278="","",IF(AND($H1278&lt;&gt;"",$I1278&lt;&gt;""),"débit ET crédit",IF(AND($H1278="",$I1278=""),"montant manquant",IF(ISNA(MATCH($D1278,'Plan comptable'!$H:$H,0)),"compte hors plan",IF(AND($A1278&lt;&gt;"",YEAR($A1278)&lt;&gt;Exercice),"hors exercice","")))))</f>
      </c>
    </row>
    <row r="1279">
      <c r="A1279" s="13"/>
      <c r="B1279" s="10"/>
      <c r="C1279" s="9"/>
      <c r="D1279" s="20"/>
      <c r="E1279" s="9">
        <f>IF($D1279="","",IFERROR(VLOOKUP($D1279,'Plan comptable'!$H:$I,2,FALSE),"compte hors plan"))</f>
      </c>
      <c r="F1279" s="9"/>
      <c r="G1279" s="10"/>
      <c r="H1279" s="11"/>
      <c r="I1279" s="11"/>
      <c r="J1279" s="10">
        <f>IF($D1279="","",IF(AND($H1279&lt;&gt;"",$I1279&lt;&gt;""),"débit ET crédit",IF(AND($H1279="",$I1279=""),"montant manquant",IF(ISNA(MATCH($D1279,'Plan comptable'!$H:$H,0)),"compte hors plan",IF(AND($A1279&lt;&gt;"",YEAR($A1279)&lt;&gt;Exercice),"hors exercice","")))))</f>
      </c>
    </row>
    <row r="1280">
      <c r="A1280" s="13"/>
      <c r="B1280" s="10"/>
      <c r="C1280" s="9"/>
      <c r="D1280" s="20"/>
      <c r="E1280" s="9">
        <f>IF($D1280="","",IFERROR(VLOOKUP($D1280,'Plan comptable'!$H:$I,2,FALSE),"compte hors plan"))</f>
      </c>
      <c r="F1280" s="9"/>
      <c r="G1280" s="10"/>
      <c r="H1280" s="11"/>
      <c r="I1280" s="11"/>
      <c r="J1280" s="10">
        <f>IF($D1280="","",IF(AND($H1280&lt;&gt;"",$I1280&lt;&gt;""),"débit ET crédit",IF(AND($H1280="",$I1280=""),"montant manquant",IF(ISNA(MATCH($D1280,'Plan comptable'!$H:$H,0)),"compte hors plan",IF(AND($A1280&lt;&gt;"",YEAR($A1280)&lt;&gt;Exercice),"hors exercice","")))))</f>
      </c>
    </row>
    <row r="1281">
      <c r="A1281" s="13"/>
      <c r="B1281" s="10"/>
      <c r="C1281" s="9"/>
      <c r="D1281" s="20"/>
      <c r="E1281" s="9">
        <f>IF($D1281="","",IFERROR(VLOOKUP($D1281,'Plan comptable'!$H:$I,2,FALSE),"compte hors plan"))</f>
      </c>
      <c r="F1281" s="9"/>
      <c r="G1281" s="10"/>
      <c r="H1281" s="11"/>
      <c r="I1281" s="11"/>
      <c r="J1281" s="10">
        <f>IF($D1281="","",IF(AND($H1281&lt;&gt;"",$I1281&lt;&gt;""),"débit ET crédit",IF(AND($H1281="",$I1281=""),"montant manquant",IF(ISNA(MATCH($D1281,'Plan comptable'!$H:$H,0)),"compte hors plan",IF(AND($A1281&lt;&gt;"",YEAR($A1281)&lt;&gt;Exercice),"hors exercice","")))))</f>
      </c>
    </row>
    <row r="1282">
      <c r="A1282" s="13"/>
      <c r="B1282" s="10"/>
      <c r="C1282" s="9"/>
      <c r="D1282" s="20"/>
      <c r="E1282" s="9">
        <f>IF($D1282="","",IFERROR(VLOOKUP($D1282,'Plan comptable'!$H:$I,2,FALSE),"compte hors plan"))</f>
      </c>
      <c r="F1282" s="9"/>
      <c r="G1282" s="10"/>
      <c r="H1282" s="11"/>
      <c r="I1282" s="11"/>
      <c r="J1282" s="10">
        <f>IF($D1282="","",IF(AND($H1282&lt;&gt;"",$I1282&lt;&gt;""),"débit ET crédit",IF(AND($H1282="",$I1282=""),"montant manquant",IF(ISNA(MATCH($D1282,'Plan comptable'!$H:$H,0)),"compte hors plan",IF(AND($A1282&lt;&gt;"",YEAR($A1282)&lt;&gt;Exercice),"hors exercice","")))))</f>
      </c>
    </row>
    <row r="1283">
      <c r="A1283" s="13"/>
      <c r="B1283" s="10"/>
      <c r="C1283" s="9"/>
      <c r="D1283" s="20"/>
      <c r="E1283" s="9">
        <f>IF($D1283="","",IFERROR(VLOOKUP($D1283,'Plan comptable'!$H:$I,2,FALSE),"compte hors plan"))</f>
      </c>
      <c r="F1283" s="9"/>
      <c r="G1283" s="10"/>
      <c r="H1283" s="11"/>
      <c r="I1283" s="11"/>
      <c r="J1283" s="10">
        <f>IF($D1283="","",IF(AND($H1283&lt;&gt;"",$I1283&lt;&gt;""),"débit ET crédit",IF(AND($H1283="",$I1283=""),"montant manquant",IF(ISNA(MATCH($D1283,'Plan comptable'!$H:$H,0)),"compte hors plan",IF(AND($A1283&lt;&gt;"",YEAR($A1283)&lt;&gt;Exercice),"hors exercice","")))))</f>
      </c>
    </row>
    <row r="1284">
      <c r="A1284" s="13"/>
      <c r="B1284" s="10"/>
      <c r="C1284" s="9"/>
      <c r="D1284" s="20"/>
      <c r="E1284" s="9">
        <f>IF($D1284="","",IFERROR(VLOOKUP($D1284,'Plan comptable'!$H:$I,2,FALSE),"compte hors plan"))</f>
      </c>
      <c r="F1284" s="9"/>
      <c r="G1284" s="10"/>
      <c r="H1284" s="11"/>
      <c r="I1284" s="11"/>
      <c r="J1284" s="10">
        <f>IF($D1284="","",IF(AND($H1284&lt;&gt;"",$I1284&lt;&gt;""),"débit ET crédit",IF(AND($H1284="",$I1284=""),"montant manquant",IF(ISNA(MATCH($D1284,'Plan comptable'!$H:$H,0)),"compte hors plan",IF(AND($A1284&lt;&gt;"",YEAR($A1284)&lt;&gt;Exercice),"hors exercice","")))))</f>
      </c>
    </row>
    <row r="1285">
      <c r="A1285" s="13"/>
      <c r="B1285" s="10"/>
      <c r="C1285" s="9"/>
      <c r="D1285" s="20"/>
      <c r="E1285" s="9">
        <f>IF($D1285="","",IFERROR(VLOOKUP($D1285,'Plan comptable'!$H:$I,2,FALSE),"compte hors plan"))</f>
      </c>
      <c r="F1285" s="9"/>
      <c r="G1285" s="10"/>
      <c r="H1285" s="11"/>
      <c r="I1285" s="11"/>
      <c r="J1285" s="10">
        <f>IF($D1285="","",IF(AND($H1285&lt;&gt;"",$I1285&lt;&gt;""),"débit ET crédit",IF(AND($H1285="",$I1285=""),"montant manquant",IF(ISNA(MATCH($D1285,'Plan comptable'!$H:$H,0)),"compte hors plan",IF(AND($A1285&lt;&gt;"",YEAR($A1285)&lt;&gt;Exercice),"hors exercice","")))))</f>
      </c>
    </row>
    <row r="1286">
      <c r="A1286" s="13"/>
      <c r="B1286" s="10"/>
      <c r="C1286" s="9"/>
      <c r="D1286" s="20"/>
      <c r="E1286" s="9">
        <f>IF($D1286="","",IFERROR(VLOOKUP($D1286,'Plan comptable'!$H:$I,2,FALSE),"compte hors plan"))</f>
      </c>
      <c r="F1286" s="9"/>
      <c r="G1286" s="10"/>
      <c r="H1286" s="11"/>
      <c r="I1286" s="11"/>
      <c r="J1286" s="10">
        <f>IF($D1286="","",IF(AND($H1286&lt;&gt;"",$I1286&lt;&gt;""),"débit ET crédit",IF(AND($H1286="",$I1286=""),"montant manquant",IF(ISNA(MATCH($D1286,'Plan comptable'!$H:$H,0)),"compte hors plan",IF(AND($A1286&lt;&gt;"",YEAR($A1286)&lt;&gt;Exercice),"hors exercice","")))))</f>
      </c>
    </row>
    <row r="1287">
      <c r="A1287" s="13"/>
      <c r="B1287" s="10"/>
      <c r="C1287" s="9"/>
      <c r="D1287" s="20"/>
      <c r="E1287" s="9">
        <f>IF($D1287="","",IFERROR(VLOOKUP($D1287,'Plan comptable'!$H:$I,2,FALSE),"compte hors plan"))</f>
      </c>
      <c r="F1287" s="9"/>
      <c r="G1287" s="10"/>
      <c r="H1287" s="11"/>
      <c r="I1287" s="11"/>
      <c r="J1287" s="10">
        <f>IF($D1287="","",IF(AND($H1287&lt;&gt;"",$I1287&lt;&gt;""),"débit ET crédit",IF(AND($H1287="",$I1287=""),"montant manquant",IF(ISNA(MATCH($D1287,'Plan comptable'!$H:$H,0)),"compte hors plan",IF(AND($A1287&lt;&gt;"",YEAR($A1287)&lt;&gt;Exercice),"hors exercice","")))))</f>
      </c>
    </row>
    <row r="1288">
      <c r="A1288" s="13"/>
      <c r="B1288" s="10"/>
      <c r="C1288" s="9"/>
      <c r="D1288" s="20"/>
      <c r="E1288" s="9">
        <f>IF($D1288="","",IFERROR(VLOOKUP($D1288,'Plan comptable'!$H:$I,2,FALSE),"compte hors plan"))</f>
      </c>
      <c r="F1288" s="9"/>
      <c r="G1288" s="10"/>
      <c r="H1288" s="11"/>
      <c r="I1288" s="11"/>
      <c r="J1288" s="10">
        <f>IF($D1288="","",IF(AND($H1288&lt;&gt;"",$I1288&lt;&gt;""),"débit ET crédit",IF(AND($H1288="",$I1288=""),"montant manquant",IF(ISNA(MATCH($D1288,'Plan comptable'!$H:$H,0)),"compte hors plan",IF(AND($A1288&lt;&gt;"",YEAR($A1288)&lt;&gt;Exercice),"hors exercice","")))))</f>
      </c>
    </row>
    <row r="1289">
      <c r="A1289" s="13"/>
      <c r="B1289" s="10"/>
      <c r="C1289" s="9"/>
      <c r="D1289" s="20"/>
      <c r="E1289" s="9">
        <f>IF($D1289="","",IFERROR(VLOOKUP($D1289,'Plan comptable'!$H:$I,2,FALSE),"compte hors plan"))</f>
      </c>
      <c r="F1289" s="9"/>
      <c r="G1289" s="10"/>
      <c r="H1289" s="11"/>
      <c r="I1289" s="11"/>
      <c r="J1289" s="10">
        <f>IF($D1289="","",IF(AND($H1289&lt;&gt;"",$I1289&lt;&gt;""),"débit ET crédit",IF(AND($H1289="",$I1289=""),"montant manquant",IF(ISNA(MATCH($D1289,'Plan comptable'!$H:$H,0)),"compte hors plan",IF(AND($A1289&lt;&gt;"",YEAR($A1289)&lt;&gt;Exercice),"hors exercice","")))))</f>
      </c>
    </row>
    <row r="1290">
      <c r="A1290" s="13"/>
      <c r="B1290" s="10"/>
      <c r="C1290" s="9"/>
      <c r="D1290" s="20"/>
      <c r="E1290" s="9">
        <f>IF($D1290="","",IFERROR(VLOOKUP($D1290,'Plan comptable'!$H:$I,2,FALSE),"compte hors plan"))</f>
      </c>
      <c r="F1290" s="9"/>
      <c r="G1290" s="10"/>
      <c r="H1290" s="11"/>
      <c r="I1290" s="11"/>
      <c r="J1290" s="10">
        <f>IF($D1290="","",IF(AND($H1290&lt;&gt;"",$I1290&lt;&gt;""),"débit ET crédit",IF(AND($H1290="",$I1290=""),"montant manquant",IF(ISNA(MATCH($D1290,'Plan comptable'!$H:$H,0)),"compte hors plan",IF(AND($A1290&lt;&gt;"",YEAR($A1290)&lt;&gt;Exercice),"hors exercice","")))))</f>
      </c>
    </row>
    <row r="1291">
      <c r="A1291" s="13"/>
      <c r="B1291" s="10"/>
      <c r="C1291" s="9"/>
      <c r="D1291" s="20"/>
      <c r="E1291" s="9">
        <f>IF($D1291="","",IFERROR(VLOOKUP($D1291,'Plan comptable'!$H:$I,2,FALSE),"compte hors plan"))</f>
      </c>
      <c r="F1291" s="9"/>
      <c r="G1291" s="10"/>
      <c r="H1291" s="11"/>
      <c r="I1291" s="11"/>
      <c r="J1291" s="10">
        <f>IF($D1291="","",IF(AND($H1291&lt;&gt;"",$I1291&lt;&gt;""),"débit ET crédit",IF(AND($H1291="",$I1291=""),"montant manquant",IF(ISNA(MATCH($D1291,'Plan comptable'!$H:$H,0)),"compte hors plan",IF(AND($A1291&lt;&gt;"",YEAR($A1291)&lt;&gt;Exercice),"hors exercice","")))))</f>
      </c>
    </row>
    <row r="1292">
      <c r="A1292" s="13"/>
      <c r="B1292" s="10"/>
      <c r="C1292" s="9"/>
      <c r="D1292" s="20"/>
      <c r="E1292" s="9">
        <f>IF($D1292="","",IFERROR(VLOOKUP($D1292,'Plan comptable'!$H:$I,2,FALSE),"compte hors plan"))</f>
      </c>
      <c r="F1292" s="9"/>
      <c r="G1292" s="10"/>
      <c r="H1292" s="11"/>
      <c r="I1292" s="11"/>
      <c r="J1292" s="10">
        <f>IF($D1292="","",IF(AND($H1292&lt;&gt;"",$I1292&lt;&gt;""),"débit ET crédit",IF(AND($H1292="",$I1292=""),"montant manquant",IF(ISNA(MATCH($D1292,'Plan comptable'!$H:$H,0)),"compte hors plan",IF(AND($A1292&lt;&gt;"",YEAR($A1292)&lt;&gt;Exercice),"hors exercice","")))))</f>
      </c>
    </row>
    <row r="1293">
      <c r="A1293" s="13"/>
      <c r="B1293" s="10"/>
      <c r="C1293" s="9"/>
      <c r="D1293" s="20"/>
      <c r="E1293" s="9">
        <f>IF($D1293="","",IFERROR(VLOOKUP($D1293,'Plan comptable'!$H:$I,2,FALSE),"compte hors plan"))</f>
      </c>
      <c r="F1293" s="9"/>
      <c r="G1293" s="10"/>
      <c r="H1293" s="11"/>
      <c r="I1293" s="11"/>
      <c r="J1293" s="10">
        <f>IF($D1293="","",IF(AND($H1293&lt;&gt;"",$I1293&lt;&gt;""),"débit ET crédit",IF(AND($H1293="",$I1293=""),"montant manquant",IF(ISNA(MATCH($D1293,'Plan comptable'!$H:$H,0)),"compte hors plan",IF(AND($A1293&lt;&gt;"",YEAR($A1293)&lt;&gt;Exercice),"hors exercice","")))))</f>
      </c>
    </row>
    <row r="1294">
      <c r="A1294" s="13"/>
      <c r="B1294" s="10"/>
      <c r="C1294" s="9"/>
      <c r="D1294" s="20"/>
      <c r="E1294" s="9">
        <f>IF($D1294="","",IFERROR(VLOOKUP($D1294,'Plan comptable'!$H:$I,2,FALSE),"compte hors plan"))</f>
      </c>
      <c r="F1294" s="9"/>
      <c r="G1294" s="10"/>
      <c r="H1294" s="11"/>
      <c r="I1294" s="11"/>
      <c r="J1294" s="10">
        <f>IF($D1294="","",IF(AND($H1294&lt;&gt;"",$I1294&lt;&gt;""),"débit ET crédit",IF(AND($H1294="",$I1294=""),"montant manquant",IF(ISNA(MATCH($D1294,'Plan comptable'!$H:$H,0)),"compte hors plan",IF(AND($A1294&lt;&gt;"",YEAR($A1294)&lt;&gt;Exercice),"hors exercice","")))))</f>
      </c>
    </row>
    <row r="1295">
      <c r="A1295" s="13"/>
      <c r="B1295" s="10"/>
      <c r="C1295" s="9"/>
      <c r="D1295" s="20"/>
      <c r="E1295" s="9">
        <f>IF($D1295="","",IFERROR(VLOOKUP($D1295,'Plan comptable'!$H:$I,2,FALSE),"compte hors plan"))</f>
      </c>
      <c r="F1295" s="9"/>
      <c r="G1295" s="10"/>
      <c r="H1295" s="11"/>
      <c r="I1295" s="11"/>
      <c r="J1295" s="10">
        <f>IF($D1295="","",IF(AND($H1295&lt;&gt;"",$I1295&lt;&gt;""),"débit ET crédit",IF(AND($H1295="",$I1295=""),"montant manquant",IF(ISNA(MATCH($D1295,'Plan comptable'!$H:$H,0)),"compte hors plan",IF(AND($A1295&lt;&gt;"",YEAR($A1295)&lt;&gt;Exercice),"hors exercice","")))))</f>
      </c>
    </row>
    <row r="1296">
      <c r="A1296" s="13"/>
      <c r="B1296" s="10"/>
      <c r="C1296" s="9"/>
      <c r="D1296" s="20"/>
      <c r="E1296" s="9">
        <f>IF($D1296="","",IFERROR(VLOOKUP($D1296,'Plan comptable'!$H:$I,2,FALSE),"compte hors plan"))</f>
      </c>
      <c r="F1296" s="9"/>
      <c r="G1296" s="10"/>
      <c r="H1296" s="11"/>
      <c r="I1296" s="11"/>
      <c r="J1296" s="10">
        <f>IF($D1296="","",IF(AND($H1296&lt;&gt;"",$I1296&lt;&gt;""),"débit ET crédit",IF(AND($H1296="",$I1296=""),"montant manquant",IF(ISNA(MATCH($D1296,'Plan comptable'!$H:$H,0)),"compte hors plan",IF(AND($A1296&lt;&gt;"",YEAR($A1296)&lt;&gt;Exercice),"hors exercice","")))))</f>
      </c>
    </row>
    <row r="1297">
      <c r="A1297" s="13"/>
      <c r="B1297" s="10"/>
      <c r="C1297" s="9"/>
      <c r="D1297" s="20"/>
      <c r="E1297" s="9">
        <f>IF($D1297="","",IFERROR(VLOOKUP($D1297,'Plan comptable'!$H:$I,2,FALSE),"compte hors plan"))</f>
      </c>
      <c r="F1297" s="9"/>
      <c r="G1297" s="10"/>
      <c r="H1297" s="11"/>
      <c r="I1297" s="11"/>
      <c r="J1297" s="10">
        <f>IF($D1297="","",IF(AND($H1297&lt;&gt;"",$I1297&lt;&gt;""),"débit ET crédit",IF(AND($H1297="",$I1297=""),"montant manquant",IF(ISNA(MATCH($D1297,'Plan comptable'!$H:$H,0)),"compte hors plan",IF(AND($A1297&lt;&gt;"",YEAR($A1297)&lt;&gt;Exercice),"hors exercice","")))))</f>
      </c>
    </row>
    <row r="1298">
      <c r="A1298" s="13"/>
      <c r="B1298" s="10"/>
      <c r="C1298" s="9"/>
      <c r="D1298" s="20"/>
      <c r="E1298" s="9">
        <f>IF($D1298="","",IFERROR(VLOOKUP($D1298,'Plan comptable'!$H:$I,2,FALSE),"compte hors plan"))</f>
      </c>
      <c r="F1298" s="9"/>
      <c r="G1298" s="10"/>
      <c r="H1298" s="11"/>
      <c r="I1298" s="11"/>
      <c r="J1298" s="10">
        <f>IF($D1298="","",IF(AND($H1298&lt;&gt;"",$I1298&lt;&gt;""),"débit ET crédit",IF(AND($H1298="",$I1298=""),"montant manquant",IF(ISNA(MATCH($D1298,'Plan comptable'!$H:$H,0)),"compte hors plan",IF(AND($A1298&lt;&gt;"",YEAR($A1298)&lt;&gt;Exercice),"hors exercice","")))))</f>
      </c>
    </row>
    <row r="1299">
      <c r="A1299" s="13"/>
      <c r="B1299" s="10"/>
      <c r="C1299" s="9"/>
      <c r="D1299" s="20"/>
      <c r="E1299" s="9">
        <f>IF($D1299="","",IFERROR(VLOOKUP($D1299,'Plan comptable'!$H:$I,2,FALSE),"compte hors plan"))</f>
      </c>
      <c r="F1299" s="9"/>
      <c r="G1299" s="10"/>
      <c r="H1299" s="11"/>
      <c r="I1299" s="11"/>
      <c r="J1299" s="10">
        <f>IF($D1299="","",IF(AND($H1299&lt;&gt;"",$I1299&lt;&gt;""),"débit ET crédit",IF(AND($H1299="",$I1299=""),"montant manquant",IF(ISNA(MATCH($D1299,'Plan comptable'!$H:$H,0)),"compte hors plan",IF(AND($A1299&lt;&gt;"",YEAR($A1299)&lt;&gt;Exercice),"hors exercice","")))))</f>
      </c>
    </row>
    <row r="1300">
      <c r="A1300" s="13"/>
      <c r="B1300" s="10"/>
      <c r="C1300" s="9"/>
      <c r="D1300" s="20"/>
      <c r="E1300" s="9">
        <f>IF($D1300="","",IFERROR(VLOOKUP($D1300,'Plan comptable'!$H:$I,2,FALSE),"compte hors plan"))</f>
      </c>
      <c r="F1300" s="9"/>
      <c r="G1300" s="10"/>
      <c r="H1300" s="11"/>
      <c r="I1300" s="11"/>
      <c r="J1300" s="10">
        <f>IF($D1300="","",IF(AND($H1300&lt;&gt;"",$I1300&lt;&gt;""),"débit ET crédit",IF(AND($H1300="",$I1300=""),"montant manquant",IF(ISNA(MATCH($D1300,'Plan comptable'!$H:$H,0)),"compte hors plan",IF(AND($A1300&lt;&gt;"",YEAR($A1300)&lt;&gt;Exercice),"hors exercice","")))))</f>
      </c>
    </row>
    <row r="1301">
      <c r="A1301" s="13"/>
      <c r="B1301" s="10"/>
      <c r="C1301" s="9"/>
      <c r="D1301" s="20"/>
      <c r="E1301" s="9">
        <f>IF($D1301="","",IFERROR(VLOOKUP($D1301,'Plan comptable'!$H:$I,2,FALSE),"compte hors plan"))</f>
      </c>
      <c r="F1301" s="9"/>
      <c r="G1301" s="10"/>
      <c r="H1301" s="11"/>
      <c r="I1301" s="11"/>
      <c r="J1301" s="10">
        <f>IF($D1301="","",IF(AND($H1301&lt;&gt;"",$I1301&lt;&gt;""),"débit ET crédit",IF(AND($H1301="",$I1301=""),"montant manquant",IF(ISNA(MATCH($D1301,'Plan comptable'!$H:$H,0)),"compte hors plan",IF(AND($A1301&lt;&gt;"",YEAR($A1301)&lt;&gt;Exercice),"hors exercice","")))))</f>
      </c>
    </row>
    <row r="1302">
      <c r="A1302" s="13"/>
      <c r="B1302" s="10"/>
      <c r="C1302" s="9"/>
      <c r="D1302" s="20"/>
      <c r="E1302" s="9">
        <f>IF($D1302="","",IFERROR(VLOOKUP($D1302,'Plan comptable'!$H:$I,2,FALSE),"compte hors plan"))</f>
      </c>
      <c r="F1302" s="9"/>
      <c r="G1302" s="10"/>
      <c r="H1302" s="11"/>
      <c r="I1302" s="11"/>
      <c r="J1302" s="10">
        <f>IF($D1302="","",IF(AND($H1302&lt;&gt;"",$I1302&lt;&gt;""),"débit ET crédit",IF(AND($H1302="",$I1302=""),"montant manquant",IF(ISNA(MATCH($D1302,'Plan comptable'!$H:$H,0)),"compte hors plan",IF(AND($A1302&lt;&gt;"",YEAR($A1302)&lt;&gt;Exercice),"hors exercice","")))))</f>
      </c>
    </row>
    <row r="1303">
      <c r="A1303" s="13"/>
      <c r="B1303" s="10"/>
      <c r="C1303" s="9"/>
      <c r="D1303" s="20"/>
      <c r="E1303" s="9">
        <f>IF($D1303="","",IFERROR(VLOOKUP($D1303,'Plan comptable'!$H:$I,2,FALSE),"compte hors plan"))</f>
      </c>
      <c r="F1303" s="9"/>
      <c r="G1303" s="10"/>
      <c r="H1303" s="11"/>
      <c r="I1303" s="11"/>
      <c r="J1303" s="10">
        <f>IF($D1303="","",IF(AND($H1303&lt;&gt;"",$I1303&lt;&gt;""),"débit ET crédit",IF(AND($H1303="",$I1303=""),"montant manquant",IF(ISNA(MATCH($D1303,'Plan comptable'!$H:$H,0)),"compte hors plan",IF(AND($A1303&lt;&gt;"",YEAR($A1303)&lt;&gt;Exercice),"hors exercice","")))))</f>
      </c>
    </row>
    <row r="1304">
      <c r="A1304" s="13"/>
      <c r="B1304" s="10"/>
      <c r="C1304" s="9"/>
      <c r="D1304" s="20"/>
      <c r="E1304" s="9">
        <f>IF($D1304="","",IFERROR(VLOOKUP($D1304,'Plan comptable'!$H:$I,2,FALSE),"compte hors plan"))</f>
      </c>
      <c r="F1304" s="9"/>
      <c r="G1304" s="10"/>
      <c r="H1304" s="11"/>
      <c r="I1304" s="11"/>
      <c r="J1304" s="10">
        <f>IF($D1304="","",IF(AND($H1304&lt;&gt;"",$I1304&lt;&gt;""),"débit ET crédit",IF(AND($H1304="",$I1304=""),"montant manquant",IF(ISNA(MATCH($D1304,'Plan comptable'!$H:$H,0)),"compte hors plan",IF(AND($A1304&lt;&gt;"",YEAR($A1304)&lt;&gt;Exercice),"hors exercice","")))))</f>
      </c>
    </row>
    <row r="1305">
      <c r="A1305" s="13"/>
      <c r="B1305" s="10"/>
      <c r="C1305" s="9"/>
      <c r="D1305" s="20"/>
      <c r="E1305" s="9">
        <f>IF($D1305="","",IFERROR(VLOOKUP($D1305,'Plan comptable'!$H:$I,2,FALSE),"compte hors plan"))</f>
      </c>
      <c r="F1305" s="9"/>
      <c r="G1305" s="10"/>
      <c r="H1305" s="11"/>
      <c r="I1305" s="11"/>
      <c r="J1305" s="10">
        <f>IF($D1305="","",IF(AND($H1305&lt;&gt;"",$I1305&lt;&gt;""),"débit ET crédit",IF(AND($H1305="",$I1305=""),"montant manquant",IF(ISNA(MATCH($D1305,'Plan comptable'!$H:$H,0)),"compte hors plan",IF(AND($A1305&lt;&gt;"",YEAR($A1305)&lt;&gt;Exercice),"hors exercice","")))))</f>
      </c>
    </row>
    <row r="1306">
      <c r="A1306" s="13"/>
      <c r="B1306" s="10"/>
      <c r="C1306" s="9"/>
      <c r="D1306" s="20"/>
      <c r="E1306" s="9">
        <f>IF($D1306="","",IFERROR(VLOOKUP($D1306,'Plan comptable'!$H:$I,2,FALSE),"compte hors plan"))</f>
      </c>
      <c r="F1306" s="9"/>
      <c r="G1306" s="10"/>
      <c r="H1306" s="11"/>
      <c r="I1306" s="11"/>
      <c r="J1306" s="10">
        <f>IF($D1306="","",IF(AND($H1306&lt;&gt;"",$I1306&lt;&gt;""),"débit ET crédit",IF(AND($H1306="",$I1306=""),"montant manquant",IF(ISNA(MATCH($D1306,'Plan comptable'!$H:$H,0)),"compte hors plan",IF(AND($A1306&lt;&gt;"",YEAR($A1306)&lt;&gt;Exercice),"hors exercice","")))))</f>
      </c>
    </row>
    <row r="1307">
      <c r="A1307" s="13"/>
      <c r="B1307" s="10"/>
      <c r="C1307" s="9"/>
      <c r="D1307" s="20"/>
      <c r="E1307" s="9">
        <f>IF($D1307="","",IFERROR(VLOOKUP($D1307,'Plan comptable'!$H:$I,2,FALSE),"compte hors plan"))</f>
      </c>
      <c r="F1307" s="9"/>
      <c r="G1307" s="10"/>
      <c r="H1307" s="11"/>
      <c r="I1307" s="11"/>
      <c r="J1307" s="10">
        <f>IF($D1307="","",IF(AND($H1307&lt;&gt;"",$I1307&lt;&gt;""),"débit ET crédit",IF(AND($H1307="",$I1307=""),"montant manquant",IF(ISNA(MATCH($D1307,'Plan comptable'!$H:$H,0)),"compte hors plan",IF(AND($A1307&lt;&gt;"",YEAR($A1307)&lt;&gt;Exercice),"hors exercice","")))))</f>
      </c>
    </row>
    <row r="1308">
      <c r="A1308" s="13"/>
      <c r="B1308" s="10"/>
      <c r="C1308" s="9"/>
      <c r="D1308" s="20"/>
      <c r="E1308" s="9">
        <f>IF($D1308="","",IFERROR(VLOOKUP($D1308,'Plan comptable'!$H:$I,2,FALSE),"compte hors plan"))</f>
      </c>
      <c r="F1308" s="9"/>
      <c r="G1308" s="10"/>
      <c r="H1308" s="11"/>
      <c r="I1308" s="11"/>
      <c r="J1308" s="10">
        <f>IF($D1308="","",IF(AND($H1308&lt;&gt;"",$I1308&lt;&gt;""),"débit ET crédit",IF(AND($H1308="",$I1308=""),"montant manquant",IF(ISNA(MATCH($D1308,'Plan comptable'!$H:$H,0)),"compte hors plan",IF(AND($A1308&lt;&gt;"",YEAR($A1308)&lt;&gt;Exercice),"hors exercice","")))))</f>
      </c>
    </row>
    <row r="1309">
      <c r="A1309" s="13"/>
      <c r="B1309" s="10"/>
      <c r="C1309" s="9"/>
      <c r="D1309" s="20"/>
      <c r="E1309" s="9">
        <f>IF($D1309="","",IFERROR(VLOOKUP($D1309,'Plan comptable'!$H:$I,2,FALSE),"compte hors plan"))</f>
      </c>
      <c r="F1309" s="9"/>
      <c r="G1309" s="10"/>
      <c r="H1309" s="11"/>
      <c r="I1309" s="11"/>
      <c r="J1309" s="10">
        <f>IF($D1309="","",IF(AND($H1309&lt;&gt;"",$I1309&lt;&gt;""),"débit ET crédit",IF(AND($H1309="",$I1309=""),"montant manquant",IF(ISNA(MATCH($D1309,'Plan comptable'!$H:$H,0)),"compte hors plan",IF(AND($A1309&lt;&gt;"",YEAR($A1309)&lt;&gt;Exercice),"hors exercice","")))))</f>
      </c>
    </row>
    <row r="1310">
      <c r="A1310" s="13"/>
      <c r="B1310" s="10"/>
      <c r="C1310" s="9"/>
      <c r="D1310" s="20"/>
      <c r="E1310" s="9">
        <f>IF($D1310="","",IFERROR(VLOOKUP($D1310,'Plan comptable'!$H:$I,2,FALSE),"compte hors plan"))</f>
      </c>
      <c r="F1310" s="9"/>
      <c r="G1310" s="10"/>
      <c r="H1310" s="11"/>
      <c r="I1310" s="11"/>
      <c r="J1310" s="10">
        <f>IF($D1310="","",IF(AND($H1310&lt;&gt;"",$I1310&lt;&gt;""),"débit ET crédit",IF(AND($H1310="",$I1310=""),"montant manquant",IF(ISNA(MATCH($D1310,'Plan comptable'!$H:$H,0)),"compte hors plan",IF(AND($A1310&lt;&gt;"",YEAR($A1310)&lt;&gt;Exercice),"hors exercice","")))))</f>
      </c>
    </row>
    <row r="1311">
      <c r="A1311" s="13"/>
      <c r="B1311" s="10"/>
      <c r="C1311" s="9"/>
      <c r="D1311" s="20"/>
      <c r="E1311" s="9">
        <f>IF($D1311="","",IFERROR(VLOOKUP($D1311,'Plan comptable'!$H:$I,2,FALSE),"compte hors plan"))</f>
      </c>
      <c r="F1311" s="9"/>
      <c r="G1311" s="10"/>
      <c r="H1311" s="11"/>
      <c r="I1311" s="11"/>
      <c r="J1311" s="10">
        <f>IF($D1311="","",IF(AND($H1311&lt;&gt;"",$I1311&lt;&gt;""),"débit ET crédit",IF(AND($H1311="",$I1311=""),"montant manquant",IF(ISNA(MATCH($D1311,'Plan comptable'!$H:$H,0)),"compte hors plan",IF(AND($A1311&lt;&gt;"",YEAR($A1311)&lt;&gt;Exercice),"hors exercice","")))))</f>
      </c>
    </row>
    <row r="1312">
      <c r="A1312" s="13"/>
      <c r="B1312" s="10"/>
      <c r="C1312" s="9"/>
      <c r="D1312" s="20"/>
      <c r="E1312" s="9">
        <f>IF($D1312="","",IFERROR(VLOOKUP($D1312,'Plan comptable'!$H:$I,2,FALSE),"compte hors plan"))</f>
      </c>
      <c r="F1312" s="9"/>
      <c r="G1312" s="10"/>
      <c r="H1312" s="11"/>
      <c r="I1312" s="11"/>
      <c r="J1312" s="10">
        <f>IF($D1312="","",IF(AND($H1312&lt;&gt;"",$I1312&lt;&gt;""),"débit ET crédit",IF(AND($H1312="",$I1312=""),"montant manquant",IF(ISNA(MATCH($D1312,'Plan comptable'!$H:$H,0)),"compte hors plan",IF(AND($A1312&lt;&gt;"",YEAR($A1312)&lt;&gt;Exercice),"hors exercice","")))))</f>
      </c>
    </row>
    <row r="1313">
      <c r="A1313" s="13"/>
      <c r="B1313" s="10"/>
      <c r="C1313" s="9"/>
      <c r="D1313" s="20"/>
      <c r="E1313" s="9">
        <f>IF($D1313="","",IFERROR(VLOOKUP($D1313,'Plan comptable'!$H:$I,2,FALSE),"compte hors plan"))</f>
      </c>
      <c r="F1313" s="9"/>
      <c r="G1313" s="10"/>
      <c r="H1313" s="11"/>
      <c r="I1313" s="11"/>
      <c r="J1313" s="10">
        <f>IF($D1313="","",IF(AND($H1313&lt;&gt;"",$I1313&lt;&gt;""),"débit ET crédit",IF(AND($H1313="",$I1313=""),"montant manquant",IF(ISNA(MATCH($D1313,'Plan comptable'!$H:$H,0)),"compte hors plan",IF(AND($A1313&lt;&gt;"",YEAR($A1313)&lt;&gt;Exercice),"hors exercice","")))))</f>
      </c>
    </row>
    <row r="1314">
      <c r="A1314" s="13"/>
      <c r="B1314" s="10"/>
      <c r="C1314" s="9"/>
      <c r="D1314" s="20"/>
      <c r="E1314" s="9">
        <f>IF($D1314="","",IFERROR(VLOOKUP($D1314,'Plan comptable'!$H:$I,2,FALSE),"compte hors plan"))</f>
      </c>
      <c r="F1314" s="9"/>
      <c r="G1314" s="10"/>
      <c r="H1314" s="11"/>
      <c r="I1314" s="11"/>
      <c r="J1314" s="10">
        <f>IF($D1314="","",IF(AND($H1314&lt;&gt;"",$I1314&lt;&gt;""),"débit ET crédit",IF(AND($H1314="",$I1314=""),"montant manquant",IF(ISNA(MATCH($D1314,'Plan comptable'!$H:$H,0)),"compte hors plan",IF(AND($A1314&lt;&gt;"",YEAR($A1314)&lt;&gt;Exercice),"hors exercice","")))))</f>
      </c>
    </row>
    <row r="1315">
      <c r="A1315" s="13"/>
      <c r="B1315" s="10"/>
      <c r="C1315" s="9"/>
      <c r="D1315" s="20"/>
      <c r="E1315" s="9">
        <f>IF($D1315="","",IFERROR(VLOOKUP($D1315,'Plan comptable'!$H:$I,2,FALSE),"compte hors plan"))</f>
      </c>
      <c r="F1315" s="9"/>
      <c r="G1315" s="10"/>
      <c r="H1315" s="11"/>
      <c r="I1315" s="11"/>
      <c r="J1315" s="10">
        <f>IF($D1315="","",IF(AND($H1315&lt;&gt;"",$I1315&lt;&gt;""),"débit ET crédit",IF(AND($H1315="",$I1315=""),"montant manquant",IF(ISNA(MATCH($D1315,'Plan comptable'!$H:$H,0)),"compte hors plan",IF(AND($A1315&lt;&gt;"",YEAR($A1315)&lt;&gt;Exercice),"hors exercice","")))))</f>
      </c>
    </row>
    <row r="1316">
      <c r="A1316" s="13"/>
      <c r="B1316" s="10"/>
      <c r="C1316" s="9"/>
      <c r="D1316" s="20"/>
      <c r="E1316" s="9">
        <f>IF($D1316="","",IFERROR(VLOOKUP($D1316,'Plan comptable'!$H:$I,2,FALSE),"compte hors plan"))</f>
      </c>
      <c r="F1316" s="9"/>
      <c r="G1316" s="10"/>
      <c r="H1316" s="11"/>
      <c r="I1316" s="11"/>
      <c r="J1316" s="10">
        <f>IF($D1316="","",IF(AND($H1316&lt;&gt;"",$I1316&lt;&gt;""),"débit ET crédit",IF(AND($H1316="",$I1316=""),"montant manquant",IF(ISNA(MATCH($D1316,'Plan comptable'!$H:$H,0)),"compte hors plan",IF(AND($A1316&lt;&gt;"",YEAR($A1316)&lt;&gt;Exercice),"hors exercice","")))))</f>
      </c>
    </row>
    <row r="1317">
      <c r="A1317" s="13"/>
      <c r="B1317" s="10"/>
      <c r="C1317" s="9"/>
      <c r="D1317" s="20"/>
      <c r="E1317" s="9">
        <f>IF($D1317="","",IFERROR(VLOOKUP($D1317,'Plan comptable'!$H:$I,2,FALSE),"compte hors plan"))</f>
      </c>
      <c r="F1317" s="9"/>
      <c r="G1317" s="10"/>
      <c r="H1317" s="11"/>
      <c r="I1317" s="11"/>
      <c r="J1317" s="10">
        <f>IF($D1317="","",IF(AND($H1317&lt;&gt;"",$I1317&lt;&gt;""),"débit ET crédit",IF(AND($H1317="",$I1317=""),"montant manquant",IF(ISNA(MATCH($D1317,'Plan comptable'!$H:$H,0)),"compte hors plan",IF(AND($A1317&lt;&gt;"",YEAR($A1317)&lt;&gt;Exercice),"hors exercice","")))))</f>
      </c>
    </row>
    <row r="1318">
      <c r="A1318" s="13"/>
      <c r="B1318" s="10"/>
      <c r="C1318" s="9"/>
      <c r="D1318" s="20"/>
      <c r="E1318" s="9">
        <f>IF($D1318="","",IFERROR(VLOOKUP($D1318,'Plan comptable'!$H:$I,2,FALSE),"compte hors plan"))</f>
      </c>
      <c r="F1318" s="9"/>
      <c r="G1318" s="10"/>
      <c r="H1318" s="11"/>
      <c r="I1318" s="11"/>
      <c r="J1318" s="10">
        <f>IF($D1318="","",IF(AND($H1318&lt;&gt;"",$I1318&lt;&gt;""),"débit ET crédit",IF(AND($H1318="",$I1318=""),"montant manquant",IF(ISNA(MATCH($D1318,'Plan comptable'!$H:$H,0)),"compte hors plan",IF(AND($A1318&lt;&gt;"",YEAR($A1318)&lt;&gt;Exercice),"hors exercice","")))))</f>
      </c>
    </row>
    <row r="1319">
      <c r="A1319" s="13"/>
      <c r="B1319" s="10"/>
      <c r="C1319" s="9"/>
      <c r="D1319" s="20"/>
      <c r="E1319" s="9">
        <f>IF($D1319="","",IFERROR(VLOOKUP($D1319,'Plan comptable'!$H:$I,2,FALSE),"compte hors plan"))</f>
      </c>
      <c r="F1319" s="9"/>
      <c r="G1319" s="10"/>
      <c r="H1319" s="11"/>
      <c r="I1319" s="11"/>
      <c r="J1319" s="10">
        <f>IF($D1319="","",IF(AND($H1319&lt;&gt;"",$I1319&lt;&gt;""),"débit ET crédit",IF(AND($H1319="",$I1319=""),"montant manquant",IF(ISNA(MATCH($D1319,'Plan comptable'!$H:$H,0)),"compte hors plan",IF(AND($A1319&lt;&gt;"",YEAR($A1319)&lt;&gt;Exercice),"hors exercice","")))))</f>
      </c>
    </row>
    <row r="1320">
      <c r="A1320" s="13"/>
      <c r="B1320" s="10"/>
      <c r="C1320" s="9"/>
      <c r="D1320" s="20"/>
      <c r="E1320" s="9">
        <f>IF($D1320="","",IFERROR(VLOOKUP($D1320,'Plan comptable'!$H:$I,2,FALSE),"compte hors plan"))</f>
      </c>
      <c r="F1320" s="9"/>
      <c r="G1320" s="10"/>
      <c r="H1320" s="11"/>
      <c r="I1320" s="11"/>
      <c r="J1320" s="10">
        <f>IF($D1320="","",IF(AND($H1320&lt;&gt;"",$I1320&lt;&gt;""),"débit ET crédit",IF(AND($H1320="",$I1320=""),"montant manquant",IF(ISNA(MATCH($D1320,'Plan comptable'!$H:$H,0)),"compte hors plan",IF(AND($A1320&lt;&gt;"",YEAR($A1320)&lt;&gt;Exercice),"hors exercice","")))))</f>
      </c>
    </row>
    <row r="1321">
      <c r="A1321" s="13"/>
      <c r="B1321" s="10"/>
      <c r="C1321" s="9"/>
      <c r="D1321" s="20"/>
      <c r="E1321" s="9">
        <f>IF($D1321="","",IFERROR(VLOOKUP($D1321,'Plan comptable'!$H:$I,2,FALSE),"compte hors plan"))</f>
      </c>
      <c r="F1321" s="9"/>
      <c r="G1321" s="10"/>
      <c r="H1321" s="11"/>
      <c r="I1321" s="11"/>
      <c r="J1321" s="10">
        <f>IF($D1321="","",IF(AND($H1321&lt;&gt;"",$I1321&lt;&gt;""),"débit ET crédit",IF(AND($H1321="",$I1321=""),"montant manquant",IF(ISNA(MATCH($D1321,'Plan comptable'!$H:$H,0)),"compte hors plan",IF(AND($A1321&lt;&gt;"",YEAR($A1321)&lt;&gt;Exercice),"hors exercice","")))))</f>
      </c>
    </row>
    <row r="1322">
      <c r="A1322" s="13"/>
      <c r="B1322" s="10"/>
      <c r="C1322" s="9"/>
      <c r="D1322" s="20"/>
      <c r="E1322" s="9">
        <f>IF($D1322="","",IFERROR(VLOOKUP($D1322,'Plan comptable'!$H:$I,2,FALSE),"compte hors plan"))</f>
      </c>
      <c r="F1322" s="9"/>
      <c r="G1322" s="10"/>
      <c r="H1322" s="11"/>
      <c r="I1322" s="11"/>
      <c r="J1322" s="10">
        <f>IF($D1322="","",IF(AND($H1322&lt;&gt;"",$I1322&lt;&gt;""),"débit ET crédit",IF(AND($H1322="",$I1322=""),"montant manquant",IF(ISNA(MATCH($D1322,'Plan comptable'!$H:$H,0)),"compte hors plan",IF(AND($A1322&lt;&gt;"",YEAR($A1322)&lt;&gt;Exercice),"hors exercice","")))))</f>
      </c>
    </row>
    <row r="1323">
      <c r="A1323" s="13"/>
      <c r="B1323" s="10"/>
      <c r="C1323" s="9"/>
      <c r="D1323" s="20"/>
      <c r="E1323" s="9">
        <f>IF($D1323="","",IFERROR(VLOOKUP($D1323,'Plan comptable'!$H:$I,2,FALSE),"compte hors plan"))</f>
      </c>
      <c r="F1323" s="9"/>
      <c r="G1323" s="10"/>
      <c r="H1323" s="11"/>
      <c r="I1323" s="11"/>
      <c r="J1323" s="10">
        <f>IF($D1323="","",IF(AND($H1323&lt;&gt;"",$I1323&lt;&gt;""),"débit ET crédit",IF(AND($H1323="",$I1323=""),"montant manquant",IF(ISNA(MATCH($D1323,'Plan comptable'!$H:$H,0)),"compte hors plan",IF(AND($A1323&lt;&gt;"",YEAR($A1323)&lt;&gt;Exercice),"hors exercice","")))))</f>
      </c>
    </row>
    <row r="1324">
      <c r="A1324" s="13"/>
      <c r="B1324" s="10"/>
      <c r="C1324" s="9"/>
      <c r="D1324" s="20"/>
      <c r="E1324" s="9">
        <f>IF($D1324="","",IFERROR(VLOOKUP($D1324,'Plan comptable'!$H:$I,2,FALSE),"compte hors plan"))</f>
      </c>
      <c r="F1324" s="9"/>
      <c r="G1324" s="10"/>
      <c r="H1324" s="11"/>
      <c r="I1324" s="11"/>
      <c r="J1324" s="10">
        <f>IF($D1324="","",IF(AND($H1324&lt;&gt;"",$I1324&lt;&gt;""),"débit ET crédit",IF(AND($H1324="",$I1324=""),"montant manquant",IF(ISNA(MATCH($D1324,'Plan comptable'!$H:$H,0)),"compte hors plan",IF(AND($A1324&lt;&gt;"",YEAR($A1324)&lt;&gt;Exercice),"hors exercice","")))))</f>
      </c>
    </row>
    <row r="1325">
      <c r="A1325" s="13"/>
      <c r="B1325" s="10"/>
      <c r="C1325" s="9"/>
      <c r="D1325" s="20"/>
      <c r="E1325" s="9">
        <f>IF($D1325="","",IFERROR(VLOOKUP($D1325,'Plan comptable'!$H:$I,2,FALSE),"compte hors plan"))</f>
      </c>
      <c r="F1325" s="9"/>
      <c r="G1325" s="10"/>
      <c r="H1325" s="11"/>
      <c r="I1325" s="11"/>
      <c r="J1325" s="10">
        <f>IF($D1325="","",IF(AND($H1325&lt;&gt;"",$I1325&lt;&gt;""),"débit ET crédit",IF(AND($H1325="",$I1325=""),"montant manquant",IF(ISNA(MATCH($D1325,'Plan comptable'!$H:$H,0)),"compte hors plan",IF(AND($A1325&lt;&gt;"",YEAR($A1325)&lt;&gt;Exercice),"hors exercice","")))))</f>
      </c>
    </row>
    <row r="1326">
      <c r="A1326" s="13"/>
      <c r="B1326" s="10"/>
      <c r="C1326" s="9"/>
      <c r="D1326" s="20"/>
      <c r="E1326" s="9">
        <f>IF($D1326="","",IFERROR(VLOOKUP($D1326,'Plan comptable'!$H:$I,2,FALSE),"compte hors plan"))</f>
      </c>
      <c r="F1326" s="9"/>
      <c r="G1326" s="10"/>
      <c r="H1326" s="11"/>
      <c r="I1326" s="11"/>
      <c r="J1326" s="10">
        <f>IF($D1326="","",IF(AND($H1326&lt;&gt;"",$I1326&lt;&gt;""),"débit ET crédit",IF(AND($H1326="",$I1326=""),"montant manquant",IF(ISNA(MATCH($D1326,'Plan comptable'!$H:$H,0)),"compte hors plan",IF(AND($A1326&lt;&gt;"",YEAR($A1326)&lt;&gt;Exercice),"hors exercice","")))))</f>
      </c>
    </row>
    <row r="1327">
      <c r="A1327" s="13"/>
      <c r="B1327" s="10"/>
      <c r="C1327" s="9"/>
      <c r="D1327" s="20"/>
      <c r="E1327" s="9">
        <f>IF($D1327="","",IFERROR(VLOOKUP($D1327,'Plan comptable'!$H:$I,2,FALSE),"compte hors plan"))</f>
      </c>
      <c r="F1327" s="9"/>
      <c r="G1327" s="10"/>
      <c r="H1327" s="11"/>
      <c r="I1327" s="11"/>
      <c r="J1327" s="10">
        <f>IF($D1327="","",IF(AND($H1327&lt;&gt;"",$I1327&lt;&gt;""),"débit ET crédit",IF(AND($H1327="",$I1327=""),"montant manquant",IF(ISNA(MATCH($D1327,'Plan comptable'!$H:$H,0)),"compte hors plan",IF(AND($A1327&lt;&gt;"",YEAR($A1327)&lt;&gt;Exercice),"hors exercice","")))))</f>
      </c>
    </row>
    <row r="1328">
      <c r="A1328" s="13"/>
      <c r="B1328" s="10"/>
      <c r="C1328" s="9"/>
      <c r="D1328" s="20"/>
      <c r="E1328" s="9">
        <f>IF($D1328="","",IFERROR(VLOOKUP($D1328,'Plan comptable'!$H:$I,2,FALSE),"compte hors plan"))</f>
      </c>
      <c r="F1328" s="9"/>
      <c r="G1328" s="10"/>
      <c r="H1328" s="11"/>
      <c r="I1328" s="11"/>
      <c r="J1328" s="10">
        <f>IF($D1328="","",IF(AND($H1328&lt;&gt;"",$I1328&lt;&gt;""),"débit ET crédit",IF(AND($H1328="",$I1328=""),"montant manquant",IF(ISNA(MATCH($D1328,'Plan comptable'!$H:$H,0)),"compte hors plan",IF(AND($A1328&lt;&gt;"",YEAR($A1328)&lt;&gt;Exercice),"hors exercice","")))))</f>
      </c>
    </row>
    <row r="1329">
      <c r="A1329" s="13"/>
      <c r="B1329" s="10"/>
      <c r="C1329" s="9"/>
      <c r="D1329" s="20"/>
      <c r="E1329" s="9">
        <f>IF($D1329="","",IFERROR(VLOOKUP($D1329,'Plan comptable'!$H:$I,2,FALSE),"compte hors plan"))</f>
      </c>
      <c r="F1329" s="9"/>
      <c r="G1329" s="10"/>
      <c r="H1329" s="11"/>
      <c r="I1329" s="11"/>
      <c r="J1329" s="10">
        <f>IF($D1329="","",IF(AND($H1329&lt;&gt;"",$I1329&lt;&gt;""),"débit ET crédit",IF(AND($H1329="",$I1329=""),"montant manquant",IF(ISNA(MATCH($D1329,'Plan comptable'!$H:$H,0)),"compte hors plan",IF(AND($A1329&lt;&gt;"",YEAR($A1329)&lt;&gt;Exercice),"hors exercice","")))))</f>
      </c>
    </row>
    <row r="1330">
      <c r="A1330" s="13"/>
      <c r="B1330" s="10"/>
      <c r="C1330" s="9"/>
      <c r="D1330" s="20"/>
      <c r="E1330" s="9">
        <f>IF($D1330="","",IFERROR(VLOOKUP($D1330,'Plan comptable'!$H:$I,2,FALSE),"compte hors plan"))</f>
      </c>
      <c r="F1330" s="9"/>
      <c r="G1330" s="10"/>
      <c r="H1330" s="11"/>
      <c r="I1330" s="11"/>
      <c r="J1330" s="10">
        <f>IF($D1330="","",IF(AND($H1330&lt;&gt;"",$I1330&lt;&gt;""),"débit ET crédit",IF(AND($H1330="",$I1330=""),"montant manquant",IF(ISNA(MATCH($D1330,'Plan comptable'!$H:$H,0)),"compte hors plan",IF(AND($A1330&lt;&gt;"",YEAR($A1330)&lt;&gt;Exercice),"hors exercice","")))))</f>
      </c>
    </row>
    <row r="1331">
      <c r="A1331" s="13"/>
      <c r="B1331" s="10"/>
      <c r="C1331" s="9"/>
      <c r="D1331" s="20"/>
      <c r="E1331" s="9">
        <f>IF($D1331="","",IFERROR(VLOOKUP($D1331,'Plan comptable'!$H:$I,2,FALSE),"compte hors plan"))</f>
      </c>
      <c r="F1331" s="9"/>
      <c r="G1331" s="10"/>
      <c r="H1331" s="11"/>
      <c r="I1331" s="11"/>
      <c r="J1331" s="10">
        <f>IF($D1331="","",IF(AND($H1331&lt;&gt;"",$I1331&lt;&gt;""),"débit ET crédit",IF(AND($H1331="",$I1331=""),"montant manquant",IF(ISNA(MATCH($D1331,'Plan comptable'!$H:$H,0)),"compte hors plan",IF(AND($A1331&lt;&gt;"",YEAR($A1331)&lt;&gt;Exercice),"hors exercice","")))))</f>
      </c>
    </row>
    <row r="1332">
      <c r="A1332" s="13"/>
      <c r="B1332" s="10"/>
      <c r="C1332" s="9"/>
      <c r="D1332" s="20"/>
      <c r="E1332" s="9">
        <f>IF($D1332="","",IFERROR(VLOOKUP($D1332,'Plan comptable'!$H:$I,2,FALSE),"compte hors plan"))</f>
      </c>
      <c r="F1332" s="9"/>
      <c r="G1332" s="10"/>
      <c r="H1332" s="11"/>
      <c r="I1332" s="11"/>
      <c r="J1332" s="10">
        <f>IF($D1332="","",IF(AND($H1332&lt;&gt;"",$I1332&lt;&gt;""),"débit ET crédit",IF(AND($H1332="",$I1332=""),"montant manquant",IF(ISNA(MATCH($D1332,'Plan comptable'!$H:$H,0)),"compte hors plan",IF(AND($A1332&lt;&gt;"",YEAR($A1332)&lt;&gt;Exercice),"hors exercice","")))))</f>
      </c>
    </row>
    <row r="1333">
      <c r="A1333" s="13"/>
      <c r="B1333" s="10"/>
      <c r="C1333" s="9"/>
      <c r="D1333" s="20"/>
      <c r="E1333" s="9">
        <f>IF($D1333="","",IFERROR(VLOOKUP($D1333,'Plan comptable'!$H:$I,2,FALSE),"compte hors plan"))</f>
      </c>
      <c r="F1333" s="9"/>
      <c r="G1333" s="10"/>
      <c r="H1333" s="11"/>
      <c r="I1333" s="11"/>
      <c r="J1333" s="10">
        <f>IF($D1333="","",IF(AND($H1333&lt;&gt;"",$I1333&lt;&gt;""),"débit ET crédit",IF(AND($H1333="",$I1333=""),"montant manquant",IF(ISNA(MATCH($D1333,'Plan comptable'!$H:$H,0)),"compte hors plan",IF(AND($A1333&lt;&gt;"",YEAR($A1333)&lt;&gt;Exercice),"hors exercice","")))))</f>
      </c>
    </row>
    <row r="1334">
      <c r="A1334" s="13"/>
      <c r="B1334" s="10"/>
      <c r="C1334" s="9"/>
      <c r="D1334" s="20"/>
      <c r="E1334" s="9">
        <f>IF($D1334="","",IFERROR(VLOOKUP($D1334,'Plan comptable'!$H:$I,2,FALSE),"compte hors plan"))</f>
      </c>
      <c r="F1334" s="9"/>
      <c r="G1334" s="10"/>
      <c r="H1334" s="11"/>
      <c r="I1334" s="11"/>
      <c r="J1334" s="10">
        <f>IF($D1334="","",IF(AND($H1334&lt;&gt;"",$I1334&lt;&gt;""),"débit ET crédit",IF(AND($H1334="",$I1334=""),"montant manquant",IF(ISNA(MATCH($D1334,'Plan comptable'!$H:$H,0)),"compte hors plan",IF(AND($A1334&lt;&gt;"",YEAR($A1334)&lt;&gt;Exercice),"hors exercice","")))))</f>
      </c>
    </row>
    <row r="1335">
      <c r="A1335" s="13"/>
      <c r="B1335" s="10"/>
      <c r="C1335" s="9"/>
      <c r="D1335" s="20"/>
      <c r="E1335" s="9">
        <f>IF($D1335="","",IFERROR(VLOOKUP($D1335,'Plan comptable'!$H:$I,2,FALSE),"compte hors plan"))</f>
      </c>
      <c r="F1335" s="9"/>
      <c r="G1335" s="10"/>
      <c r="H1335" s="11"/>
      <c r="I1335" s="11"/>
      <c r="J1335" s="10">
        <f>IF($D1335="","",IF(AND($H1335&lt;&gt;"",$I1335&lt;&gt;""),"débit ET crédit",IF(AND($H1335="",$I1335=""),"montant manquant",IF(ISNA(MATCH($D1335,'Plan comptable'!$H:$H,0)),"compte hors plan",IF(AND($A1335&lt;&gt;"",YEAR($A1335)&lt;&gt;Exercice),"hors exercice","")))))</f>
      </c>
    </row>
    <row r="1336">
      <c r="A1336" s="13"/>
      <c r="B1336" s="10"/>
      <c r="C1336" s="9"/>
      <c r="D1336" s="20"/>
      <c r="E1336" s="9">
        <f>IF($D1336="","",IFERROR(VLOOKUP($D1336,'Plan comptable'!$H:$I,2,FALSE),"compte hors plan"))</f>
      </c>
      <c r="F1336" s="9"/>
      <c r="G1336" s="10"/>
      <c r="H1336" s="11"/>
      <c r="I1336" s="11"/>
      <c r="J1336" s="10">
        <f>IF($D1336="","",IF(AND($H1336&lt;&gt;"",$I1336&lt;&gt;""),"débit ET crédit",IF(AND($H1336="",$I1336=""),"montant manquant",IF(ISNA(MATCH($D1336,'Plan comptable'!$H:$H,0)),"compte hors plan",IF(AND($A1336&lt;&gt;"",YEAR($A1336)&lt;&gt;Exercice),"hors exercice","")))))</f>
      </c>
    </row>
    <row r="1337">
      <c r="A1337" s="13"/>
      <c r="B1337" s="10"/>
      <c r="C1337" s="9"/>
      <c r="D1337" s="20"/>
      <c r="E1337" s="9">
        <f>IF($D1337="","",IFERROR(VLOOKUP($D1337,'Plan comptable'!$H:$I,2,FALSE),"compte hors plan"))</f>
      </c>
      <c r="F1337" s="9"/>
      <c r="G1337" s="10"/>
      <c r="H1337" s="11"/>
      <c r="I1337" s="11"/>
      <c r="J1337" s="10">
        <f>IF($D1337="","",IF(AND($H1337&lt;&gt;"",$I1337&lt;&gt;""),"débit ET crédit",IF(AND($H1337="",$I1337=""),"montant manquant",IF(ISNA(MATCH($D1337,'Plan comptable'!$H:$H,0)),"compte hors plan",IF(AND($A1337&lt;&gt;"",YEAR($A1337)&lt;&gt;Exercice),"hors exercice","")))))</f>
      </c>
    </row>
    <row r="1338">
      <c r="A1338" s="13"/>
      <c r="B1338" s="10"/>
      <c r="C1338" s="9"/>
      <c r="D1338" s="20"/>
      <c r="E1338" s="9">
        <f>IF($D1338="","",IFERROR(VLOOKUP($D1338,'Plan comptable'!$H:$I,2,FALSE),"compte hors plan"))</f>
      </c>
      <c r="F1338" s="9"/>
      <c r="G1338" s="10"/>
      <c r="H1338" s="11"/>
      <c r="I1338" s="11"/>
      <c r="J1338" s="10">
        <f>IF($D1338="","",IF(AND($H1338&lt;&gt;"",$I1338&lt;&gt;""),"débit ET crédit",IF(AND($H1338="",$I1338=""),"montant manquant",IF(ISNA(MATCH($D1338,'Plan comptable'!$H:$H,0)),"compte hors plan",IF(AND($A1338&lt;&gt;"",YEAR($A1338)&lt;&gt;Exercice),"hors exercice","")))))</f>
      </c>
    </row>
    <row r="1339">
      <c r="A1339" s="13"/>
      <c r="B1339" s="10"/>
      <c r="C1339" s="9"/>
      <c r="D1339" s="20"/>
      <c r="E1339" s="9">
        <f>IF($D1339="","",IFERROR(VLOOKUP($D1339,'Plan comptable'!$H:$I,2,FALSE),"compte hors plan"))</f>
      </c>
      <c r="F1339" s="9"/>
      <c r="G1339" s="10"/>
      <c r="H1339" s="11"/>
      <c r="I1339" s="11"/>
      <c r="J1339" s="10">
        <f>IF($D1339="","",IF(AND($H1339&lt;&gt;"",$I1339&lt;&gt;""),"débit ET crédit",IF(AND($H1339="",$I1339=""),"montant manquant",IF(ISNA(MATCH($D1339,'Plan comptable'!$H:$H,0)),"compte hors plan",IF(AND($A1339&lt;&gt;"",YEAR($A1339)&lt;&gt;Exercice),"hors exercice","")))))</f>
      </c>
    </row>
    <row r="1340">
      <c r="A1340" s="13"/>
      <c r="B1340" s="10"/>
      <c r="C1340" s="9"/>
      <c r="D1340" s="20"/>
      <c r="E1340" s="9">
        <f>IF($D1340="","",IFERROR(VLOOKUP($D1340,'Plan comptable'!$H:$I,2,FALSE),"compte hors plan"))</f>
      </c>
      <c r="F1340" s="9"/>
      <c r="G1340" s="10"/>
      <c r="H1340" s="11"/>
      <c r="I1340" s="11"/>
      <c r="J1340" s="10">
        <f>IF($D1340="","",IF(AND($H1340&lt;&gt;"",$I1340&lt;&gt;""),"débit ET crédit",IF(AND($H1340="",$I1340=""),"montant manquant",IF(ISNA(MATCH($D1340,'Plan comptable'!$H:$H,0)),"compte hors plan",IF(AND($A1340&lt;&gt;"",YEAR($A1340)&lt;&gt;Exercice),"hors exercice","")))))</f>
      </c>
    </row>
    <row r="1341">
      <c r="A1341" s="13"/>
      <c r="B1341" s="10"/>
      <c r="C1341" s="9"/>
      <c r="D1341" s="20"/>
      <c r="E1341" s="9">
        <f>IF($D1341="","",IFERROR(VLOOKUP($D1341,'Plan comptable'!$H:$I,2,FALSE),"compte hors plan"))</f>
      </c>
      <c r="F1341" s="9"/>
      <c r="G1341" s="10"/>
      <c r="H1341" s="11"/>
      <c r="I1341" s="11"/>
      <c r="J1341" s="10">
        <f>IF($D1341="","",IF(AND($H1341&lt;&gt;"",$I1341&lt;&gt;""),"débit ET crédit",IF(AND($H1341="",$I1341=""),"montant manquant",IF(ISNA(MATCH($D1341,'Plan comptable'!$H:$H,0)),"compte hors plan",IF(AND($A1341&lt;&gt;"",YEAR($A1341)&lt;&gt;Exercice),"hors exercice","")))))</f>
      </c>
    </row>
    <row r="1342">
      <c r="A1342" s="13"/>
      <c r="B1342" s="10"/>
      <c r="C1342" s="9"/>
      <c r="D1342" s="20"/>
      <c r="E1342" s="9">
        <f>IF($D1342="","",IFERROR(VLOOKUP($D1342,'Plan comptable'!$H:$I,2,FALSE),"compte hors plan"))</f>
      </c>
      <c r="F1342" s="9"/>
      <c r="G1342" s="10"/>
      <c r="H1342" s="11"/>
      <c r="I1342" s="11"/>
      <c r="J1342" s="10">
        <f>IF($D1342="","",IF(AND($H1342&lt;&gt;"",$I1342&lt;&gt;""),"débit ET crédit",IF(AND($H1342="",$I1342=""),"montant manquant",IF(ISNA(MATCH($D1342,'Plan comptable'!$H:$H,0)),"compte hors plan",IF(AND($A1342&lt;&gt;"",YEAR($A1342)&lt;&gt;Exercice),"hors exercice","")))))</f>
      </c>
    </row>
    <row r="1343">
      <c r="A1343" s="13"/>
      <c r="B1343" s="10"/>
      <c r="C1343" s="9"/>
      <c r="D1343" s="20"/>
      <c r="E1343" s="9">
        <f>IF($D1343="","",IFERROR(VLOOKUP($D1343,'Plan comptable'!$H:$I,2,FALSE),"compte hors plan"))</f>
      </c>
      <c r="F1343" s="9"/>
      <c r="G1343" s="10"/>
      <c r="H1343" s="11"/>
      <c r="I1343" s="11"/>
      <c r="J1343" s="10">
        <f>IF($D1343="","",IF(AND($H1343&lt;&gt;"",$I1343&lt;&gt;""),"débit ET crédit",IF(AND($H1343="",$I1343=""),"montant manquant",IF(ISNA(MATCH($D1343,'Plan comptable'!$H:$H,0)),"compte hors plan",IF(AND($A1343&lt;&gt;"",YEAR($A1343)&lt;&gt;Exercice),"hors exercice","")))))</f>
      </c>
    </row>
    <row r="1344">
      <c r="A1344" s="13"/>
      <c r="B1344" s="10"/>
      <c r="C1344" s="9"/>
      <c r="D1344" s="20"/>
      <c r="E1344" s="9">
        <f>IF($D1344="","",IFERROR(VLOOKUP($D1344,'Plan comptable'!$H:$I,2,FALSE),"compte hors plan"))</f>
      </c>
      <c r="F1344" s="9"/>
      <c r="G1344" s="10"/>
      <c r="H1344" s="11"/>
      <c r="I1344" s="11"/>
      <c r="J1344" s="10">
        <f>IF($D1344="","",IF(AND($H1344&lt;&gt;"",$I1344&lt;&gt;""),"débit ET crédit",IF(AND($H1344="",$I1344=""),"montant manquant",IF(ISNA(MATCH($D1344,'Plan comptable'!$H:$H,0)),"compte hors plan",IF(AND($A1344&lt;&gt;"",YEAR($A1344)&lt;&gt;Exercice),"hors exercice","")))))</f>
      </c>
    </row>
    <row r="1345">
      <c r="A1345" s="13"/>
      <c r="B1345" s="10"/>
      <c r="C1345" s="9"/>
      <c r="D1345" s="20"/>
      <c r="E1345" s="9">
        <f>IF($D1345="","",IFERROR(VLOOKUP($D1345,'Plan comptable'!$H:$I,2,FALSE),"compte hors plan"))</f>
      </c>
      <c r="F1345" s="9"/>
      <c r="G1345" s="10"/>
      <c r="H1345" s="11"/>
      <c r="I1345" s="11"/>
      <c r="J1345" s="10">
        <f>IF($D1345="","",IF(AND($H1345&lt;&gt;"",$I1345&lt;&gt;""),"débit ET crédit",IF(AND($H1345="",$I1345=""),"montant manquant",IF(ISNA(MATCH($D1345,'Plan comptable'!$H:$H,0)),"compte hors plan",IF(AND($A1345&lt;&gt;"",YEAR($A1345)&lt;&gt;Exercice),"hors exercice","")))))</f>
      </c>
    </row>
    <row r="1346">
      <c r="A1346" s="13"/>
      <c r="B1346" s="10"/>
      <c r="C1346" s="9"/>
      <c r="D1346" s="20"/>
      <c r="E1346" s="9">
        <f>IF($D1346="","",IFERROR(VLOOKUP($D1346,'Plan comptable'!$H:$I,2,FALSE),"compte hors plan"))</f>
      </c>
      <c r="F1346" s="9"/>
      <c r="G1346" s="10"/>
      <c r="H1346" s="11"/>
      <c r="I1346" s="11"/>
      <c r="J1346" s="10">
        <f>IF($D1346="","",IF(AND($H1346&lt;&gt;"",$I1346&lt;&gt;""),"débit ET crédit",IF(AND($H1346="",$I1346=""),"montant manquant",IF(ISNA(MATCH($D1346,'Plan comptable'!$H:$H,0)),"compte hors plan",IF(AND($A1346&lt;&gt;"",YEAR($A1346)&lt;&gt;Exercice),"hors exercice","")))))</f>
      </c>
    </row>
    <row r="1347">
      <c r="A1347" s="13"/>
      <c r="B1347" s="10"/>
      <c r="C1347" s="9"/>
      <c r="D1347" s="20"/>
      <c r="E1347" s="9">
        <f>IF($D1347="","",IFERROR(VLOOKUP($D1347,'Plan comptable'!$H:$I,2,FALSE),"compte hors plan"))</f>
      </c>
      <c r="F1347" s="9"/>
      <c r="G1347" s="10"/>
      <c r="H1347" s="11"/>
      <c r="I1347" s="11"/>
      <c r="J1347" s="10">
        <f>IF($D1347="","",IF(AND($H1347&lt;&gt;"",$I1347&lt;&gt;""),"débit ET crédit",IF(AND($H1347="",$I1347=""),"montant manquant",IF(ISNA(MATCH($D1347,'Plan comptable'!$H:$H,0)),"compte hors plan",IF(AND($A1347&lt;&gt;"",YEAR($A1347)&lt;&gt;Exercice),"hors exercice","")))))</f>
      </c>
    </row>
    <row r="1348">
      <c r="A1348" s="13"/>
      <c r="B1348" s="10"/>
      <c r="C1348" s="9"/>
      <c r="D1348" s="20"/>
      <c r="E1348" s="9">
        <f>IF($D1348="","",IFERROR(VLOOKUP($D1348,'Plan comptable'!$H:$I,2,FALSE),"compte hors plan"))</f>
      </c>
      <c r="F1348" s="9"/>
      <c r="G1348" s="10"/>
      <c r="H1348" s="11"/>
      <c r="I1348" s="11"/>
      <c r="J1348" s="10">
        <f>IF($D1348="","",IF(AND($H1348&lt;&gt;"",$I1348&lt;&gt;""),"débit ET crédit",IF(AND($H1348="",$I1348=""),"montant manquant",IF(ISNA(MATCH($D1348,'Plan comptable'!$H:$H,0)),"compte hors plan",IF(AND($A1348&lt;&gt;"",YEAR($A1348)&lt;&gt;Exercice),"hors exercice","")))))</f>
      </c>
    </row>
    <row r="1349">
      <c r="A1349" s="13"/>
      <c r="B1349" s="10"/>
      <c r="C1349" s="9"/>
      <c r="D1349" s="20"/>
      <c r="E1349" s="9">
        <f>IF($D1349="","",IFERROR(VLOOKUP($D1349,'Plan comptable'!$H:$I,2,FALSE),"compte hors plan"))</f>
      </c>
      <c r="F1349" s="9"/>
      <c r="G1349" s="10"/>
      <c r="H1349" s="11"/>
      <c r="I1349" s="11"/>
      <c r="J1349" s="10">
        <f>IF($D1349="","",IF(AND($H1349&lt;&gt;"",$I1349&lt;&gt;""),"débit ET crédit",IF(AND($H1349="",$I1349=""),"montant manquant",IF(ISNA(MATCH($D1349,'Plan comptable'!$H:$H,0)),"compte hors plan",IF(AND($A1349&lt;&gt;"",YEAR($A1349)&lt;&gt;Exercice),"hors exercice","")))))</f>
      </c>
    </row>
    <row r="1350">
      <c r="A1350" s="13"/>
      <c r="B1350" s="10"/>
      <c r="C1350" s="9"/>
      <c r="D1350" s="20"/>
      <c r="E1350" s="9">
        <f>IF($D1350="","",IFERROR(VLOOKUP($D1350,'Plan comptable'!$H:$I,2,FALSE),"compte hors plan"))</f>
      </c>
      <c r="F1350" s="9"/>
      <c r="G1350" s="10"/>
      <c r="H1350" s="11"/>
      <c r="I1350" s="11"/>
      <c r="J1350" s="10">
        <f>IF($D1350="","",IF(AND($H1350&lt;&gt;"",$I1350&lt;&gt;""),"débit ET crédit",IF(AND($H1350="",$I1350=""),"montant manquant",IF(ISNA(MATCH($D1350,'Plan comptable'!$H:$H,0)),"compte hors plan",IF(AND($A1350&lt;&gt;"",YEAR($A1350)&lt;&gt;Exercice),"hors exercice","")))))</f>
      </c>
    </row>
    <row r="1351">
      <c r="A1351" s="13"/>
      <c r="B1351" s="10"/>
      <c r="C1351" s="9"/>
      <c r="D1351" s="20"/>
      <c r="E1351" s="9">
        <f>IF($D1351="","",IFERROR(VLOOKUP($D1351,'Plan comptable'!$H:$I,2,FALSE),"compte hors plan"))</f>
      </c>
      <c r="F1351" s="9"/>
      <c r="G1351" s="10"/>
      <c r="H1351" s="11"/>
      <c r="I1351" s="11"/>
      <c r="J1351" s="10">
        <f>IF($D1351="","",IF(AND($H1351&lt;&gt;"",$I1351&lt;&gt;""),"débit ET crédit",IF(AND($H1351="",$I1351=""),"montant manquant",IF(ISNA(MATCH($D1351,'Plan comptable'!$H:$H,0)),"compte hors plan",IF(AND($A1351&lt;&gt;"",YEAR($A1351)&lt;&gt;Exercice),"hors exercice","")))))</f>
      </c>
    </row>
    <row r="1352">
      <c r="A1352" s="13"/>
      <c r="B1352" s="10"/>
      <c r="C1352" s="9"/>
      <c r="D1352" s="20"/>
      <c r="E1352" s="9">
        <f>IF($D1352="","",IFERROR(VLOOKUP($D1352,'Plan comptable'!$H:$I,2,FALSE),"compte hors plan"))</f>
      </c>
      <c r="F1352" s="9"/>
      <c r="G1352" s="10"/>
      <c r="H1352" s="11"/>
      <c r="I1352" s="11"/>
      <c r="J1352" s="10">
        <f>IF($D1352="","",IF(AND($H1352&lt;&gt;"",$I1352&lt;&gt;""),"débit ET crédit",IF(AND($H1352="",$I1352=""),"montant manquant",IF(ISNA(MATCH($D1352,'Plan comptable'!$H:$H,0)),"compte hors plan",IF(AND($A1352&lt;&gt;"",YEAR($A1352)&lt;&gt;Exercice),"hors exercice","")))))</f>
      </c>
    </row>
    <row r="1353">
      <c r="A1353" s="13"/>
      <c r="B1353" s="10"/>
      <c r="C1353" s="9"/>
      <c r="D1353" s="20"/>
      <c r="E1353" s="9">
        <f>IF($D1353="","",IFERROR(VLOOKUP($D1353,'Plan comptable'!$H:$I,2,FALSE),"compte hors plan"))</f>
      </c>
      <c r="F1353" s="9"/>
      <c r="G1353" s="10"/>
      <c r="H1353" s="11"/>
      <c r="I1353" s="11"/>
      <c r="J1353" s="10">
        <f>IF($D1353="","",IF(AND($H1353&lt;&gt;"",$I1353&lt;&gt;""),"débit ET crédit",IF(AND($H1353="",$I1353=""),"montant manquant",IF(ISNA(MATCH($D1353,'Plan comptable'!$H:$H,0)),"compte hors plan",IF(AND($A1353&lt;&gt;"",YEAR($A1353)&lt;&gt;Exercice),"hors exercice","")))))</f>
      </c>
    </row>
    <row r="1354">
      <c r="A1354" s="13"/>
      <c r="B1354" s="10"/>
      <c r="C1354" s="9"/>
      <c r="D1354" s="20"/>
      <c r="E1354" s="9">
        <f>IF($D1354="","",IFERROR(VLOOKUP($D1354,'Plan comptable'!$H:$I,2,FALSE),"compte hors plan"))</f>
      </c>
      <c r="F1354" s="9"/>
      <c r="G1354" s="10"/>
      <c r="H1354" s="11"/>
      <c r="I1354" s="11"/>
      <c r="J1354" s="10">
        <f>IF($D1354="","",IF(AND($H1354&lt;&gt;"",$I1354&lt;&gt;""),"débit ET crédit",IF(AND($H1354="",$I1354=""),"montant manquant",IF(ISNA(MATCH($D1354,'Plan comptable'!$H:$H,0)),"compte hors plan",IF(AND($A1354&lt;&gt;"",YEAR($A1354)&lt;&gt;Exercice),"hors exercice","")))))</f>
      </c>
    </row>
    <row r="1355">
      <c r="A1355" s="13"/>
      <c r="B1355" s="10"/>
      <c r="C1355" s="9"/>
      <c r="D1355" s="20"/>
      <c r="E1355" s="9">
        <f>IF($D1355="","",IFERROR(VLOOKUP($D1355,'Plan comptable'!$H:$I,2,FALSE),"compte hors plan"))</f>
      </c>
      <c r="F1355" s="9"/>
      <c r="G1355" s="10"/>
      <c r="H1355" s="11"/>
      <c r="I1355" s="11"/>
      <c r="J1355" s="10">
        <f>IF($D1355="","",IF(AND($H1355&lt;&gt;"",$I1355&lt;&gt;""),"débit ET crédit",IF(AND($H1355="",$I1355=""),"montant manquant",IF(ISNA(MATCH($D1355,'Plan comptable'!$H:$H,0)),"compte hors plan",IF(AND($A1355&lt;&gt;"",YEAR($A1355)&lt;&gt;Exercice),"hors exercice","")))))</f>
      </c>
    </row>
    <row r="1356">
      <c r="A1356" s="13"/>
      <c r="B1356" s="10"/>
      <c r="C1356" s="9"/>
      <c r="D1356" s="20"/>
      <c r="E1356" s="9">
        <f>IF($D1356="","",IFERROR(VLOOKUP($D1356,'Plan comptable'!$H:$I,2,FALSE),"compte hors plan"))</f>
      </c>
      <c r="F1356" s="9"/>
      <c r="G1356" s="10"/>
      <c r="H1356" s="11"/>
      <c r="I1356" s="11"/>
      <c r="J1356" s="10">
        <f>IF($D1356="","",IF(AND($H1356&lt;&gt;"",$I1356&lt;&gt;""),"débit ET crédit",IF(AND($H1356="",$I1356=""),"montant manquant",IF(ISNA(MATCH($D1356,'Plan comptable'!$H:$H,0)),"compte hors plan",IF(AND($A1356&lt;&gt;"",YEAR($A1356)&lt;&gt;Exercice),"hors exercice","")))))</f>
      </c>
    </row>
    <row r="1357">
      <c r="A1357" s="13"/>
      <c r="B1357" s="10"/>
      <c r="C1357" s="9"/>
      <c r="D1357" s="20"/>
      <c r="E1357" s="9">
        <f>IF($D1357="","",IFERROR(VLOOKUP($D1357,'Plan comptable'!$H:$I,2,FALSE),"compte hors plan"))</f>
      </c>
      <c r="F1357" s="9"/>
      <c r="G1357" s="10"/>
      <c r="H1357" s="11"/>
      <c r="I1357" s="11"/>
      <c r="J1357" s="10">
        <f>IF($D1357="","",IF(AND($H1357&lt;&gt;"",$I1357&lt;&gt;""),"débit ET crédit",IF(AND($H1357="",$I1357=""),"montant manquant",IF(ISNA(MATCH($D1357,'Plan comptable'!$H:$H,0)),"compte hors plan",IF(AND($A1357&lt;&gt;"",YEAR($A1357)&lt;&gt;Exercice),"hors exercice","")))))</f>
      </c>
    </row>
    <row r="1358">
      <c r="A1358" s="13"/>
      <c r="B1358" s="10"/>
      <c r="C1358" s="9"/>
      <c r="D1358" s="20"/>
      <c r="E1358" s="9">
        <f>IF($D1358="","",IFERROR(VLOOKUP($D1358,'Plan comptable'!$H:$I,2,FALSE),"compte hors plan"))</f>
      </c>
      <c r="F1358" s="9"/>
      <c r="G1358" s="10"/>
      <c r="H1358" s="11"/>
      <c r="I1358" s="11"/>
      <c r="J1358" s="10">
        <f>IF($D1358="","",IF(AND($H1358&lt;&gt;"",$I1358&lt;&gt;""),"débit ET crédit",IF(AND($H1358="",$I1358=""),"montant manquant",IF(ISNA(MATCH($D1358,'Plan comptable'!$H:$H,0)),"compte hors plan",IF(AND($A1358&lt;&gt;"",YEAR($A1358)&lt;&gt;Exercice),"hors exercice","")))))</f>
      </c>
    </row>
    <row r="1359">
      <c r="A1359" s="13"/>
      <c r="B1359" s="10"/>
      <c r="C1359" s="9"/>
      <c r="D1359" s="20"/>
      <c r="E1359" s="9">
        <f>IF($D1359="","",IFERROR(VLOOKUP($D1359,'Plan comptable'!$H:$I,2,FALSE),"compte hors plan"))</f>
      </c>
      <c r="F1359" s="9"/>
      <c r="G1359" s="10"/>
      <c r="H1359" s="11"/>
      <c r="I1359" s="11"/>
      <c r="J1359" s="10">
        <f>IF($D1359="","",IF(AND($H1359&lt;&gt;"",$I1359&lt;&gt;""),"débit ET crédit",IF(AND($H1359="",$I1359=""),"montant manquant",IF(ISNA(MATCH($D1359,'Plan comptable'!$H:$H,0)),"compte hors plan",IF(AND($A1359&lt;&gt;"",YEAR($A1359)&lt;&gt;Exercice),"hors exercice","")))))</f>
      </c>
    </row>
    <row r="1360">
      <c r="A1360" s="13"/>
      <c r="B1360" s="10"/>
      <c r="C1360" s="9"/>
      <c r="D1360" s="20"/>
      <c r="E1360" s="9">
        <f>IF($D1360="","",IFERROR(VLOOKUP($D1360,'Plan comptable'!$H:$I,2,FALSE),"compte hors plan"))</f>
      </c>
      <c r="F1360" s="9"/>
      <c r="G1360" s="10"/>
      <c r="H1360" s="11"/>
      <c r="I1360" s="11"/>
      <c r="J1360" s="10">
        <f>IF($D1360="","",IF(AND($H1360&lt;&gt;"",$I1360&lt;&gt;""),"débit ET crédit",IF(AND($H1360="",$I1360=""),"montant manquant",IF(ISNA(MATCH($D1360,'Plan comptable'!$H:$H,0)),"compte hors plan",IF(AND($A1360&lt;&gt;"",YEAR($A1360)&lt;&gt;Exercice),"hors exercice","")))))</f>
      </c>
    </row>
    <row r="1361">
      <c r="A1361" s="13"/>
      <c r="B1361" s="10"/>
      <c r="C1361" s="9"/>
      <c r="D1361" s="20"/>
      <c r="E1361" s="9">
        <f>IF($D1361="","",IFERROR(VLOOKUP($D1361,'Plan comptable'!$H:$I,2,FALSE),"compte hors plan"))</f>
      </c>
      <c r="F1361" s="9"/>
      <c r="G1361" s="10"/>
      <c r="H1361" s="11"/>
      <c r="I1361" s="11"/>
      <c r="J1361" s="10">
        <f>IF($D1361="","",IF(AND($H1361&lt;&gt;"",$I1361&lt;&gt;""),"débit ET crédit",IF(AND($H1361="",$I1361=""),"montant manquant",IF(ISNA(MATCH($D1361,'Plan comptable'!$H:$H,0)),"compte hors plan",IF(AND($A1361&lt;&gt;"",YEAR($A1361)&lt;&gt;Exercice),"hors exercice","")))))</f>
      </c>
    </row>
    <row r="1362">
      <c r="A1362" s="13"/>
      <c r="B1362" s="10"/>
      <c r="C1362" s="9"/>
      <c r="D1362" s="20"/>
      <c r="E1362" s="9">
        <f>IF($D1362="","",IFERROR(VLOOKUP($D1362,'Plan comptable'!$H:$I,2,FALSE),"compte hors plan"))</f>
      </c>
      <c r="F1362" s="9"/>
      <c r="G1362" s="10"/>
      <c r="H1362" s="11"/>
      <c r="I1362" s="11"/>
      <c r="J1362" s="10">
        <f>IF($D1362="","",IF(AND($H1362&lt;&gt;"",$I1362&lt;&gt;""),"débit ET crédit",IF(AND($H1362="",$I1362=""),"montant manquant",IF(ISNA(MATCH($D1362,'Plan comptable'!$H:$H,0)),"compte hors plan",IF(AND($A1362&lt;&gt;"",YEAR($A1362)&lt;&gt;Exercice),"hors exercice","")))))</f>
      </c>
    </row>
    <row r="1363">
      <c r="A1363" s="13"/>
      <c r="B1363" s="10"/>
      <c r="C1363" s="9"/>
      <c r="D1363" s="20"/>
      <c r="E1363" s="9">
        <f>IF($D1363="","",IFERROR(VLOOKUP($D1363,'Plan comptable'!$H:$I,2,FALSE),"compte hors plan"))</f>
      </c>
      <c r="F1363" s="9"/>
      <c r="G1363" s="10"/>
      <c r="H1363" s="11"/>
      <c r="I1363" s="11"/>
      <c r="J1363" s="10">
        <f>IF($D1363="","",IF(AND($H1363&lt;&gt;"",$I1363&lt;&gt;""),"débit ET crédit",IF(AND($H1363="",$I1363=""),"montant manquant",IF(ISNA(MATCH($D1363,'Plan comptable'!$H:$H,0)),"compte hors plan",IF(AND($A1363&lt;&gt;"",YEAR($A1363)&lt;&gt;Exercice),"hors exercice","")))))</f>
      </c>
    </row>
    <row r="1364">
      <c r="A1364" s="13"/>
      <c r="B1364" s="10"/>
      <c r="C1364" s="9"/>
      <c r="D1364" s="20"/>
      <c r="E1364" s="9">
        <f>IF($D1364="","",IFERROR(VLOOKUP($D1364,'Plan comptable'!$H:$I,2,FALSE),"compte hors plan"))</f>
      </c>
      <c r="F1364" s="9"/>
      <c r="G1364" s="10"/>
      <c r="H1364" s="11"/>
      <c r="I1364" s="11"/>
      <c r="J1364" s="10">
        <f>IF($D1364="","",IF(AND($H1364&lt;&gt;"",$I1364&lt;&gt;""),"débit ET crédit",IF(AND($H1364="",$I1364=""),"montant manquant",IF(ISNA(MATCH($D1364,'Plan comptable'!$H:$H,0)),"compte hors plan",IF(AND($A1364&lt;&gt;"",YEAR($A1364)&lt;&gt;Exercice),"hors exercice","")))))</f>
      </c>
    </row>
    <row r="1365">
      <c r="A1365" s="13"/>
      <c r="B1365" s="10"/>
      <c r="C1365" s="9"/>
      <c r="D1365" s="20"/>
      <c r="E1365" s="9">
        <f>IF($D1365="","",IFERROR(VLOOKUP($D1365,'Plan comptable'!$H:$I,2,FALSE),"compte hors plan"))</f>
      </c>
      <c r="F1365" s="9"/>
      <c r="G1365" s="10"/>
      <c r="H1365" s="11"/>
      <c r="I1365" s="11"/>
      <c r="J1365" s="10">
        <f>IF($D1365="","",IF(AND($H1365&lt;&gt;"",$I1365&lt;&gt;""),"débit ET crédit",IF(AND($H1365="",$I1365=""),"montant manquant",IF(ISNA(MATCH($D1365,'Plan comptable'!$H:$H,0)),"compte hors plan",IF(AND($A1365&lt;&gt;"",YEAR($A1365)&lt;&gt;Exercice),"hors exercice","")))))</f>
      </c>
    </row>
    <row r="1366">
      <c r="A1366" s="13"/>
      <c r="B1366" s="10"/>
      <c r="C1366" s="9"/>
      <c r="D1366" s="20"/>
      <c r="E1366" s="9">
        <f>IF($D1366="","",IFERROR(VLOOKUP($D1366,'Plan comptable'!$H:$I,2,FALSE),"compte hors plan"))</f>
      </c>
      <c r="F1366" s="9"/>
      <c r="G1366" s="10"/>
      <c r="H1366" s="11"/>
      <c r="I1366" s="11"/>
      <c r="J1366" s="10">
        <f>IF($D1366="","",IF(AND($H1366&lt;&gt;"",$I1366&lt;&gt;""),"débit ET crédit",IF(AND($H1366="",$I1366=""),"montant manquant",IF(ISNA(MATCH($D1366,'Plan comptable'!$H:$H,0)),"compte hors plan",IF(AND($A1366&lt;&gt;"",YEAR($A1366)&lt;&gt;Exercice),"hors exercice","")))))</f>
      </c>
    </row>
    <row r="1367">
      <c r="A1367" s="13"/>
      <c r="B1367" s="10"/>
      <c r="C1367" s="9"/>
      <c r="D1367" s="20"/>
      <c r="E1367" s="9">
        <f>IF($D1367="","",IFERROR(VLOOKUP($D1367,'Plan comptable'!$H:$I,2,FALSE),"compte hors plan"))</f>
      </c>
      <c r="F1367" s="9"/>
      <c r="G1367" s="10"/>
      <c r="H1367" s="11"/>
      <c r="I1367" s="11"/>
      <c r="J1367" s="10">
        <f>IF($D1367="","",IF(AND($H1367&lt;&gt;"",$I1367&lt;&gt;""),"débit ET crédit",IF(AND($H1367="",$I1367=""),"montant manquant",IF(ISNA(MATCH($D1367,'Plan comptable'!$H:$H,0)),"compte hors plan",IF(AND($A1367&lt;&gt;"",YEAR($A1367)&lt;&gt;Exercice),"hors exercice","")))))</f>
      </c>
    </row>
    <row r="1368">
      <c r="A1368" s="13"/>
      <c r="B1368" s="10"/>
      <c r="C1368" s="9"/>
      <c r="D1368" s="20"/>
      <c r="E1368" s="9">
        <f>IF($D1368="","",IFERROR(VLOOKUP($D1368,'Plan comptable'!$H:$I,2,FALSE),"compte hors plan"))</f>
      </c>
      <c r="F1368" s="9"/>
      <c r="G1368" s="10"/>
      <c r="H1368" s="11"/>
      <c r="I1368" s="11"/>
      <c r="J1368" s="10">
        <f>IF($D1368="","",IF(AND($H1368&lt;&gt;"",$I1368&lt;&gt;""),"débit ET crédit",IF(AND($H1368="",$I1368=""),"montant manquant",IF(ISNA(MATCH($D1368,'Plan comptable'!$H:$H,0)),"compte hors plan",IF(AND($A1368&lt;&gt;"",YEAR($A1368)&lt;&gt;Exercice),"hors exercice","")))))</f>
      </c>
    </row>
    <row r="1369">
      <c r="A1369" s="13"/>
      <c r="B1369" s="10"/>
      <c r="C1369" s="9"/>
      <c r="D1369" s="20"/>
      <c r="E1369" s="9">
        <f>IF($D1369="","",IFERROR(VLOOKUP($D1369,'Plan comptable'!$H:$I,2,FALSE),"compte hors plan"))</f>
      </c>
      <c r="F1369" s="9"/>
      <c r="G1369" s="10"/>
      <c r="H1369" s="11"/>
      <c r="I1369" s="11"/>
      <c r="J1369" s="10">
        <f>IF($D1369="","",IF(AND($H1369&lt;&gt;"",$I1369&lt;&gt;""),"débit ET crédit",IF(AND($H1369="",$I1369=""),"montant manquant",IF(ISNA(MATCH($D1369,'Plan comptable'!$H:$H,0)),"compte hors plan",IF(AND($A1369&lt;&gt;"",YEAR($A1369)&lt;&gt;Exercice),"hors exercice","")))))</f>
      </c>
    </row>
    <row r="1370">
      <c r="A1370" s="13"/>
      <c r="B1370" s="10"/>
      <c r="C1370" s="9"/>
      <c r="D1370" s="20"/>
      <c r="E1370" s="9">
        <f>IF($D1370="","",IFERROR(VLOOKUP($D1370,'Plan comptable'!$H:$I,2,FALSE),"compte hors plan"))</f>
      </c>
      <c r="F1370" s="9"/>
      <c r="G1370" s="10"/>
      <c r="H1370" s="11"/>
      <c r="I1370" s="11"/>
      <c r="J1370" s="10">
        <f>IF($D1370="","",IF(AND($H1370&lt;&gt;"",$I1370&lt;&gt;""),"débit ET crédit",IF(AND($H1370="",$I1370=""),"montant manquant",IF(ISNA(MATCH($D1370,'Plan comptable'!$H:$H,0)),"compte hors plan",IF(AND($A1370&lt;&gt;"",YEAR($A1370)&lt;&gt;Exercice),"hors exercice","")))))</f>
      </c>
    </row>
    <row r="1371">
      <c r="A1371" s="13"/>
      <c r="B1371" s="10"/>
      <c r="C1371" s="9"/>
      <c r="D1371" s="20"/>
      <c r="E1371" s="9">
        <f>IF($D1371="","",IFERROR(VLOOKUP($D1371,'Plan comptable'!$H:$I,2,FALSE),"compte hors plan"))</f>
      </c>
      <c r="F1371" s="9"/>
      <c r="G1371" s="10"/>
      <c r="H1371" s="11"/>
      <c r="I1371" s="11"/>
      <c r="J1371" s="10">
        <f>IF($D1371="","",IF(AND($H1371&lt;&gt;"",$I1371&lt;&gt;""),"débit ET crédit",IF(AND($H1371="",$I1371=""),"montant manquant",IF(ISNA(MATCH($D1371,'Plan comptable'!$H:$H,0)),"compte hors plan",IF(AND($A1371&lt;&gt;"",YEAR($A1371)&lt;&gt;Exercice),"hors exercice","")))))</f>
      </c>
    </row>
    <row r="1372">
      <c r="A1372" s="13"/>
      <c r="B1372" s="10"/>
      <c r="C1372" s="9"/>
      <c r="D1372" s="20"/>
      <c r="E1372" s="9">
        <f>IF($D1372="","",IFERROR(VLOOKUP($D1372,'Plan comptable'!$H:$I,2,FALSE),"compte hors plan"))</f>
      </c>
      <c r="F1372" s="9"/>
      <c r="G1372" s="10"/>
      <c r="H1372" s="11"/>
      <c r="I1372" s="11"/>
      <c r="J1372" s="10">
        <f>IF($D1372="","",IF(AND($H1372&lt;&gt;"",$I1372&lt;&gt;""),"débit ET crédit",IF(AND($H1372="",$I1372=""),"montant manquant",IF(ISNA(MATCH($D1372,'Plan comptable'!$H:$H,0)),"compte hors plan",IF(AND($A1372&lt;&gt;"",YEAR($A1372)&lt;&gt;Exercice),"hors exercice","")))))</f>
      </c>
    </row>
    <row r="1373">
      <c r="A1373" s="13"/>
      <c r="B1373" s="10"/>
      <c r="C1373" s="9"/>
      <c r="D1373" s="20"/>
      <c r="E1373" s="9">
        <f>IF($D1373="","",IFERROR(VLOOKUP($D1373,'Plan comptable'!$H:$I,2,FALSE),"compte hors plan"))</f>
      </c>
      <c r="F1373" s="9"/>
      <c r="G1373" s="10"/>
      <c r="H1373" s="11"/>
      <c r="I1373" s="11"/>
      <c r="J1373" s="10">
        <f>IF($D1373="","",IF(AND($H1373&lt;&gt;"",$I1373&lt;&gt;""),"débit ET crédit",IF(AND($H1373="",$I1373=""),"montant manquant",IF(ISNA(MATCH($D1373,'Plan comptable'!$H:$H,0)),"compte hors plan",IF(AND($A1373&lt;&gt;"",YEAR($A1373)&lt;&gt;Exercice),"hors exercice","")))))</f>
      </c>
    </row>
    <row r="1374">
      <c r="A1374" s="13"/>
      <c r="B1374" s="10"/>
      <c r="C1374" s="9"/>
      <c r="D1374" s="20"/>
      <c r="E1374" s="9">
        <f>IF($D1374="","",IFERROR(VLOOKUP($D1374,'Plan comptable'!$H:$I,2,FALSE),"compte hors plan"))</f>
      </c>
      <c r="F1374" s="9"/>
      <c r="G1374" s="10"/>
      <c r="H1374" s="11"/>
      <c r="I1374" s="11"/>
      <c r="J1374" s="10">
        <f>IF($D1374="","",IF(AND($H1374&lt;&gt;"",$I1374&lt;&gt;""),"débit ET crédit",IF(AND($H1374="",$I1374=""),"montant manquant",IF(ISNA(MATCH($D1374,'Plan comptable'!$H:$H,0)),"compte hors plan",IF(AND($A1374&lt;&gt;"",YEAR($A1374)&lt;&gt;Exercice),"hors exercice","")))))</f>
      </c>
    </row>
    <row r="1375">
      <c r="A1375" s="13"/>
      <c r="B1375" s="10"/>
      <c r="C1375" s="9"/>
      <c r="D1375" s="20"/>
      <c r="E1375" s="9">
        <f>IF($D1375="","",IFERROR(VLOOKUP($D1375,'Plan comptable'!$H:$I,2,FALSE),"compte hors plan"))</f>
      </c>
      <c r="F1375" s="9"/>
      <c r="G1375" s="10"/>
      <c r="H1375" s="11"/>
      <c r="I1375" s="11"/>
      <c r="J1375" s="10">
        <f>IF($D1375="","",IF(AND($H1375&lt;&gt;"",$I1375&lt;&gt;""),"débit ET crédit",IF(AND($H1375="",$I1375=""),"montant manquant",IF(ISNA(MATCH($D1375,'Plan comptable'!$H:$H,0)),"compte hors plan",IF(AND($A1375&lt;&gt;"",YEAR($A1375)&lt;&gt;Exercice),"hors exercice","")))))</f>
      </c>
    </row>
    <row r="1376">
      <c r="A1376" s="13"/>
      <c r="B1376" s="10"/>
      <c r="C1376" s="9"/>
      <c r="D1376" s="20"/>
      <c r="E1376" s="9">
        <f>IF($D1376="","",IFERROR(VLOOKUP($D1376,'Plan comptable'!$H:$I,2,FALSE),"compte hors plan"))</f>
      </c>
      <c r="F1376" s="9"/>
      <c r="G1376" s="10"/>
      <c r="H1376" s="11"/>
      <c r="I1376" s="11"/>
      <c r="J1376" s="10">
        <f>IF($D1376="","",IF(AND($H1376&lt;&gt;"",$I1376&lt;&gt;""),"débit ET crédit",IF(AND($H1376="",$I1376=""),"montant manquant",IF(ISNA(MATCH($D1376,'Plan comptable'!$H:$H,0)),"compte hors plan",IF(AND($A1376&lt;&gt;"",YEAR($A1376)&lt;&gt;Exercice),"hors exercice","")))))</f>
      </c>
    </row>
    <row r="1377">
      <c r="A1377" s="13"/>
      <c r="B1377" s="10"/>
      <c r="C1377" s="9"/>
      <c r="D1377" s="20"/>
      <c r="E1377" s="9">
        <f>IF($D1377="","",IFERROR(VLOOKUP($D1377,'Plan comptable'!$H:$I,2,FALSE),"compte hors plan"))</f>
      </c>
      <c r="F1377" s="9"/>
      <c r="G1377" s="10"/>
      <c r="H1377" s="11"/>
      <c r="I1377" s="11"/>
      <c r="J1377" s="10">
        <f>IF($D1377="","",IF(AND($H1377&lt;&gt;"",$I1377&lt;&gt;""),"débit ET crédit",IF(AND($H1377="",$I1377=""),"montant manquant",IF(ISNA(MATCH($D1377,'Plan comptable'!$H:$H,0)),"compte hors plan",IF(AND($A1377&lt;&gt;"",YEAR($A1377)&lt;&gt;Exercice),"hors exercice","")))))</f>
      </c>
    </row>
    <row r="1378">
      <c r="A1378" s="13"/>
      <c r="B1378" s="10"/>
      <c r="C1378" s="9"/>
      <c r="D1378" s="20"/>
      <c r="E1378" s="9">
        <f>IF($D1378="","",IFERROR(VLOOKUP($D1378,'Plan comptable'!$H:$I,2,FALSE),"compte hors plan"))</f>
      </c>
      <c r="F1378" s="9"/>
      <c r="G1378" s="10"/>
      <c r="H1378" s="11"/>
      <c r="I1378" s="11"/>
      <c r="J1378" s="10">
        <f>IF($D1378="","",IF(AND($H1378&lt;&gt;"",$I1378&lt;&gt;""),"débit ET crédit",IF(AND($H1378="",$I1378=""),"montant manquant",IF(ISNA(MATCH($D1378,'Plan comptable'!$H:$H,0)),"compte hors plan",IF(AND($A1378&lt;&gt;"",YEAR($A1378)&lt;&gt;Exercice),"hors exercice","")))))</f>
      </c>
    </row>
    <row r="1379">
      <c r="A1379" s="13"/>
      <c r="B1379" s="10"/>
      <c r="C1379" s="9"/>
      <c r="D1379" s="20"/>
      <c r="E1379" s="9">
        <f>IF($D1379="","",IFERROR(VLOOKUP($D1379,'Plan comptable'!$H:$I,2,FALSE),"compte hors plan"))</f>
      </c>
      <c r="F1379" s="9"/>
      <c r="G1379" s="10"/>
      <c r="H1379" s="11"/>
      <c r="I1379" s="11"/>
      <c r="J1379" s="10">
        <f>IF($D1379="","",IF(AND($H1379&lt;&gt;"",$I1379&lt;&gt;""),"débit ET crédit",IF(AND($H1379="",$I1379=""),"montant manquant",IF(ISNA(MATCH($D1379,'Plan comptable'!$H:$H,0)),"compte hors plan",IF(AND($A1379&lt;&gt;"",YEAR($A1379)&lt;&gt;Exercice),"hors exercice","")))))</f>
      </c>
    </row>
    <row r="1380">
      <c r="A1380" s="13"/>
      <c r="B1380" s="10"/>
      <c r="C1380" s="9"/>
      <c r="D1380" s="20"/>
      <c r="E1380" s="9">
        <f>IF($D1380="","",IFERROR(VLOOKUP($D1380,'Plan comptable'!$H:$I,2,FALSE),"compte hors plan"))</f>
      </c>
      <c r="F1380" s="9"/>
      <c r="G1380" s="10"/>
      <c r="H1380" s="11"/>
      <c r="I1380" s="11"/>
      <c r="J1380" s="10">
        <f>IF($D1380="","",IF(AND($H1380&lt;&gt;"",$I1380&lt;&gt;""),"débit ET crédit",IF(AND($H1380="",$I1380=""),"montant manquant",IF(ISNA(MATCH($D1380,'Plan comptable'!$H:$H,0)),"compte hors plan",IF(AND($A1380&lt;&gt;"",YEAR($A1380)&lt;&gt;Exercice),"hors exercice","")))))</f>
      </c>
    </row>
    <row r="1381">
      <c r="A1381" s="13"/>
      <c r="B1381" s="10"/>
      <c r="C1381" s="9"/>
      <c r="D1381" s="20"/>
      <c r="E1381" s="9">
        <f>IF($D1381="","",IFERROR(VLOOKUP($D1381,'Plan comptable'!$H:$I,2,FALSE),"compte hors plan"))</f>
      </c>
      <c r="F1381" s="9"/>
      <c r="G1381" s="10"/>
      <c r="H1381" s="11"/>
      <c r="I1381" s="11"/>
      <c r="J1381" s="10">
        <f>IF($D1381="","",IF(AND($H1381&lt;&gt;"",$I1381&lt;&gt;""),"débit ET crédit",IF(AND($H1381="",$I1381=""),"montant manquant",IF(ISNA(MATCH($D1381,'Plan comptable'!$H:$H,0)),"compte hors plan",IF(AND($A1381&lt;&gt;"",YEAR($A1381)&lt;&gt;Exercice),"hors exercice","")))))</f>
      </c>
    </row>
    <row r="1382">
      <c r="A1382" s="13"/>
      <c r="B1382" s="10"/>
      <c r="C1382" s="9"/>
      <c r="D1382" s="20"/>
      <c r="E1382" s="9">
        <f>IF($D1382="","",IFERROR(VLOOKUP($D1382,'Plan comptable'!$H:$I,2,FALSE),"compte hors plan"))</f>
      </c>
      <c r="F1382" s="9"/>
      <c r="G1382" s="10"/>
      <c r="H1382" s="11"/>
      <c r="I1382" s="11"/>
      <c r="J1382" s="10">
        <f>IF($D1382="","",IF(AND($H1382&lt;&gt;"",$I1382&lt;&gt;""),"débit ET crédit",IF(AND($H1382="",$I1382=""),"montant manquant",IF(ISNA(MATCH($D1382,'Plan comptable'!$H:$H,0)),"compte hors plan",IF(AND($A1382&lt;&gt;"",YEAR($A1382)&lt;&gt;Exercice),"hors exercice","")))))</f>
      </c>
    </row>
    <row r="1383">
      <c r="A1383" s="13"/>
      <c r="B1383" s="10"/>
      <c r="C1383" s="9"/>
      <c r="D1383" s="20"/>
      <c r="E1383" s="9">
        <f>IF($D1383="","",IFERROR(VLOOKUP($D1383,'Plan comptable'!$H:$I,2,FALSE),"compte hors plan"))</f>
      </c>
      <c r="F1383" s="9"/>
      <c r="G1383" s="10"/>
      <c r="H1383" s="11"/>
      <c r="I1383" s="11"/>
      <c r="J1383" s="10">
        <f>IF($D1383="","",IF(AND($H1383&lt;&gt;"",$I1383&lt;&gt;""),"débit ET crédit",IF(AND($H1383="",$I1383=""),"montant manquant",IF(ISNA(MATCH($D1383,'Plan comptable'!$H:$H,0)),"compte hors plan",IF(AND($A1383&lt;&gt;"",YEAR($A1383)&lt;&gt;Exercice),"hors exercice","")))))</f>
      </c>
    </row>
    <row r="1384">
      <c r="A1384" s="13"/>
      <c r="B1384" s="10"/>
      <c r="C1384" s="9"/>
      <c r="D1384" s="20"/>
      <c r="E1384" s="9">
        <f>IF($D1384="","",IFERROR(VLOOKUP($D1384,'Plan comptable'!$H:$I,2,FALSE),"compte hors plan"))</f>
      </c>
      <c r="F1384" s="9"/>
      <c r="G1384" s="10"/>
      <c r="H1384" s="11"/>
      <c r="I1384" s="11"/>
      <c r="J1384" s="10">
        <f>IF($D1384="","",IF(AND($H1384&lt;&gt;"",$I1384&lt;&gt;""),"débit ET crédit",IF(AND($H1384="",$I1384=""),"montant manquant",IF(ISNA(MATCH($D1384,'Plan comptable'!$H:$H,0)),"compte hors plan",IF(AND($A1384&lt;&gt;"",YEAR($A1384)&lt;&gt;Exercice),"hors exercice","")))))</f>
      </c>
    </row>
    <row r="1385">
      <c r="A1385" s="13"/>
      <c r="B1385" s="10"/>
      <c r="C1385" s="9"/>
      <c r="D1385" s="20"/>
      <c r="E1385" s="9">
        <f>IF($D1385="","",IFERROR(VLOOKUP($D1385,'Plan comptable'!$H:$I,2,FALSE),"compte hors plan"))</f>
      </c>
      <c r="F1385" s="9"/>
      <c r="G1385" s="10"/>
      <c r="H1385" s="11"/>
      <c r="I1385" s="11"/>
      <c r="J1385" s="10">
        <f>IF($D1385="","",IF(AND($H1385&lt;&gt;"",$I1385&lt;&gt;""),"débit ET crédit",IF(AND($H1385="",$I1385=""),"montant manquant",IF(ISNA(MATCH($D1385,'Plan comptable'!$H:$H,0)),"compte hors plan",IF(AND($A1385&lt;&gt;"",YEAR($A1385)&lt;&gt;Exercice),"hors exercice","")))))</f>
      </c>
    </row>
    <row r="1386">
      <c r="A1386" s="13"/>
      <c r="B1386" s="10"/>
      <c r="C1386" s="9"/>
      <c r="D1386" s="20"/>
      <c r="E1386" s="9">
        <f>IF($D1386="","",IFERROR(VLOOKUP($D1386,'Plan comptable'!$H:$I,2,FALSE),"compte hors plan"))</f>
      </c>
      <c r="F1386" s="9"/>
      <c r="G1386" s="10"/>
      <c r="H1386" s="11"/>
      <c r="I1386" s="11"/>
      <c r="J1386" s="10">
        <f>IF($D1386="","",IF(AND($H1386&lt;&gt;"",$I1386&lt;&gt;""),"débit ET crédit",IF(AND($H1386="",$I1386=""),"montant manquant",IF(ISNA(MATCH($D1386,'Plan comptable'!$H:$H,0)),"compte hors plan",IF(AND($A1386&lt;&gt;"",YEAR($A1386)&lt;&gt;Exercice),"hors exercice","")))))</f>
      </c>
    </row>
    <row r="1387">
      <c r="A1387" s="13"/>
      <c r="B1387" s="10"/>
      <c r="C1387" s="9"/>
      <c r="D1387" s="20"/>
      <c r="E1387" s="9">
        <f>IF($D1387="","",IFERROR(VLOOKUP($D1387,'Plan comptable'!$H:$I,2,FALSE),"compte hors plan"))</f>
      </c>
      <c r="F1387" s="9"/>
      <c r="G1387" s="10"/>
      <c r="H1387" s="11"/>
      <c r="I1387" s="11"/>
      <c r="J1387" s="10">
        <f>IF($D1387="","",IF(AND($H1387&lt;&gt;"",$I1387&lt;&gt;""),"débit ET crédit",IF(AND($H1387="",$I1387=""),"montant manquant",IF(ISNA(MATCH($D1387,'Plan comptable'!$H:$H,0)),"compte hors plan",IF(AND($A1387&lt;&gt;"",YEAR($A1387)&lt;&gt;Exercice),"hors exercice","")))))</f>
      </c>
    </row>
    <row r="1388">
      <c r="A1388" s="13"/>
      <c r="B1388" s="10"/>
      <c r="C1388" s="9"/>
      <c r="D1388" s="20"/>
      <c r="E1388" s="9">
        <f>IF($D1388="","",IFERROR(VLOOKUP($D1388,'Plan comptable'!$H:$I,2,FALSE),"compte hors plan"))</f>
      </c>
      <c r="F1388" s="9"/>
      <c r="G1388" s="10"/>
      <c r="H1388" s="11"/>
      <c r="I1388" s="11"/>
      <c r="J1388" s="10">
        <f>IF($D1388="","",IF(AND($H1388&lt;&gt;"",$I1388&lt;&gt;""),"débit ET crédit",IF(AND($H1388="",$I1388=""),"montant manquant",IF(ISNA(MATCH($D1388,'Plan comptable'!$H:$H,0)),"compte hors plan",IF(AND($A1388&lt;&gt;"",YEAR($A1388)&lt;&gt;Exercice),"hors exercice","")))))</f>
      </c>
    </row>
    <row r="1389">
      <c r="A1389" s="13"/>
      <c r="B1389" s="10"/>
      <c r="C1389" s="9"/>
      <c r="D1389" s="20"/>
      <c r="E1389" s="9">
        <f>IF($D1389="","",IFERROR(VLOOKUP($D1389,'Plan comptable'!$H:$I,2,FALSE),"compte hors plan"))</f>
      </c>
      <c r="F1389" s="9"/>
      <c r="G1389" s="10"/>
      <c r="H1389" s="11"/>
      <c r="I1389" s="11"/>
      <c r="J1389" s="10">
        <f>IF($D1389="","",IF(AND($H1389&lt;&gt;"",$I1389&lt;&gt;""),"débit ET crédit",IF(AND($H1389="",$I1389=""),"montant manquant",IF(ISNA(MATCH($D1389,'Plan comptable'!$H:$H,0)),"compte hors plan",IF(AND($A1389&lt;&gt;"",YEAR($A1389)&lt;&gt;Exercice),"hors exercice","")))))</f>
      </c>
    </row>
    <row r="1390">
      <c r="A1390" s="13"/>
      <c r="B1390" s="10"/>
      <c r="C1390" s="9"/>
      <c r="D1390" s="20"/>
      <c r="E1390" s="9">
        <f>IF($D1390="","",IFERROR(VLOOKUP($D1390,'Plan comptable'!$H:$I,2,FALSE),"compte hors plan"))</f>
      </c>
      <c r="F1390" s="9"/>
      <c r="G1390" s="10"/>
      <c r="H1390" s="11"/>
      <c r="I1390" s="11"/>
      <c r="J1390" s="10">
        <f>IF($D1390="","",IF(AND($H1390&lt;&gt;"",$I1390&lt;&gt;""),"débit ET crédit",IF(AND($H1390="",$I1390=""),"montant manquant",IF(ISNA(MATCH($D1390,'Plan comptable'!$H:$H,0)),"compte hors plan",IF(AND($A1390&lt;&gt;"",YEAR($A1390)&lt;&gt;Exercice),"hors exercice","")))))</f>
      </c>
    </row>
    <row r="1391">
      <c r="A1391" s="13"/>
      <c r="B1391" s="10"/>
      <c r="C1391" s="9"/>
      <c r="D1391" s="20"/>
      <c r="E1391" s="9">
        <f>IF($D1391="","",IFERROR(VLOOKUP($D1391,'Plan comptable'!$H:$I,2,FALSE),"compte hors plan"))</f>
      </c>
      <c r="F1391" s="9"/>
      <c r="G1391" s="10"/>
      <c r="H1391" s="11"/>
      <c r="I1391" s="11"/>
      <c r="J1391" s="10">
        <f>IF($D1391="","",IF(AND($H1391&lt;&gt;"",$I1391&lt;&gt;""),"débit ET crédit",IF(AND($H1391="",$I1391=""),"montant manquant",IF(ISNA(MATCH($D1391,'Plan comptable'!$H:$H,0)),"compte hors plan",IF(AND($A1391&lt;&gt;"",YEAR($A1391)&lt;&gt;Exercice),"hors exercice","")))))</f>
      </c>
    </row>
    <row r="1392">
      <c r="A1392" s="13"/>
      <c r="B1392" s="10"/>
      <c r="C1392" s="9"/>
      <c r="D1392" s="20"/>
      <c r="E1392" s="9">
        <f>IF($D1392="","",IFERROR(VLOOKUP($D1392,'Plan comptable'!$H:$I,2,FALSE),"compte hors plan"))</f>
      </c>
      <c r="F1392" s="9"/>
      <c r="G1392" s="10"/>
      <c r="H1392" s="11"/>
      <c r="I1392" s="11"/>
      <c r="J1392" s="10">
        <f>IF($D1392="","",IF(AND($H1392&lt;&gt;"",$I1392&lt;&gt;""),"débit ET crédit",IF(AND($H1392="",$I1392=""),"montant manquant",IF(ISNA(MATCH($D1392,'Plan comptable'!$H:$H,0)),"compte hors plan",IF(AND($A1392&lt;&gt;"",YEAR($A1392)&lt;&gt;Exercice),"hors exercice","")))))</f>
      </c>
    </row>
    <row r="1393">
      <c r="A1393" s="13"/>
      <c r="B1393" s="10"/>
      <c r="C1393" s="9"/>
      <c r="D1393" s="20"/>
      <c r="E1393" s="9">
        <f>IF($D1393="","",IFERROR(VLOOKUP($D1393,'Plan comptable'!$H:$I,2,FALSE),"compte hors plan"))</f>
      </c>
      <c r="F1393" s="9"/>
      <c r="G1393" s="10"/>
      <c r="H1393" s="11"/>
      <c r="I1393" s="11"/>
      <c r="J1393" s="10">
        <f>IF($D1393="","",IF(AND($H1393&lt;&gt;"",$I1393&lt;&gt;""),"débit ET crédit",IF(AND($H1393="",$I1393=""),"montant manquant",IF(ISNA(MATCH($D1393,'Plan comptable'!$H:$H,0)),"compte hors plan",IF(AND($A1393&lt;&gt;"",YEAR($A1393)&lt;&gt;Exercice),"hors exercice","")))))</f>
      </c>
    </row>
    <row r="1394">
      <c r="A1394" s="13"/>
      <c r="B1394" s="10"/>
      <c r="C1394" s="9"/>
      <c r="D1394" s="20"/>
      <c r="E1394" s="9">
        <f>IF($D1394="","",IFERROR(VLOOKUP($D1394,'Plan comptable'!$H:$I,2,FALSE),"compte hors plan"))</f>
      </c>
      <c r="F1394" s="9"/>
      <c r="G1394" s="10"/>
      <c r="H1394" s="11"/>
      <c r="I1394" s="11"/>
      <c r="J1394" s="10">
        <f>IF($D1394="","",IF(AND($H1394&lt;&gt;"",$I1394&lt;&gt;""),"débit ET crédit",IF(AND($H1394="",$I1394=""),"montant manquant",IF(ISNA(MATCH($D1394,'Plan comptable'!$H:$H,0)),"compte hors plan",IF(AND($A1394&lt;&gt;"",YEAR($A1394)&lt;&gt;Exercice),"hors exercice","")))))</f>
      </c>
    </row>
    <row r="1395">
      <c r="A1395" s="13"/>
      <c r="B1395" s="10"/>
      <c r="C1395" s="9"/>
      <c r="D1395" s="20"/>
      <c r="E1395" s="9">
        <f>IF($D1395="","",IFERROR(VLOOKUP($D1395,'Plan comptable'!$H:$I,2,FALSE),"compte hors plan"))</f>
      </c>
      <c r="F1395" s="9"/>
      <c r="G1395" s="10"/>
      <c r="H1395" s="11"/>
      <c r="I1395" s="11"/>
      <c r="J1395" s="10">
        <f>IF($D1395="","",IF(AND($H1395&lt;&gt;"",$I1395&lt;&gt;""),"débit ET crédit",IF(AND($H1395="",$I1395=""),"montant manquant",IF(ISNA(MATCH($D1395,'Plan comptable'!$H:$H,0)),"compte hors plan",IF(AND($A1395&lt;&gt;"",YEAR($A1395)&lt;&gt;Exercice),"hors exercice","")))))</f>
      </c>
    </row>
    <row r="1396">
      <c r="A1396" s="13"/>
      <c r="B1396" s="10"/>
      <c r="C1396" s="9"/>
      <c r="D1396" s="20"/>
      <c r="E1396" s="9">
        <f>IF($D1396="","",IFERROR(VLOOKUP($D1396,'Plan comptable'!$H:$I,2,FALSE),"compte hors plan"))</f>
      </c>
      <c r="F1396" s="9"/>
      <c r="G1396" s="10"/>
      <c r="H1396" s="11"/>
      <c r="I1396" s="11"/>
      <c r="J1396" s="10">
        <f>IF($D1396="","",IF(AND($H1396&lt;&gt;"",$I1396&lt;&gt;""),"débit ET crédit",IF(AND($H1396="",$I1396=""),"montant manquant",IF(ISNA(MATCH($D1396,'Plan comptable'!$H:$H,0)),"compte hors plan",IF(AND($A1396&lt;&gt;"",YEAR($A1396)&lt;&gt;Exercice),"hors exercice","")))))</f>
      </c>
    </row>
    <row r="1397">
      <c r="A1397" s="13"/>
      <c r="B1397" s="10"/>
      <c r="C1397" s="9"/>
      <c r="D1397" s="20"/>
      <c r="E1397" s="9">
        <f>IF($D1397="","",IFERROR(VLOOKUP($D1397,'Plan comptable'!$H:$I,2,FALSE),"compte hors plan"))</f>
      </c>
      <c r="F1397" s="9"/>
      <c r="G1397" s="10"/>
      <c r="H1397" s="11"/>
      <c r="I1397" s="11"/>
      <c r="J1397" s="10">
        <f>IF($D1397="","",IF(AND($H1397&lt;&gt;"",$I1397&lt;&gt;""),"débit ET crédit",IF(AND($H1397="",$I1397=""),"montant manquant",IF(ISNA(MATCH($D1397,'Plan comptable'!$H:$H,0)),"compte hors plan",IF(AND($A1397&lt;&gt;"",YEAR($A1397)&lt;&gt;Exercice),"hors exercice","")))))</f>
      </c>
    </row>
    <row r="1398">
      <c r="A1398" s="13"/>
      <c r="B1398" s="10"/>
      <c r="C1398" s="9"/>
      <c r="D1398" s="20"/>
      <c r="E1398" s="9">
        <f>IF($D1398="","",IFERROR(VLOOKUP($D1398,'Plan comptable'!$H:$I,2,FALSE),"compte hors plan"))</f>
      </c>
      <c r="F1398" s="9"/>
      <c r="G1398" s="10"/>
      <c r="H1398" s="11"/>
      <c r="I1398" s="11"/>
      <c r="J1398" s="10">
        <f>IF($D1398="","",IF(AND($H1398&lt;&gt;"",$I1398&lt;&gt;""),"débit ET crédit",IF(AND($H1398="",$I1398=""),"montant manquant",IF(ISNA(MATCH($D1398,'Plan comptable'!$H:$H,0)),"compte hors plan",IF(AND($A1398&lt;&gt;"",YEAR($A1398)&lt;&gt;Exercice),"hors exercice","")))))</f>
      </c>
    </row>
    <row r="1399">
      <c r="A1399" s="13"/>
      <c r="B1399" s="10"/>
      <c r="C1399" s="9"/>
      <c r="D1399" s="20"/>
      <c r="E1399" s="9">
        <f>IF($D1399="","",IFERROR(VLOOKUP($D1399,'Plan comptable'!$H:$I,2,FALSE),"compte hors plan"))</f>
      </c>
      <c r="F1399" s="9"/>
      <c r="G1399" s="10"/>
      <c r="H1399" s="11"/>
      <c r="I1399" s="11"/>
      <c r="J1399" s="10">
        <f>IF($D1399="","",IF(AND($H1399&lt;&gt;"",$I1399&lt;&gt;""),"débit ET crédit",IF(AND($H1399="",$I1399=""),"montant manquant",IF(ISNA(MATCH($D1399,'Plan comptable'!$H:$H,0)),"compte hors plan",IF(AND($A1399&lt;&gt;"",YEAR($A1399)&lt;&gt;Exercice),"hors exercice","")))))</f>
      </c>
    </row>
    <row r="1400">
      <c r="A1400" s="13"/>
      <c r="B1400" s="10"/>
      <c r="C1400" s="9"/>
      <c r="D1400" s="20"/>
      <c r="E1400" s="9">
        <f>IF($D1400="","",IFERROR(VLOOKUP($D1400,'Plan comptable'!$H:$I,2,FALSE),"compte hors plan"))</f>
      </c>
      <c r="F1400" s="9"/>
      <c r="G1400" s="10"/>
      <c r="H1400" s="11"/>
      <c r="I1400" s="11"/>
      <c r="J1400" s="10">
        <f>IF($D1400="","",IF(AND($H1400&lt;&gt;"",$I1400&lt;&gt;""),"débit ET crédit",IF(AND($H1400="",$I1400=""),"montant manquant",IF(ISNA(MATCH($D1400,'Plan comptable'!$H:$H,0)),"compte hors plan",IF(AND($A1400&lt;&gt;"",YEAR($A1400)&lt;&gt;Exercice),"hors exercice","")))))</f>
      </c>
    </row>
    <row r="1401">
      <c r="A1401" s="13"/>
      <c r="B1401" s="10"/>
      <c r="C1401" s="9"/>
      <c r="D1401" s="20"/>
      <c r="E1401" s="9">
        <f>IF($D1401="","",IFERROR(VLOOKUP($D1401,'Plan comptable'!$H:$I,2,FALSE),"compte hors plan"))</f>
      </c>
      <c r="F1401" s="9"/>
      <c r="G1401" s="10"/>
      <c r="H1401" s="11"/>
      <c r="I1401" s="11"/>
      <c r="J1401" s="10">
        <f>IF($D1401="","",IF(AND($H1401&lt;&gt;"",$I1401&lt;&gt;""),"débit ET crédit",IF(AND($H1401="",$I1401=""),"montant manquant",IF(ISNA(MATCH($D1401,'Plan comptable'!$H:$H,0)),"compte hors plan",IF(AND($A1401&lt;&gt;"",YEAR($A1401)&lt;&gt;Exercice),"hors exercice","")))))</f>
      </c>
    </row>
    <row r="1402">
      <c r="A1402" s="13"/>
      <c r="B1402" s="10"/>
      <c r="C1402" s="9"/>
      <c r="D1402" s="20"/>
      <c r="E1402" s="9">
        <f>IF($D1402="","",IFERROR(VLOOKUP($D1402,'Plan comptable'!$H:$I,2,FALSE),"compte hors plan"))</f>
      </c>
      <c r="F1402" s="9"/>
      <c r="G1402" s="10"/>
      <c r="H1402" s="11"/>
      <c r="I1402" s="11"/>
      <c r="J1402" s="10">
        <f>IF($D1402="","",IF(AND($H1402&lt;&gt;"",$I1402&lt;&gt;""),"débit ET crédit",IF(AND($H1402="",$I1402=""),"montant manquant",IF(ISNA(MATCH($D1402,'Plan comptable'!$H:$H,0)),"compte hors plan",IF(AND($A1402&lt;&gt;"",YEAR($A1402)&lt;&gt;Exercice),"hors exercice","")))))</f>
      </c>
    </row>
    <row r="1403">
      <c r="A1403" s="13"/>
      <c r="B1403" s="10"/>
      <c r="C1403" s="9"/>
      <c r="D1403" s="20"/>
      <c r="E1403" s="9">
        <f>IF($D1403="","",IFERROR(VLOOKUP($D1403,'Plan comptable'!$H:$I,2,FALSE),"compte hors plan"))</f>
      </c>
      <c r="F1403" s="9"/>
      <c r="G1403" s="10"/>
      <c r="H1403" s="11"/>
      <c r="I1403" s="11"/>
      <c r="J1403" s="10">
        <f>IF($D1403="","",IF(AND($H1403&lt;&gt;"",$I1403&lt;&gt;""),"débit ET crédit",IF(AND($H1403="",$I1403=""),"montant manquant",IF(ISNA(MATCH($D1403,'Plan comptable'!$H:$H,0)),"compte hors plan",IF(AND($A1403&lt;&gt;"",YEAR($A1403)&lt;&gt;Exercice),"hors exercice","")))))</f>
      </c>
    </row>
    <row r="1404">
      <c r="A1404" s="13"/>
      <c r="B1404" s="10"/>
      <c r="C1404" s="9"/>
      <c r="D1404" s="20"/>
      <c r="E1404" s="9">
        <f>IF($D1404="","",IFERROR(VLOOKUP($D1404,'Plan comptable'!$H:$I,2,FALSE),"compte hors plan"))</f>
      </c>
      <c r="F1404" s="9"/>
      <c r="G1404" s="10"/>
      <c r="H1404" s="11"/>
      <c r="I1404" s="11"/>
      <c r="J1404" s="10">
        <f>IF($D1404="","",IF(AND($H1404&lt;&gt;"",$I1404&lt;&gt;""),"débit ET crédit",IF(AND($H1404="",$I1404=""),"montant manquant",IF(ISNA(MATCH($D1404,'Plan comptable'!$H:$H,0)),"compte hors plan",IF(AND($A1404&lt;&gt;"",YEAR($A1404)&lt;&gt;Exercice),"hors exercice","")))))</f>
      </c>
    </row>
    <row r="1405">
      <c r="A1405" s="13"/>
      <c r="B1405" s="10"/>
      <c r="C1405" s="9"/>
      <c r="D1405" s="20"/>
      <c r="E1405" s="9">
        <f>IF($D1405="","",IFERROR(VLOOKUP($D1405,'Plan comptable'!$H:$I,2,FALSE),"compte hors plan"))</f>
      </c>
      <c r="F1405" s="9"/>
      <c r="G1405" s="10"/>
      <c r="H1405" s="11"/>
      <c r="I1405" s="11"/>
      <c r="J1405" s="10">
        <f>IF($D1405="","",IF(AND($H1405&lt;&gt;"",$I1405&lt;&gt;""),"débit ET crédit",IF(AND($H1405="",$I1405=""),"montant manquant",IF(ISNA(MATCH($D1405,'Plan comptable'!$H:$H,0)),"compte hors plan",IF(AND($A1405&lt;&gt;"",YEAR($A1405)&lt;&gt;Exercice),"hors exercice","")))))</f>
      </c>
    </row>
    <row r="1406">
      <c r="A1406" s="13"/>
      <c r="B1406" s="10"/>
      <c r="C1406" s="9"/>
      <c r="D1406" s="20"/>
      <c r="E1406" s="9">
        <f>IF($D1406="","",IFERROR(VLOOKUP($D1406,'Plan comptable'!$H:$I,2,FALSE),"compte hors plan"))</f>
      </c>
      <c r="F1406" s="9"/>
      <c r="G1406" s="10"/>
      <c r="H1406" s="11"/>
      <c r="I1406" s="11"/>
      <c r="J1406" s="10">
        <f>IF($D1406="","",IF(AND($H1406&lt;&gt;"",$I1406&lt;&gt;""),"débit ET crédit",IF(AND($H1406="",$I1406=""),"montant manquant",IF(ISNA(MATCH($D1406,'Plan comptable'!$H:$H,0)),"compte hors plan",IF(AND($A1406&lt;&gt;"",YEAR($A1406)&lt;&gt;Exercice),"hors exercice","")))))</f>
      </c>
    </row>
    <row r="1407">
      <c r="A1407" s="13"/>
      <c r="B1407" s="10"/>
      <c r="C1407" s="9"/>
      <c r="D1407" s="20"/>
      <c r="E1407" s="9">
        <f>IF($D1407="","",IFERROR(VLOOKUP($D1407,'Plan comptable'!$H:$I,2,FALSE),"compte hors plan"))</f>
      </c>
      <c r="F1407" s="9"/>
      <c r="G1407" s="10"/>
      <c r="H1407" s="11"/>
      <c r="I1407" s="11"/>
      <c r="J1407" s="10">
        <f>IF($D1407="","",IF(AND($H1407&lt;&gt;"",$I1407&lt;&gt;""),"débit ET crédit",IF(AND($H1407="",$I1407=""),"montant manquant",IF(ISNA(MATCH($D1407,'Plan comptable'!$H:$H,0)),"compte hors plan",IF(AND($A1407&lt;&gt;"",YEAR($A1407)&lt;&gt;Exercice),"hors exercice","")))))</f>
      </c>
    </row>
    <row r="1408">
      <c r="A1408" s="13"/>
      <c r="B1408" s="10"/>
      <c r="C1408" s="9"/>
      <c r="D1408" s="20"/>
      <c r="E1408" s="9">
        <f>IF($D1408="","",IFERROR(VLOOKUP($D1408,'Plan comptable'!$H:$I,2,FALSE),"compte hors plan"))</f>
      </c>
      <c r="F1408" s="9"/>
      <c r="G1408" s="10"/>
      <c r="H1408" s="11"/>
      <c r="I1408" s="11"/>
      <c r="J1408" s="10">
        <f>IF($D1408="","",IF(AND($H1408&lt;&gt;"",$I1408&lt;&gt;""),"débit ET crédit",IF(AND($H1408="",$I1408=""),"montant manquant",IF(ISNA(MATCH($D1408,'Plan comptable'!$H:$H,0)),"compte hors plan",IF(AND($A1408&lt;&gt;"",YEAR($A1408)&lt;&gt;Exercice),"hors exercice","")))))</f>
      </c>
    </row>
    <row r="1409">
      <c r="A1409" s="13"/>
      <c r="B1409" s="10"/>
      <c r="C1409" s="9"/>
      <c r="D1409" s="20"/>
      <c r="E1409" s="9">
        <f>IF($D1409="","",IFERROR(VLOOKUP($D1409,'Plan comptable'!$H:$I,2,FALSE),"compte hors plan"))</f>
      </c>
      <c r="F1409" s="9"/>
      <c r="G1409" s="10"/>
      <c r="H1409" s="11"/>
      <c r="I1409" s="11"/>
      <c r="J1409" s="10">
        <f>IF($D1409="","",IF(AND($H1409&lt;&gt;"",$I1409&lt;&gt;""),"débit ET crédit",IF(AND($H1409="",$I1409=""),"montant manquant",IF(ISNA(MATCH($D1409,'Plan comptable'!$H:$H,0)),"compte hors plan",IF(AND($A1409&lt;&gt;"",YEAR($A1409)&lt;&gt;Exercice),"hors exercice","")))))</f>
      </c>
    </row>
    <row r="1410">
      <c r="A1410" s="13"/>
      <c r="B1410" s="10"/>
      <c r="C1410" s="9"/>
      <c r="D1410" s="20"/>
      <c r="E1410" s="9">
        <f>IF($D1410="","",IFERROR(VLOOKUP($D1410,'Plan comptable'!$H:$I,2,FALSE),"compte hors plan"))</f>
      </c>
      <c r="F1410" s="9"/>
      <c r="G1410" s="10"/>
      <c r="H1410" s="11"/>
      <c r="I1410" s="11"/>
      <c r="J1410" s="10">
        <f>IF($D1410="","",IF(AND($H1410&lt;&gt;"",$I1410&lt;&gt;""),"débit ET crédit",IF(AND($H1410="",$I1410=""),"montant manquant",IF(ISNA(MATCH($D1410,'Plan comptable'!$H:$H,0)),"compte hors plan",IF(AND($A1410&lt;&gt;"",YEAR($A1410)&lt;&gt;Exercice),"hors exercice","")))))</f>
      </c>
    </row>
    <row r="1411">
      <c r="A1411" s="13"/>
      <c r="B1411" s="10"/>
      <c r="C1411" s="9"/>
      <c r="D1411" s="20"/>
      <c r="E1411" s="9">
        <f>IF($D1411="","",IFERROR(VLOOKUP($D1411,'Plan comptable'!$H:$I,2,FALSE),"compte hors plan"))</f>
      </c>
      <c r="F1411" s="9"/>
      <c r="G1411" s="10"/>
      <c r="H1411" s="11"/>
      <c r="I1411" s="11"/>
      <c r="J1411" s="10">
        <f>IF($D1411="","",IF(AND($H1411&lt;&gt;"",$I1411&lt;&gt;""),"débit ET crédit",IF(AND($H1411="",$I1411=""),"montant manquant",IF(ISNA(MATCH($D1411,'Plan comptable'!$H:$H,0)),"compte hors plan",IF(AND($A1411&lt;&gt;"",YEAR($A1411)&lt;&gt;Exercice),"hors exercice","")))))</f>
      </c>
    </row>
    <row r="1412">
      <c r="A1412" s="13"/>
      <c r="B1412" s="10"/>
      <c r="C1412" s="9"/>
      <c r="D1412" s="20"/>
      <c r="E1412" s="9">
        <f>IF($D1412="","",IFERROR(VLOOKUP($D1412,'Plan comptable'!$H:$I,2,FALSE),"compte hors plan"))</f>
      </c>
      <c r="F1412" s="9"/>
      <c r="G1412" s="10"/>
      <c r="H1412" s="11"/>
      <c r="I1412" s="11"/>
      <c r="J1412" s="10">
        <f>IF($D1412="","",IF(AND($H1412&lt;&gt;"",$I1412&lt;&gt;""),"débit ET crédit",IF(AND($H1412="",$I1412=""),"montant manquant",IF(ISNA(MATCH($D1412,'Plan comptable'!$H:$H,0)),"compte hors plan",IF(AND($A1412&lt;&gt;"",YEAR($A1412)&lt;&gt;Exercice),"hors exercice","")))))</f>
      </c>
    </row>
    <row r="1413">
      <c r="A1413" s="13"/>
      <c r="B1413" s="10"/>
      <c r="C1413" s="9"/>
      <c r="D1413" s="20"/>
      <c r="E1413" s="9">
        <f>IF($D1413="","",IFERROR(VLOOKUP($D1413,'Plan comptable'!$H:$I,2,FALSE),"compte hors plan"))</f>
      </c>
      <c r="F1413" s="9"/>
      <c r="G1413" s="10"/>
      <c r="H1413" s="11"/>
      <c r="I1413" s="11"/>
      <c r="J1413" s="10">
        <f>IF($D1413="","",IF(AND($H1413&lt;&gt;"",$I1413&lt;&gt;""),"débit ET crédit",IF(AND($H1413="",$I1413=""),"montant manquant",IF(ISNA(MATCH($D1413,'Plan comptable'!$H:$H,0)),"compte hors plan",IF(AND($A1413&lt;&gt;"",YEAR($A1413)&lt;&gt;Exercice),"hors exercice","")))))</f>
      </c>
    </row>
    <row r="1414">
      <c r="A1414" s="13"/>
      <c r="B1414" s="10"/>
      <c r="C1414" s="9"/>
      <c r="D1414" s="20"/>
      <c r="E1414" s="9">
        <f>IF($D1414="","",IFERROR(VLOOKUP($D1414,'Plan comptable'!$H:$I,2,FALSE),"compte hors plan"))</f>
      </c>
      <c r="F1414" s="9"/>
      <c r="G1414" s="10"/>
      <c r="H1414" s="11"/>
      <c r="I1414" s="11"/>
      <c r="J1414" s="10">
        <f>IF($D1414="","",IF(AND($H1414&lt;&gt;"",$I1414&lt;&gt;""),"débit ET crédit",IF(AND($H1414="",$I1414=""),"montant manquant",IF(ISNA(MATCH($D1414,'Plan comptable'!$H:$H,0)),"compte hors plan",IF(AND($A1414&lt;&gt;"",YEAR($A1414)&lt;&gt;Exercice),"hors exercice","")))))</f>
      </c>
    </row>
    <row r="1415">
      <c r="A1415" s="13"/>
      <c r="B1415" s="10"/>
      <c r="C1415" s="9"/>
      <c r="D1415" s="20"/>
      <c r="E1415" s="9">
        <f>IF($D1415="","",IFERROR(VLOOKUP($D1415,'Plan comptable'!$H:$I,2,FALSE),"compte hors plan"))</f>
      </c>
      <c r="F1415" s="9"/>
      <c r="G1415" s="10"/>
      <c r="H1415" s="11"/>
      <c r="I1415" s="11"/>
      <c r="J1415" s="10">
        <f>IF($D1415="","",IF(AND($H1415&lt;&gt;"",$I1415&lt;&gt;""),"débit ET crédit",IF(AND($H1415="",$I1415=""),"montant manquant",IF(ISNA(MATCH($D1415,'Plan comptable'!$H:$H,0)),"compte hors plan",IF(AND($A1415&lt;&gt;"",YEAR($A1415)&lt;&gt;Exercice),"hors exercice","")))))</f>
      </c>
    </row>
    <row r="1416">
      <c r="A1416" s="13"/>
      <c r="B1416" s="10"/>
      <c r="C1416" s="9"/>
      <c r="D1416" s="20"/>
      <c r="E1416" s="9">
        <f>IF($D1416="","",IFERROR(VLOOKUP($D1416,'Plan comptable'!$H:$I,2,FALSE),"compte hors plan"))</f>
      </c>
      <c r="F1416" s="9"/>
      <c r="G1416" s="10"/>
      <c r="H1416" s="11"/>
      <c r="I1416" s="11"/>
      <c r="J1416" s="10">
        <f>IF($D1416="","",IF(AND($H1416&lt;&gt;"",$I1416&lt;&gt;""),"débit ET crédit",IF(AND($H1416="",$I1416=""),"montant manquant",IF(ISNA(MATCH($D1416,'Plan comptable'!$H:$H,0)),"compte hors plan",IF(AND($A1416&lt;&gt;"",YEAR($A1416)&lt;&gt;Exercice),"hors exercice","")))))</f>
      </c>
    </row>
    <row r="1417">
      <c r="A1417" s="13"/>
      <c r="B1417" s="10"/>
      <c r="C1417" s="9"/>
      <c r="D1417" s="20"/>
      <c r="E1417" s="9">
        <f>IF($D1417="","",IFERROR(VLOOKUP($D1417,'Plan comptable'!$H:$I,2,FALSE),"compte hors plan"))</f>
      </c>
      <c r="F1417" s="9"/>
      <c r="G1417" s="10"/>
      <c r="H1417" s="11"/>
      <c r="I1417" s="11"/>
      <c r="J1417" s="10">
        <f>IF($D1417="","",IF(AND($H1417&lt;&gt;"",$I1417&lt;&gt;""),"débit ET crédit",IF(AND($H1417="",$I1417=""),"montant manquant",IF(ISNA(MATCH($D1417,'Plan comptable'!$H:$H,0)),"compte hors plan",IF(AND($A1417&lt;&gt;"",YEAR($A1417)&lt;&gt;Exercice),"hors exercice","")))))</f>
      </c>
    </row>
    <row r="1418">
      <c r="A1418" s="13"/>
      <c r="B1418" s="10"/>
      <c r="C1418" s="9"/>
      <c r="D1418" s="20"/>
      <c r="E1418" s="9">
        <f>IF($D1418="","",IFERROR(VLOOKUP($D1418,'Plan comptable'!$H:$I,2,FALSE),"compte hors plan"))</f>
      </c>
      <c r="F1418" s="9"/>
      <c r="G1418" s="10"/>
      <c r="H1418" s="11"/>
      <c r="I1418" s="11"/>
      <c r="J1418" s="10">
        <f>IF($D1418="","",IF(AND($H1418&lt;&gt;"",$I1418&lt;&gt;""),"débit ET crédit",IF(AND($H1418="",$I1418=""),"montant manquant",IF(ISNA(MATCH($D1418,'Plan comptable'!$H:$H,0)),"compte hors plan",IF(AND($A1418&lt;&gt;"",YEAR($A1418)&lt;&gt;Exercice),"hors exercice","")))))</f>
      </c>
    </row>
    <row r="1419">
      <c r="A1419" s="13"/>
      <c r="B1419" s="10"/>
      <c r="C1419" s="9"/>
      <c r="D1419" s="20"/>
      <c r="E1419" s="9">
        <f>IF($D1419="","",IFERROR(VLOOKUP($D1419,'Plan comptable'!$H:$I,2,FALSE),"compte hors plan"))</f>
      </c>
      <c r="F1419" s="9"/>
      <c r="G1419" s="10"/>
      <c r="H1419" s="11"/>
      <c r="I1419" s="11"/>
      <c r="J1419" s="10">
        <f>IF($D1419="","",IF(AND($H1419&lt;&gt;"",$I1419&lt;&gt;""),"débit ET crédit",IF(AND($H1419="",$I1419=""),"montant manquant",IF(ISNA(MATCH($D1419,'Plan comptable'!$H:$H,0)),"compte hors plan",IF(AND($A1419&lt;&gt;"",YEAR($A1419)&lt;&gt;Exercice),"hors exercice","")))))</f>
      </c>
    </row>
    <row r="1420">
      <c r="A1420" s="13"/>
      <c r="B1420" s="10"/>
      <c r="C1420" s="9"/>
      <c r="D1420" s="20"/>
      <c r="E1420" s="9">
        <f>IF($D1420="","",IFERROR(VLOOKUP($D1420,'Plan comptable'!$H:$I,2,FALSE),"compte hors plan"))</f>
      </c>
      <c r="F1420" s="9"/>
      <c r="G1420" s="10"/>
      <c r="H1420" s="11"/>
      <c r="I1420" s="11"/>
      <c r="J1420" s="10">
        <f>IF($D1420="","",IF(AND($H1420&lt;&gt;"",$I1420&lt;&gt;""),"débit ET crédit",IF(AND($H1420="",$I1420=""),"montant manquant",IF(ISNA(MATCH($D1420,'Plan comptable'!$H:$H,0)),"compte hors plan",IF(AND($A1420&lt;&gt;"",YEAR($A1420)&lt;&gt;Exercice),"hors exercice","")))))</f>
      </c>
    </row>
    <row r="1421">
      <c r="A1421" s="13"/>
      <c r="B1421" s="10"/>
      <c r="C1421" s="9"/>
      <c r="D1421" s="20"/>
      <c r="E1421" s="9">
        <f>IF($D1421="","",IFERROR(VLOOKUP($D1421,'Plan comptable'!$H:$I,2,FALSE),"compte hors plan"))</f>
      </c>
      <c r="F1421" s="9"/>
      <c r="G1421" s="10"/>
      <c r="H1421" s="11"/>
      <c r="I1421" s="11"/>
      <c r="J1421" s="10">
        <f>IF($D1421="","",IF(AND($H1421&lt;&gt;"",$I1421&lt;&gt;""),"débit ET crédit",IF(AND($H1421="",$I1421=""),"montant manquant",IF(ISNA(MATCH($D1421,'Plan comptable'!$H:$H,0)),"compte hors plan",IF(AND($A1421&lt;&gt;"",YEAR($A1421)&lt;&gt;Exercice),"hors exercice","")))))</f>
      </c>
    </row>
    <row r="1422">
      <c r="A1422" s="13"/>
      <c r="B1422" s="10"/>
      <c r="C1422" s="9"/>
      <c r="D1422" s="20"/>
      <c r="E1422" s="9">
        <f>IF($D1422="","",IFERROR(VLOOKUP($D1422,'Plan comptable'!$H:$I,2,FALSE),"compte hors plan"))</f>
      </c>
      <c r="F1422" s="9"/>
      <c r="G1422" s="10"/>
      <c r="H1422" s="11"/>
      <c r="I1422" s="11"/>
      <c r="J1422" s="10">
        <f>IF($D1422="","",IF(AND($H1422&lt;&gt;"",$I1422&lt;&gt;""),"débit ET crédit",IF(AND($H1422="",$I1422=""),"montant manquant",IF(ISNA(MATCH($D1422,'Plan comptable'!$H:$H,0)),"compte hors plan",IF(AND($A1422&lt;&gt;"",YEAR($A1422)&lt;&gt;Exercice),"hors exercice","")))))</f>
      </c>
    </row>
    <row r="1423">
      <c r="A1423" s="13"/>
      <c r="B1423" s="10"/>
      <c r="C1423" s="9"/>
      <c r="D1423" s="20"/>
      <c r="E1423" s="9">
        <f>IF($D1423="","",IFERROR(VLOOKUP($D1423,'Plan comptable'!$H:$I,2,FALSE),"compte hors plan"))</f>
      </c>
      <c r="F1423" s="9"/>
      <c r="G1423" s="10"/>
      <c r="H1423" s="11"/>
      <c r="I1423" s="11"/>
      <c r="J1423" s="10">
        <f>IF($D1423="","",IF(AND($H1423&lt;&gt;"",$I1423&lt;&gt;""),"débit ET crédit",IF(AND($H1423="",$I1423=""),"montant manquant",IF(ISNA(MATCH($D1423,'Plan comptable'!$H:$H,0)),"compte hors plan",IF(AND($A1423&lt;&gt;"",YEAR($A1423)&lt;&gt;Exercice),"hors exercice","")))))</f>
      </c>
    </row>
    <row r="1424">
      <c r="A1424" s="13"/>
      <c r="B1424" s="10"/>
      <c r="C1424" s="9"/>
      <c r="D1424" s="20"/>
      <c r="E1424" s="9">
        <f>IF($D1424="","",IFERROR(VLOOKUP($D1424,'Plan comptable'!$H:$I,2,FALSE),"compte hors plan"))</f>
      </c>
      <c r="F1424" s="9"/>
      <c r="G1424" s="10"/>
      <c r="H1424" s="11"/>
      <c r="I1424" s="11"/>
      <c r="J1424" s="10">
        <f>IF($D1424="","",IF(AND($H1424&lt;&gt;"",$I1424&lt;&gt;""),"débit ET crédit",IF(AND($H1424="",$I1424=""),"montant manquant",IF(ISNA(MATCH($D1424,'Plan comptable'!$H:$H,0)),"compte hors plan",IF(AND($A1424&lt;&gt;"",YEAR($A1424)&lt;&gt;Exercice),"hors exercice","")))))</f>
      </c>
    </row>
    <row r="1425">
      <c r="A1425" s="13"/>
      <c r="B1425" s="10"/>
      <c r="C1425" s="9"/>
      <c r="D1425" s="20"/>
      <c r="E1425" s="9">
        <f>IF($D1425="","",IFERROR(VLOOKUP($D1425,'Plan comptable'!$H:$I,2,FALSE),"compte hors plan"))</f>
      </c>
      <c r="F1425" s="9"/>
      <c r="G1425" s="10"/>
      <c r="H1425" s="11"/>
      <c r="I1425" s="11"/>
      <c r="J1425" s="10">
        <f>IF($D1425="","",IF(AND($H1425&lt;&gt;"",$I1425&lt;&gt;""),"débit ET crédit",IF(AND($H1425="",$I1425=""),"montant manquant",IF(ISNA(MATCH($D1425,'Plan comptable'!$H:$H,0)),"compte hors plan",IF(AND($A1425&lt;&gt;"",YEAR($A1425)&lt;&gt;Exercice),"hors exercice","")))))</f>
      </c>
    </row>
    <row r="1426">
      <c r="A1426" s="13"/>
      <c r="B1426" s="10"/>
      <c r="C1426" s="9"/>
      <c r="D1426" s="20"/>
      <c r="E1426" s="9">
        <f>IF($D1426="","",IFERROR(VLOOKUP($D1426,'Plan comptable'!$H:$I,2,FALSE),"compte hors plan"))</f>
      </c>
      <c r="F1426" s="9"/>
      <c r="G1426" s="10"/>
      <c r="H1426" s="11"/>
      <c r="I1426" s="11"/>
      <c r="J1426" s="10">
        <f>IF($D1426="","",IF(AND($H1426&lt;&gt;"",$I1426&lt;&gt;""),"débit ET crédit",IF(AND($H1426="",$I1426=""),"montant manquant",IF(ISNA(MATCH($D1426,'Plan comptable'!$H:$H,0)),"compte hors plan",IF(AND($A1426&lt;&gt;"",YEAR($A1426)&lt;&gt;Exercice),"hors exercice","")))))</f>
      </c>
    </row>
    <row r="1427">
      <c r="A1427" s="13"/>
      <c r="B1427" s="10"/>
      <c r="C1427" s="9"/>
      <c r="D1427" s="20"/>
      <c r="E1427" s="9">
        <f>IF($D1427="","",IFERROR(VLOOKUP($D1427,'Plan comptable'!$H:$I,2,FALSE),"compte hors plan"))</f>
      </c>
      <c r="F1427" s="9"/>
      <c r="G1427" s="10"/>
      <c r="H1427" s="11"/>
      <c r="I1427" s="11"/>
      <c r="J1427" s="10">
        <f>IF($D1427="","",IF(AND($H1427&lt;&gt;"",$I1427&lt;&gt;""),"débit ET crédit",IF(AND($H1427="",$I1427=""),"montant manquant",IF(ISNA(MATCH($D1427,'Plan comptable'!$H:$H,0)),"compte hors plan",IF(AND($A1427&lt;&gt;"",YEAR($A1427)&lt;&gt;Exercice),"hors exercice","")))))</f>
      </c>
    </row>
    <row r="1428">
      <c r="A1428" s="13"/>
      <c r="B1428" s="10"/>
      <c r="C1428" s="9"/>
      <c r="D1428" s="20"/>
      <c r="E1428" s="9">
        <f>IF($D1428="","",IFERROR(VLOOKUP($D1428,'Plan comptable'!$H:$I,2,FALSE),"compte hors plan"))</f>
      </c>
      <c r="F1428" s="9"/>
      <c r="G1428" s="10"/>
      <c r="H1428" s="11"/>
      <c r="I1428" s="11"/>
      <c r="J1428" s="10">
        <f>IF($D1428="","",IF(AND($H1428&lt;&gt;"",$I1428&lt;&gt;""),"débit ET crédit",IF(AND($H1428="",$I1428=""),"montant manquant",IF(ISNA(MATCH($D1428,'Plan comptable'!$H:$H,0)),"compte hors plan",IF(AND($A1428&lt;&gt;"",YEAR($A1428)&lt;&gt;Exercice),"hors exercice","")))))</f>
      </c>
    </row>
    <row r="1429">
      <c r="A1429" s="13"/>
      <c r="B1429" s="10"/>
      <c r="C1429" s="9"/>
      <c r="D1429" s="20"/>
      <c r="E1429" s="9">
        <f>IF($D1429="","",IFERROR(VLOOKUP($D1429,'Plan comptable'!$H:$I,2,FALSE),"compte hors plan"))</f>
      </c>
      <c r="F1429" s="9"/>
      <c r="G1429" s="10"/>
      <c r="H1429" s="11"/>
      <c r="I1429" s="11"/>
      <c r="J1429" s="10">
        <f>IF($D1429="","",IF(AND($H1429&lt;&gt;"",$I1429&lt;&gt;""),"débit ET crédit",IF(AND($H1429="",$I1429=""),"montant manquant",IF(ISNA(MATCH($D1429,'Plan comptable'!$H:$H,0)),"compte hors plan",IF(AND($A1429&lt;&gt;"",YEAR($A1429)&lt;&gt;Exercice),"hors exercice","")))))</f>
      </c>
    </row>
    <row r="1430">
      <c r="A1430" s="13"/>
      <c r="B1430" s="10"/>
      <c r="C1430" s="9"/>
      <c r="D1430" s="20"/>
      <c r="E1430" s="9">
        <f>IF($D1430="","",IFERROR(VLOOKUP($D1430,'Plan comptable'!$H:$I,2,FALSE),"compte hors plan"))</f>
      </c>
      <c r="F1430" s="9"/>
      <c r="G1430" s="10"/>
      <c r="H1430" s="11"/>
      <c r="I1430" s="11"/>
      <c r="J1430" s="10">
        <f>IF($D1430="","",IF(AND($H1430&lt;&gt;"",$I1430&lt;&gt;""),"débit ET crédit",IF(AND($H1430="",$I1430=""),"montant manquant",IF(ISNA(MATCH($D1430,'Plan comptable'!$H:$H,0)),"compte hors plan",IF(AND($A1430&lt;&gt;"",YEAR($A1430)&lt;&gt;Exercice),"hors exercice","")))))</f>
      </c>
    </row>
    <row r="1431">
      <c r="A1431" s="13"/>
      <c r="B1431" s="10"/>
      <c r="C1431" s="9"/>
      <c r="D1431" s="20"/>
      <c r="E1431" s="9">
        <f>IF($D1431="","",IFERROR(VLOOKUP($D1431,'Plan comptable'!$H:$I,2,FALSE),"compte hors plan"))</f>
      </c>
      <c r="F1431" s="9"/>
      <c r="G1431" s="10"/>
      <c r="H1431" s="11"/>
      <c r="I1431" s="11"/>
      <c r="J1431" s="10">
        <f>IF($D1431="","",IF(AND($H1431&lt;&gt;"",$I1431&lt;&gt;""),"débit ET crédit",IF(AND($H1431="",$I1431=""),"montant manquant",IF(ISNA(MATCH($D1431,'Plan comptable'!$H:$H,0)),"compte hors plan",IF(AND($A1431&lt;&gt;"",YEAR($A1431)&lt;&gt;Exercice),"hors exercice","")))))</f>
      </c>
    </row>
    <row r="1432">
      <c r="A1432" s="13"/>
      <c r="B1432" s="10"/>
      <c r="C1432" s="9"/>
      <c r="D1432" s="20"/>
      <c r="E1432" s="9">
        <f>IF($D1432="","",IFERROR(VLOOKUP($D1432,'Plan comptable'!$H:$I,2,FALSE),"compte hors plan"))</f>
      </c>
      <c r="F1432" s="9"/>
      <c r="G1432" s="10"/>
      <c r="H1432" s="11"/>
      <c r="I1432" s="11"/>
      <c r="J1432" s="10">
        <f>IF($D1432="","",IF(AND($H1432&lt;&gt;"",$I1432&lt;&gt;""),"débit ET crédit",IF(AND($H1432="",$I1432=""),"montant manquant",IF(ISNA(MATCH($D1432,'Plan comptable'!$H:$H,0)),"compte hors plan",IF(AND($A1432&lt;&gt;"",YEAR($A1432)&lt;&gt;Exercice),"hors exercice","")))))</f>
      </c>
    </row>
    <row r="1433">
      <c r="A1433" s="13"/>
      <c r="B1433" s="10"/>
      <c r="C1433" s="9"/>
      <c r="D1433" s="20"/>
      <c r="E1433" s="9">
        <f>IF($D1433="","",IFERROR(VLOOKUP($D1433,'Plan comptable'!$H:$I,2,FALSE),"compte hors plan"))</f>
      </c>
      <c r="F1433" s="9"/>
      <c r="G1433" s="10"/>
      <c r="H1433" s="11"/>
      <c r="I1433" s="11"/>
      <c r="J1433" s="10">
        <f>IF($D1433="","",IF(AND($H1433&lt;&gt;"",$I1433&lt;&gt;""),"débit ET crédit",IF(AND($H1433="",$I1433=""),"montant manquant",IF(ISNA(MATCH($D1433,'Plan comptable'!$H:$H,0)),"compte hors plan",IF(AND($A1433&lt;&gt;"",YEAR($A1433)&lt;&gt;Exercice),"hors exercice","")))))</f>
      </c>
    </row>
    <row r="1434">
      <c r="A1434" s="13"/>
      <c r="B1434" s="10"/>
      <c r="C1434" s="9"/>
      <c r="D1434" s="20"/>
      <c r="E1434" s="9">
        <f>IF($D1434="","",IFERROR(VLOOKUP($D1434,'Plan comptable'!$H:$I,2,FALSE),"compte hors plan"))</f>
      </c>
      <c r="F1434" s="9"/>
      <c r="G1434" s="10"/>
      <c r="H1434" s="11"/>
      <c r="I1434" s="11"/>
      <c r="J1434" s="10">
        <f>IF($D1434="","",IF(AND($H1434&lt;&gt;"",$I1434&lt;&gt;""),"débit ET crédit",IF(AND($H1434="",$I1434=""),"montant manquant",IF(ISNA(MATCH($D1434,'Plan comptable'!$H:$H,0)),"compte hors plan",IF(AND($A1434&lt;&gt;"",YEAR($A1434)&lt;&gt;Exercice),"hors exercice","")))))</f>
      </c>
    </row>
    <row r="1435">
      <c r="A1435" s="13"/>
      <c r="B1435" s="10"/>
      <c r="C1435" s="9"/>
      <c r="D1435" s="20"/>
      <c r="E1435" s="9">
        <f>IF($D1435="","",IFERROR(VLOOKUP($D1435,'Plan comptable'!$H:$I,2,FALSE),"compte hors plan"))</f>
      </c>
      <c r="F1435" s="9"/>
      <c r="G1435" s="10"/>
      <c r="H1435" s="11"/>
      <c r="I1435" s="11"/>
      <c r="J1435" s="10">
        <f>IF($D1435="","",IF(AND($H1435&lt;&gt;"",$I1435&lt;&gt;""),"débit ET crédit",IF(AND($H1435="",$I1435=""),"montant manquant",IF(ISNA(MATCH($D1435,'Plan comptable'!$H:$H,0)),"compte hors plan",IF(AND($A1435&lt;&gt;"",YEAR($A1435)&lt;&gt;Exercice),"hors exercice","")))))</f>
      </c>
    </row>
    <row r="1436">
      <c r="A1436" s="13"/>
      <c r="B1436" s="10"/>
      <c r="C1436" s="9"/>
      <c r="D1436" s="20"/>
      <c r="E1436" s="9">
        <f>IF($D1436="","",IFERROR(VLOOKUP($D1436,'Plan comptable'!$H:$I,2,FALSE),"compte hors plan"))</f>
      </c>
      <c r="F1436" s="9"/>
      <c r="G1436" s="10"/>
      <c r="H1436" s="11"/>
      <c r="I1436" s="11"/>
      <c r="J1436" s="10">
        <f>IF($D1436="","",IF(AND($H1436&lt;&gt;"",$I1436&lt;&gt;""),"débit ET crédit",IF(AND($H1436="",$I1436=""),"montant manquant",IF(ISNA(MATCH($D1436,'Plan comptable'!$H:$H,0)),"compte hors plan",IF(AND($A1436&lt;&gt;"",YEAR($A1436)&lt;&gt;Exercice),"hors exercice","")))))</f>
      </c>
    </row>
    <row r="1437">
      <c r="A1437" s="13"/>
      <c r="B1437" s="10"/>
      <c r="C1437" s="9"/>
      <c r="D1437" s="20"/>
      <c r="E1437" s="9">
        <f>IF($D1437="","",IFERROR(VLOOKUP($D1437,'Plan comptable'!$H:$I,2,FALSE),"compte hors plan"))</f>
      </c>
      <c r="F1437" s="9"/>
      <c r="G1437" s="10"/>
      <c r="H1437" s="11"/>
      <c r="I1437" s="11"/>
      <c r="J1437" s="10">
        <f>IF($D1437="","",IF(AND($H1437&lt;&gt;"",$I1437&lt;&gt;""),"débit ET crédit",IF(AND($H1437="",$I1437=""),"montant manquant",IF(ISNA(MATCH($D1437,'Plan comptable'!$H:$H,0)),"compte hors plan",IF(AND($A1437&lt;&gt;"",YEAR($A1437)&lt;&gt;Exercice),"hors exercice","")))))</f>
      </c>
    </row>
    <row r="1438">
      <c r="A1438" s="13"/>
      <c r="B1438" s="10"/>
      <c r="C1438" s="9"/>
      <c r="D1438" s="20"/>
      <c r="E1438" s="9">
        <f>IF($D1438="","",IFERROR(VLOOKUP($D1438,'Plan comptable'!$H:$I,2,FALSE),"compte hors plan"))</f>
      </c>
      <c r="F1438" s="9"/>
      <c r="G1438" s="10"/>
      <c r="H1438" s="11"/>
      <c r="I1438" s="11"/>
      <c r="J1438" s="10">
        <f>IF($D1438="","",IF(AND($H1438&lt;&gt;"",$I1438&lt;&gt;""),"débit ET crédit",IF(AND($H1438="",$I1438=""),"montant manquant",IF(ISNA(MATCH($D1438,'Plan comptable'!$H:$H,0)),"compte hors plan",IF(AND($A1438&lt;&gt;"",YEAR($A1438)&lt;&gt;Exercice),"hors exercice","")))))</f>
      </c>
    </row>
    <row r="1439">
      <c r="A1439" s="13"/>
      <c r="B1439" s="10"/>
      <c r="C1439" s="9"/>
      <c r="D1439" s="20"/>
      <c r="E1439" s="9">
        <f>IF($D1439="","",IFERROR(VLOOKUP($D1439,'Plan comptable'!$H:$I,2,FALSE),"compte hors plan"))</f>
      </c>
      <c r="F1439" s="9"/>
      <c r="G1439" s="10"/>
      <c r="H1439" s="11"/>
      <c r="I1439" s="11"/>
      <c r="J1439" s="10">
        <f>IF($D1439="","",IF(AND($H1439&lt;&gt;"",$I1439&lt;&gt;""),"débit ET crédit",IF(AND($H1439="",$I1439=""),"montant manquant",IF(ISNA(MATCH($D1439,'Plan comptable'!$H:$H,0)),"compte hors plan",IF(AND($A1439&lt;&gt;"",YEAR($A1439)&lt;&gt;Exercice),"hors exercice","")))))</f>
      </c>
    </row>
    <row r="1440">
      <c r="A1440" s="13"/>
      <c r="B1440" s="10"/>
      <c r="C1440" s="9"/>
      <c r="D1440" s="20"/>
      <c r="E1440" s="9">
        <f>IF($D1440="","",IFERROR(VLOOKUP($D1440,'Plan comptable'!$H:$I,2,FALSE),"compte hors plan"))</f>
      </c>
      <c r="F1440" s="9"/>
      <c r="G1440" s="10"/>
      <c r="H1440" s="11"/>
      <c r="I1440" s="11"/>
      <c r="J1440" s="10">
        <f>IF($D1440="","",IF(AND($H1440&lt;&gt;"",$I1440&lt;&gt;""),"débit ET crédit",IF(AND($H1440="",$I1440=""),"montant manquant",IF(ISNA(MATCH($D1440,'Plan comptable'!$H:$H,0)),"compte hors plan",IF(AND($A1440&lt;&gt;"",YEAR($A1440)&lt;&gt;Exercice),"hors exercice","")))))</f>
      </c>
    </row>
    <row r="1441">
      <c r="A1441" s="13"/>
      <c r="B1441" s="10"/>
      <c r="C1441" s="9"/>
      <c r="D1441" s="20"/>
      <c r="E1441" s="9">
        <f>IF($D1441="","",IFERROR(VLOOKUP($D1441,'Plan comptable'!$H:$I,2,FALSE),"compte hors plan"))</f>
      </c>
      <c r="F1441" s="9"/>
      <c r="G1441" s="10"/>
      <c r="H1441" s="11"/>
      <c r="I1441" s="11"/>
      <c r="J1441" s="10">
        <f>IF($D1441="","",IF(AND($H1441&lt;&gt;"",$I1441&lt;&gt;""),"débit ET crédit",IF(AND($H1441="",$I1441=""),"montant manquant",IF(ISNA(MATCH($D1441,'Plan comptable'!$H:$H,0)),"compte hors plan",IF(AND($A1441&lt;&gt;"",YEAR($A1441)&lt;&gt;Exercice),"hors exercice","")))))</f>
      </c>
    </row>
    <row r="1442">
      <c r="A1442" s="13"/>
      <c r="B1442" s="10"/>
      <c r="C1442" s="9"/>
      <c r="D1442" s="20"/>
      <c r="E1442" s="9">
        <f>IF($D1442="","",IFERROR(VLOOKUP($D1442,'Plan comptable'!$H:$I,2,FALSE),"compte hors plan"))</f>
      </c>
      <c r="F1442" s="9"/>
      <c r="G1442" s="10"/>
      <c r="H1442" s="11"/>
      <c r="I1442" s="11"/>
      <c r="J1442" s="10">
        <f>IF($D1442="","",IF(AND($H1442&lt;&gt;"",$I1442&lt;&gt;""),"débit ET crédit",IF(AND($H1442="",$I1442=""),"montant manquant",IF(ISNA(MATCH($D1442,'Plan comptable'!$H:$H,0)),"compte hors plan",IF(AND($A1442&lt;&gt;"",YEAR($A1442)&lt;&gt;Exercice),"hors exercice","")))))</f>
      </c>
    </row>
    <row r="1443">
      <c r="A1443" s="13"/>
      <c r="B1443" s="10"/>
      <c r="C1443" s="9"/>
      <c r="D1443" s="20"/>
      <c r="E1443" s="9">
        <f>IF($D1443="","",IFERROR(VLOOKUP($D1443,'Plan comptable'!$H:$I,2,FALSE),"compte hors plan"))</f>
      </c>
      <c r="F1443" s="9"/>
      <c r="G1443" s="10"/>
      <c r="H1443" s="11"/>
      <c r="I1443" s="11"/>
      <c r="J1443" s="10">
        <f>IF($D1443="","",IF(AND($H1443&lt;&gt;"",$I1443&lt;&gt;""),"débit ET crédit",IF(AND($H1443="",$I1443=""),"montant manquant",IF(ISNA(MATCH($D1443,'Plan comptable'!$H:$H,0)),"compte hors plan",IF(AND($A1443&lt;&gt;"",YEAR($A1443)&lt;&gt;Exercice),"hors exercice","")))))</f>
      </c>
    </row>
    <row r="1444">
      <c r="A1444" s="13"/>
      <c r="B1444" s="10"/>
      <c r="C1444" s="9"/>
      <c r="D1444" s="20"/>
      <c r="E1444" s="9">
        <f>IF($D1444="","",IFERROR(VLOOKUP($D1444,'Plan comptable'!$H:$I,2,FALSE),"compte hors plan"))</f>
      </c>
      <c r="F1444" s="9"/>
      <c r="G1444" s="10"/>
      <c r="H1444" s="11"/>
      <c r="I1444" s="11"/>
      <c r="J1444" s="10">
        <f>IF($D1444="","",IF(AND($H1444&lt;&gt;"",$I1444&lt;&gt;""),"débit ET crédit",IF(AND($H1444="",$I1444=""),"montant manquant",IF(ISNA(MATCH($D1444,'Plan comptable'!$H:$H,0)),"compte hors plan",IF(AND($A1444&lt;&gt;"",YEAR($A1444)&lt;&gt;Exercice),"hors exercice","")))))</f>
      </c>
    </row>
    <row r="1445">
      <c r="A1445" s="13"/>
      <c r="B1445" s="10"/>
      <c r="C1445" s="9"/>
      <c r="D1445" s="20"/>
      <c r="E1445" s="9">
        <f>IF($D1445="","",IFERROR(VLOOKUP($D1445,'Plan comptable'!$H:$I,2,FALSE),"compte hors plan"))</f>
      </c>
      <c r="F1445" s="9"/>
      <c r="G1445" s="10"/>
      <c r="H1445" s="11"/>
      <c r="I1445" s="11"/>
      <c r="J1445" s="10">
        <f>IF($D1445="","",IF(AND($H1445&lt;&gt;"",$I1445&lt;&gt;""),"débit ET crédit",IF(AND($H1445="",$I1445=""),"montant manquant",IF(ISNA(MATCH($D1445,'Plan comptable'!$H:$H,0)),"compte hors plan",IF(AND($A1445&lt;&gt;"",YEAR($A1445)&lt;&gt;Exercice),"hors exercice","")))))</f>
      </c>
    </row>
    <row r="1446">
      <c r="A1446" s="13"/>
      <c r="B1446" s="10"/>
      <c r="C1446" s="9"/>
      <c r="D1446" s="20"/>
      <c r="E1446" s="9">
        <f>IF($D1446="","",IFERROR(VLOOKUP($D1446,'Plan comptable'!$H:$I,2,FALSE),"compte hors plan"))</f>
      </c>
      <c r="F1446" s="9"/>
      <c r="G1446" s="10"/>
      <c r="H1446" s="11"/>
      <c r="I1446" s="11"/>
      <c r="J1446" s="10">
        <f>IF($D1446="","",IF(AND($H1446&lt;&gt;"",$I1446&lt;&gt;""),"débit ET crédit",IF(AND($H1446="",$I1446=""),"montant manquant",IF(ISNA(MATCH($D1446,'Plan comptable'!$H:$H,0)),"compte hors plan",IF(AND($A1446&lt;&gt;"",YEAR($A1446)&lt;&gt;Exercice),"hors exercice","")))))</f>
      </c>
    </row>
    <row r="1447">
      <c r="A1447" s="13"/>
      <c r="B1447" s="10"/>
      <c r="C1447" s="9"/>
      <c r="D1447" s="20"/>
      <c r="E1447" s="9">
        <f>IF($D1447="","",IFERROR(VLOOKUP($D1447,'Plan comptable'!$H:$I,2,FALSE),"compte hors plan"))</f>
      </c>
      <c r="F1447" s="9"/>
      <c r="G1447" s="10"/>
      <c r="H1447" s="11"/>
      <c r="I1447" s="11"/>
      <c r="J1447" s="10">
        <f>IF($D1447="","",IF(AND($H1447&lt;&gt;"",$I1447&lt;&gt;""),"débit ET crédit",IF(AND($H1447="",$I1447=""),"montant manquant",IF(ISNA(MATCH($D1447,'Plan comptable'!$H:$H,0)),"compte hors plan",IF(AND($A1447&lt;&gt;"",YEAR($A1447)&lt;&gt;Exercice),"hors exercice","")))))</f>
      </c>
    </row>
    <row r="1448">
      <c r="A1448" s="13"/>
      <c r="B1448" s="10"/>
      <c r="C1448" s="9"/>
      <c r="D1448" s="20"/>
      <c r="E1448" s="9">
        <f>IF($D1448="","",IFERROR(VLOOKUP($D1448,'Plan comptable'!$H:$I,2,FALSE),"compte hors plan"))</f>
      </c>
      <c r="F1448" s="9"/>
      <c r="G1448" s="10"/>
      <c r="H1448" s="11"/>
      <c r="I1448" s="11"/>
      <c r="J1448" s="10">
        <f>IF($D1448="","",IF(AND($H1448&lt;&gt;"",$I1448&lt;&gt;""),"débit ET crédit",IF(AND($H1448="",$I1448=""),"montant manquant",IF(ISNA(MATCH($D1448,'Plan comptable'!$H:$H,0)),"compte hors plan",IF(AND($A1448&lt;&gt;"",YEAR($A1448)&lt;&gt;Exercice),"hors exercice","")))))</f>
      </c>
    </row>
    <row r="1449">
      <c r="A1449" s="13"/>
      <c r="B1449" s="10"/>
      <c r="C1449" s="9"/>
      <c r="D1449" s="20"/>
      <c r="E1449" s="9">
        <f>IF($D1449="","",IFERROR(VLOOKUP($D1449,'Plan comptable'!$H:$I,2,FALSE),"compte hors plan"))</f>
      </c>
      <c r="F1449" s="9"/>
      <c r="G1449" s="10"/>
      <c r="H1449" s="11"/>
      <c r="I1449" s="11"/>
      <c r="J1449" s="10">
        <f>IF($D1449="","",IF(AND($H1449&lt;&gt;"",$I1449&lt;&gt;""),"débit ET crédit",IF(AND($H1449="",$I1449=""),"montant manquant",IF(ISNA(MATCH($D1449,'Plan comptable'!$H:$H,0)),"compte hors plan",IF(AND($A1449&lt;&gt;"",YEAR($A1449)&lt;&gt;Exercice),"hors exercice","")))))</f>
      </c>
    </row>
    <row r="1450">
      <c r="A1450" s="13"/>
      <c r="B1450" s="10"/>
      <c r="C1450" s="9"/>
      <c r="D1450" s="20"/>
      <c r="E1450" s="9">
        <f>IF($D1450="","",IFERROR(VLOOKUP($D1450,'Plan comptable'!$H:$I,2,FALSE),"compte hors plan"))</f>
      </c>
      <c r="F1450" s="9"/>
      <c r="G1450" s="10"/>
      <c r="H1450" s="11"/>
      <c r="I1450" s="11"/>
      <c r="J1450" s="10">
        <f>IF($D1450="","",IF(AND($H1450&lt;&gt;"",$I1450&lt;&gt;""),"débit ET crédit",IF(AND($H1450="",$I1450=""),"montant manquant",IF(ISNA(MATCH($D1450,'Plan comptable'!$H:$H,0)),"compte hors plan",IF(AND($A1450&lt;&gt;"",YEAR($A1450)&lt;&gt;Exercice),"hors exercice","")))))</f>
      </c>
    </row>
    <row r="1451">
      <c r="A1451" s="13"/>
      <c r="B1451" s="10"/>
      <c r="C1451" s="9"/>
      <c r="D1451" s="20"/>
      <c r="E1451" s="9">
        <f>IF($D1451="","",IFERROR(VLOOKUP($D1451,'Plan comptable'!$H:$I,2,FALSE),"compte hors plan"))</f>
      </c>
      <c r="F1451" s="9"/>
      <c r="G1451" s="10"/>
      <c r="H1451" s="11"/>
      <c r="I1451" s="11"/>
      <c r="J1451" s="10">
        <f>IF($D1451="","",IF(AND($H1451&lt;&gt;"",$I1451&lt;&gt;""),"débit ET crédit",IF(AND($H1451="",$I1451=""),"montant manquant",IF(ISNA(MATCH($D1451,'Plan comptable'!$H:$H,0)),"compte hors plan",IF(AND($A1451&lt;&gt;"",YEAR($A1451)&lt;&gt;Exercice),"hors exercice","")))))</f>
      </c>
    </row>
    <row r="1452">
      <c r="A1452" s="13"/>
      <c r="B1452" s="10"/>
      <c r="C1452" s="9"/>
      <c r="D1452" s="20"/>
      <c r="E1452" s="9">
        <f>IF($D1452="","",IFERROR(VLOOKUP($D1452,'Plan comptable'!$H:$I,2,FALSE),"compte hors plan"))</f>
      </c>
      <c r="F1452" s="9"/>
      <c r="G1452" s="10"/>
      <c r="H1452" s="11"/>
      <c r="I1452" s="11"/>
      <c r="J1452" s="10">
        <f>IF($D1452="","",IF(AND($H1452&lt;&gt;"",$I1452&lt;&gt;""),"débit ET crédit",IF(AND($H1452="",$I1452=""),"montant manquant",IF(ISNA(MATCH($D1452,'Plan comptable'!$H:$H,0)),"compte hors plan",IF(AND($A1452&lt;&gt;"",YEAR($A1452)&lt;&gt;Exercice),"hors exercice","")))))</f>
      </c>
    </row>
    <row r="1453">
      <c r="A1453" s="13"/>
      <c r="B1453" s="10"/>
      <c r="C1453" s="9"/>
      <c r="D1453" s="20"/>
      <c r="E1453" s="9">
        <f>IF($D1453="","",IFERROR(VLOOKUP($D1453,'Plan comptable'!$H:$I,2,FALSE),"compte hors plan"))</f>
      </c>
      <c r="F1453" s="9"/>
      <c r="G1453" s="10"/>
      <c r="H1453" s="11"/>
      <c r="I1453" s="11"/>
      <c r="J1453" s="10">
        <f>IF($D1453="","",IF(AND($H1453&lt;&gt;"",$I1453&lt;&gt;""),"débit ET crédit",IF(AND($H1453="",$I1453=""),"montant manquant",IF(ISNA(MATCH($D1453,'Plan comptable'!$H:$H,0)),"compte hors plan",IF(AND($A1453&lt;&gt;"",YEAR($A1453)&lt;&gt;Exercice),"hors exercice","")))))</f>
      </c>
    </row>
    <row r="1454">
      <c r="A1454" s="13"/>
      <c r="B1454" s="10"/>
      <c r="C1454" s="9"/>
      <c r="D1454" s="20"/>
      <c r="E1454" s="9">
        <f>IF($D1454="","",IFERROR(VLOOKUP($D1454,'Plan comptable'!$H:$I,2,FALSE),"compte hors plan"))</f>
      </c>
      <c r="F1454" s="9"/>
      <c r="G1454" s="10"/>
      <c r="H1454" s="11"/>
      <c r="I1454" s="11"/>
      <c r="J1454" s="10">
        <f>IF($D1454="","",IF(AND($H1454&lt;&gt;"",$I1454&lt;&gt;""),"débit ET crédit",IF(AND($H1454="",$I1454=""),"montant manquant",IF(ISNA(MATCH($D1454,'Plan comptable'!$H:$H,0)),"compte hors plan",IF(AND($A1454&lt;&gt;"",YEAR($A1454)&lt;&gt;Exercice),"hors exercice","")))))</f>
      </c>
    </row>
    <row r="1455">
      <c r="A1455" s="13"/>
      <c r="B1455" s="10"/>
      <c r="C1455" s="9"/>
      <c r="D1455" s="20"/>
      <c r="E1455" s="9">
        <f>IF($D1455="","",IFERROR(VLOOKUP($D1455,'Plan comptable'!$H:$I,2,FALSE),"compte hors plan"))</f>
      </c>
      <c r="F1455" s="9"/>
      <c r="G1455" s="10"/>
      <c r="H1455" s="11"/>
      <c r="I1455" s="11"/>
      <c r="J1455" s="10">
        <f>IF($D1455="","",IF(AND($H1455&lt;&gt;"",$I1455&lt;&gt;""),"débit ET crédit",IF(AND($H1455="",$I1455=""),"montant manquant",IF(ISNA(MATCH($D1455,'Plan comptable'!$H:$H,0)),"compte hors plan",IF(AND($A1455&lt;&gt;"",YEAR($A1455)&lt;&gt;Exercice),"hors exercice","")))))</f>
      </c>
    </row>
    <row r="1456">
      <c r="A1456" s="13"/>
      <c r="B1456" s="10"/>
      <c r="C1456" s="9"/>
      <c r="D1456" s="20"/>
      <c r="E1456" s="9">
        <f>IF($D1456="","",IFERROR(VLOOKUP($D1456,'Plan comptable'!$H:$I,2,FALSE),"compte hors plan"))</f>
      </c>
      <c r="F1456" s="9"/>
      <c r="G1456" s="10"/>
      <c r="H1456" s="11"/>
      <c r="I1456" s="11"/>
      <c r="J1456" s="10">
        <f>IF($D1456="","",IF(AND($H1456&lt;&gt;"",$I1456&lt;&gt;""),"débit ET crédit",IF(AND($H1456="",$I1456=""),"montant manquant",IF(ISNA(MATCH($D1456,'Plan comptable'!$H:$H,0)),"compte hors plan",IF(AND($A1456&lt;&gt;"",YEAR($A1456)&lt;&gt;Exercice),"hors exercice","")))))</f>
      </c>
    </row>
    <row r="1457">
      <c r="A1457" s="13"/>
      <c r="B1457" s="10"/>
      <c r="C1457" s="9"/>
      <c r="D1457" s="20"/>
      <c r="E1457" s="9">
        <f>IF($D1457="","",IFERROR(VLOOKUP($D1457,'Plan comptable'!$H:$I,2,FALSE),"compte hors plan"))</f>
      </c>
      <c r="F1457" s="9"/>
      <c r="G1457" s="10"/>
      <c r="H1457" s="11"/>
      <c r="I1457" s="11"/>
      <c r="J1457" s="10">
        <f>IF($D1457="","",IF(AND($H1457&lt;&gt;"",$I1457&lt;&gt;""),"débit ET crédit",IF(AND($H1457="",$I1457=""),"montant manquant",IF(ISNA(MATCH($D1457,'Plan comptable'!$H:$H,0)),"compte hors plan",IF(AND($A1457&lt;&gt;"",YEAR($A1457)&lt;&gt;Exercice),"hors exercice","")))))</f>
      </c>
    </row>
    <row r="1458">
      <c r="A1458" s="13"/>
      <c r="B1458" s="10"/>
      <c r="C1458" s="9"/>
      <c r="D1458" s="20"/>
      <c r="E1458" s="9">
        <f>IF($D1458="","",IFERROR(VLOOKUP($D1458,'Plan comptable'!$H:$I,2,FALSE),"compte hors plan"))</f>
      </c>
      <c r="F1458" s="9"/>
      <c r="G1458" s="10"/>
      <c r="H1458" s="11"/>
      <c r="I1458" s="11"/>
      <c r="J1458" s="10">
        <f>IF($D1458="","",IF(AND($H1458&lt;&gt;"",$I1458&lt;&gt;""),"débit ET crédit",IF(AND($H1458="",$I1458=""),"montant manquant",IF(ISNA(MATCH($D1458,'Plan comptable'!$H:$H,0)),"compte hors plan",IF(AND($A1458&lt;&gt;"",YEAR($A1458)&lt;&gt;Exercice),"hors exercice","")))))</f>
      </c>
    </row>
    <row r="1459">
      <c r="A1459" s="13"/>
      <c r="B1459" s="10"/>
      <c r="C1459" s="9"/>
      <c r="D1459" s="20"/>
      <c r="E1459" s="9">
        <f>IF($D1459="","",IFERROR(VLOOKUP($D1459,'Plan comptable'!$H:$I,2,FALSE),"compte hors plan"))</f>
      </c>
      <c r="F1459" s="9"/>
      <c r="G1459" s="10"/>
      <c r="H1459" s="11"/>
      <c r="I1459" s="11"/>
      <c r="J1459" s="10">
        <f>IF($D1459="","",IF(AND($H1459&lt;&gt;"",$I1459&lt;&gt;""),"débit ET crédit",IF(AND($H1459="",$I1459=""),"montant manquant",IF(ISNA(MATCH($D1459,'Plan comptable'!$H:$H,0)),"compte hors plan",IF(AND($A1459&lt;&gt;"",YEAR($A1459)&lt;&gt;Exercice),"hors exercice","")))))</f>
      </c>
    </row>
    <row r="1460">
      <c r="A1460" s="13"/>
      <c r="B1460" s="10"/>
      <c r="C1460" s="9"/>
      <c r="D1460" s="20"/>
      <c r="E1460" s="9">
        <f>IF($D1460="","",IFERROR(VLOOKUP($D1460,'Plan comptable'!$H:$I,2,FALSE),"compte hors plan"))</f>
      </c>
      <c r="F1460" s="9"/>
      <c r="G1460" s="10"/>
      <c r="H1460" s="11"/>
      <c r="I1460" s="11"/>
      <c r="J1460" s="10">
        <f>IF($D1460="","",IF(AND($H1460&lt;&gt;"",$I1460&lt;&gt;""),"débit ET crédit",IF(AND($H1460="",$I1460=""),"montant manquant",IF(ISNA(MATCH($D1460,'Plan comptable'!$H:$H,0)),"compte hors plan",IF(AND($A1460&lt;&gt;"",YEAR($A1460)&lt;&gt;Exercice),"hors exercice","")))))</f>
      </c>
    </row>
    <row r="1461">
      <c r="A1461" s="13"/>
      <c r="B1461" s="10"/>
      <c r="C1461" s="9"/>
      <c r="D1461" s="20"/>
      <c r="E1461" s="9">
        <f>IF($D1461="","",IFERROR(VLOOKUP($D1461,'Plan comptable'!$H:$I,2,FALSE),"compte hors plan"))</f>
      </c>
      <c r="F1461" s="9"/>
      <c r="G1461" s="10"/>
      <c r="H1461" s="11"/>
      <c r="I1461" s="11"/>
      <c r="J1461" s="10">
        <f>IF($D1461="","",IF(AND($H1461&lt;&gt;"",$I1461&lt;&gt;""),"débit ET crédit",IF(AND($H1461="",$I1461=""),"montant manquant",IF(ISNA(MATCH($D1461,'Plan comptable'!$H:$H,0)),"compte hors plan",IF(AND($A1461&lt;&gt;"",YEAR($A1461)&lt;&gt;Exercice),"hors exercice","")))))</f>
      </c>
    </row>
    <row r="1462">
      <c r="A1462" s="13"/>
      <c r="B1462" s="10"/>
      <c r="C1462" s="9"/>
      <c r="D1462" s="20"/>
      <c r="E1462" s="9">
        <f>IF($D1462="","",IFERROR(VLOOKUP($D1462,'Plan comptable'!$H:$I,2,FALSE),"compte hors plan"))</f>
      </c>
      <c r="F1462" s="9"/>
      <c r="G1462" s="10"/>
      <c r="H1462" s="11"/>
      <c r="I1462" s="11"/>
      <c r="J1462" s="10">
        <f>IF($D1462="","",IF(AND($H1462&lt;&gt;"",$I1462&lt;&gt;""),"débit ET crédit",IF(AND($H1462="",$I1462=""),"montant manquant",IF(ISNA(MATCH($D1462,'Plan comptable'!$H:$H,0)),"compte hors plan",IF(AND($A1462&lt;&gt;"",YEAR($A1462)&lt;&gt;Exercice),"hors exercice","")))))</f>
      </c>
    </row>
    <row r="1463">
      <c r="A1463" s="13"/>
      <c r="B1463" s="10"/>
      <c r="C1463" s="9"/>
      <c r="D1463" s="20"/>
      <c r="E1463" s="9">
        <f>IF($D1463="","",IFERROR(VLOOKUP($D1463,'Plan comptable'!$H:$I,2,FALSE),"compte hors plan"))</f>
      </c>
      <c r="F1463" s="9"/>
      <c r="G1463" s="10"/>
      <c r="H1463" s="11"/>
      <c r="I1463" s="11"/>
      <c r="J1463" s="10">
        <f>IF($D1463="","",IF(AND($H1463&lt;&gt;"",$I1463&lt;&gt;""),"débit ET crédit",IF(AND($H1463="",$I1463=""),"montant manquant",IF(ISNA(MATCH($D1463,'Plan comptable'!$H:$H,0)),"compte hors plan",IF(AND($A1463&lt;&gt;"",YEAR($A1463)&lt;&gt;Exercice),"hors exercice","")))))</f>
      </c>
    </row>
    <row r="1464">
      <c r="A1464" s="13"/>
      <c r="B1464" s="10"/>
      <c r="C1464" s="9"/>
      <c r="D1464" s="20"/>
      <c r="E1464" s="9">
        <f>IF($D1464="","",IFERROR(VLOOKUP($D1464,'Plan comptable'!$H:$I,2,FALSE),"compte hors plan"))</f>
      </c>
      <c r="F1464" s="9"/>
      <c r="G1464" s="10"/>
      <c r="H1464" s="11"/>
      <c r="I1464" s="11"/>
      <c r="J1464" s="10">
        <f>IF($D1464="","",IF(AND($H1464&lt;&gt;"",$I1464&lt;&gt;""),"débit ET crédit",IF(AND($H1464="",$I1464=""),"montant manquant",IF(ISNA(MATCH($D1464,'Plan comptable'!$H:$H,0)),"compte hors plan",IF(AND($A1464&lt;&gt;"",YEAR($A1464)&lt;&gt;Exercice),"hors exercice","")))))</f>
      </c>
    </row>
    <row r="1465">
      <c r="A1465" s="13"/>
      <c r="B1465" s="10"/>
      <c r="C1465" s="9"/>
      <c r="D1465" s="20"/>
      <c r="E1465" s="9">
        <f>IF($D1465="","",IFERROR(VLOOKUP($D1465,'Plan comptable'!$H:$I,2,FALSE),"compte hors plan"))</f>
      </c>
      <c r="F1465" s="9"/>
      <c r="G1465" s="10"/>
      <c r="H1465" s="11"/>
      <c r="I1465" s="11"/>
      <c r="J1465" s="10">
        <f>IF($D1465="","",IF(AND($H1465&lt;&gt;"",$I1465&lt;&gt;""),"débit ET crédit",IF(AND($H1465="",$I1465=""),"montant manquant",IF(ISNA(MATCH($D1465,'Plan comptable'!$H:$H,0)),"compte hors plan",IF(AND($A1465&lt;&gt;"",YEAR($A1465)&lt;&gt;Exercice),"hors exercice","")))))</f>
      </c>
    </row>
    <row r="1466">
      <c r="A1466" s="13"/>
      <c r="B1466" s="10"/>
      <c r="C1466" s="9"/>
      <c r="D1466" s="20"/>
      <c r="E1466" s="9">
        <f>IF($D1466="","",IFERROR(VLOOKUP($D1466,'Plan comptable'!$H:$I,2,FALSE),"compte hors plan"))</f>
      </c>
      <c r="F1466" s="9"/>
      <c r="G1466" s="10"/>
      <c r="H1466" s="11"/>
      <c r="I1466" s="11"/>
      <c r="J1466" s="10">
        <f>IF($D1466="","",IF(AND($H1466&lt;&gt;"",$I1466&lt;&gt;""),"débit ET crédit",IF(AND($H1466="",$I1466=""),"montant manquant",IF(ISNA(MATCH($D1466,'Plan comptable'!$H:$H,0)),"compte hors plan",IF(AND($A1466&lt;&gt;"",YEAR($A1466)&lt;&gt;Exercice),"hors exercice","")))))</f>
      </c>
    </row>
    <row r="1467">
      <c r="A1467" s="13"/>
      <c r="B1467" s="10"/>
      <c r="C1467" s="9"/>
      <c r="D1467" s="20"/>
      <c r="E1467" s="9">
        <f>IF($D1467="","",IFERROR(VLOOKUP($D1467,'Plan comptable'!$H:$I,2,FALSE),"compte hors plan"))</f>
      </c>
      <c r="F1467" s="9"/>
      <c r="G1467" s="10"/>
      <c r="H1467" s="11"/>
      <c r="I1467" s="11"/>
      <c r="J1467" s="10">
        <f>IF($D1467="","",IF(AND($H1467&lt;&gt;"",$I1467&lt;&gt;""),"débit ET crédit",IF(AND($H1467="",$I1467=""),"montant manquant",IF(ISNA(MATCH($D1467,'Plan comptable'!$H:$H,0)),"compte hors plan",IF(AND($A1467&lt;&gt;"",YEAR($A1467)&lt;&gt;Exercice),"hors exercice","")))))</f>
      </c>
    </row>
    <row r="1468">
      <c r="A1468" s="13"/>
      <c r="B1468" s="10"/>
      <c r="C1468" s="9"/>
      <c r="D1468" s="20"/>
      <c r="E1468" s="9">
        <f>IF($D1468="","",IFERROR(VLOOKUP($D1468,'Plan comptable'!$H:$I,2,FALSE),"compte hors plan"))</f>
      </c>
      <c r="F1468" s="9"/>
      <c r="G1468" s="10"/>
      <c r="H1468" s="11"/>
      <c r="I1468" s="11"/>
      <c r="J1468" s="10">
        <f>IF($D1468="","",IF(AND($H1468&lt;&gt;"",$I1468&lt;&gt;""),"débit ET crédit",IF(AND($H1468="",$I1468=""),"montant manquant",IF(ISNA(MATCH($D1468,'Plan comptable'!$H:$H,0)),"compte hors plan",IF(AND($A1468&lt;&gt;"",YEAR($A1468)&lt;&gt;Exercice),"hors exercice","")))))</f>
      </c>
    </row>
    <row r="1469">
      <c r="A1469" s="13"/>
      <c r="B1469" s="10"/>
      <c r="C1469" s="9"/>
      <c r="D1469" s="20"/>
      <c r="E1469" s="9">
        <f>IF($D1469="","",IFERROR(VLOOKUP($D1469,'Plan comptable'!$H:$I,2,FALSE),"compte hors plan"))</f>
      </c>
      <c r="F1469" s="9"/>
      <c r="G1469" s="10"/>
      <c r="H1469" s="11"/>
      <c r="I1469" s="11"/>
      <c r="J1469" s="10">
        <f>IF($D1469="","",IF(AND($H1469&lt;&gt;"",$I1469&lt;&gt;""),"débit ET crédit",IF(AND($H1469="",$I1469=""),"montant manquant",IF(ISNA(MATCH($D1469,'Plan comptable'!$H:$H,0)),"compte hors plan",IF(AND($A1469&lt;&gt;"",YEAR($A1469)&lt;&gt;Exercice),"hors exercice","")))))</f>
      </c>
    </row>
    <row r="1470">
      <c r="A1470" s="13"/>
      <c r="B1470" s="10"/>
      <c r="C1470" s="9"/>
      <c r="D1470" s="20"/>
      <c r="E1470" s="9">
        <f>IF($D1470="","",IFERROR(VLOOKUP($D1470,'Plan comptable'!$H:$I,2,FALSE),"compte hors plan"))</f>
      </c>
      <c r="F1470" s="9"/>
      <c r="G1470" s="10"/>
      <c r="H1470" s="11"/>
      <c r="I1470" s="11"/>
      <c r="J1470" s="10">
        <f>IF($D1470="","",IF(AND($H1470&lt;&gt;"",$I1470&lt;&gt;""),"débit ET crédit",IF(AND($H1470="",$I1470=""),"montant manquant",IF(ISNA(MATCH($D1470,'Plan comptable'!$H:$H,0)),"compte hors plan",IF(AND($A1470&lt;&gt;"",YEAR($A1470)&lt;&gt;Exercice),"hors exercice","")))))</f>
      </c>
    </row>
    <row r="1471">
      <c r="A1471" s="13"/>
      <c r="B1471" s="10"/>
      <c r="C1471" s="9"/>
      <c r="D1471" s="20"/>
      <c r="E1471" s="9">
        <f>IF($D1471="","",IFERROR(VLOOKUP($D1471,'Plan comptable'!$H:$I,2,FALSE),"compte hors plan"))</f>
      </c>
      <c r="F1471" s="9"/>
      <c r="G1471" s="10"/>
      <c r="H1471" s="11"/>
      <c r="I1471" s="11"/>
      <c r="J1471" s="10">
        <f>IF($D1471="","",IF(AND($H1471&lt;&gt;"",$I1471&lt;&gt;""),"débit ET crédit",IF(AND($H1471="",$I1471=""),"montant manquant",IF(ISNA(MATCH($D1471,'Plan comptable'!$H:$H,0)),"compte hors plan",IF(AND($A1471&lt;&gt;"",YEAR($A1471)&lt;&gt;Exercice),"hors exercice","")))))</f>
      </c>
    </row>
    <row r="1472">
      <c r="A1472" s="13"/>
      <c r="B1472" s="10"/>
      <c r="C1472" s="9"/>
      <c r="D1472" s="20"/>
      <c r="E1472" s="9">
        <f>IF($D1472="","",IFERROR(VLOOKUP($D1472,'Plan comptable'!$H:$I,2,FALSE),"compte hors plan"))</f>
      </c>
      <c r="F1472" s="9"/>
      <c r="G1472" s="10"/>
      <c r="H1472" s="11"/>
      <c r="I1472" s="11"/>
      <c r="J1472" s="10">
        <f>IF($D1472="","",IF(AND($H1472&lt;&gt;"",$I1472&lt;&gt;""),"débit ET crédit",IF(AND($H1472="",$I1472=""),"montant manquant",IF(ISNA(MATCH($D1472,'Plan comptable'!$H:$H,0)),"compte hors plan",IF(AND($A1472&lt;&gt;"",YEAR($A1472)&lt;&gt;Exercice),"hors exercice","")))))</f>
      </c>
    </row>
    <row r="1473">
      <c r="A1473" s="13"/>
      <c r="B1473" s="10"/>
      <c r="C1473" s="9"/>
      <c r="D1473" s="20"/>
      <c r="E1473" s="9">
        <f>IF($D1473="","",IFERROR(VLOOKUP($D1473,'Plan comptable'!$H:$I,2,FALSE),"compte hors plan"))</f>
      </c>
      <c r="F1473" s="9"/>
      <c r="G1473" s="10"/>
      <c r="H1473" s="11"/>
      <c r="I1473" s="11"/>
      <c r="J1473" s="10">
        <f>IF($D1473="","",IF(AND($H1473&lt;&gt;"",$I1473&lt;&gt;""),"débit ET crédit",IF(AND($H1473="",$I1473=""),"montant manquant",IF(ISNA(MATCH($D1473,'Plan comptable'!$H:$H,0)),"compte hors plan",IF(AND($A1473&lt;&gt;"",YEAR($A1473)&lt;&gt;Exercice),"hors exercice","")))))</f>
      </c>
    </row>
    <row r="1474">
      <c r="A1474" s="13"/>
      <c r="B1474" s="10"/>
      <c r="C1474" s="9"/>
      <c r="D1474" s="20"/>
      <c r="E1474" s="9">
        <f>IF($D1474="","",IFERROR(VLOOKUP($D1474,'Plan comptable'!$H:$I,2,FALSE),"compte hors plan"))</f>
      </c>
      <c r="F1474" s="9"/>
      <c r="G1474" s="10"/>
      <c r="H1474" s="11"/>
      <c r="I1474" s="11"/>
      <c r="J1474" s="10">
        <f>IF($D1474="","",IF(AND($H1474&lt;&gt;"",$I1474&lt;&gt;""),"débit ET crédit",IF(AND($H1474="",$I1474=""),"montant manquant",IF(ISNA(MATCH($D1474,'Plan comptable'!$H:$H,0)),"compte hors plan",IF(AND($A1474&lt;&gt;"",YEAR($A1474)&lt;&gt;Exercice),"hors exercice","")))))</f>
      </c>
    </row>
    <row r="1475">
      <c r="A1475" s="13"/>
      <c r="B1475" s="10"/>
      <c r="C1475" s="9"/>
      <c r="D1475" s="20"/>
      <c r="E1475" s="9">
        <f>IF($D1475="","",IFERROR(VLOOKUP($D1475,'Plan comptable'!$H:$I,2,FALSE),"compte hors plan"))</f>
      </c>
      <c r="F1475" s="9"/>
      <c r="G1475" s="10"/>
      <c r="H1475" s="11"/>
      <c r="I1475" s="11"/>
      <c r="J1475" s="10">
        <f>IF($D1475="","",IF(AND($H1475&lt;&gt;"",$I1475&lt;&gt;""),"débit ET crédit",IF(AND($H1475="",$I1475=""),"montant manquant",IF(ISNA(MATCH($D1475,'Plan comptable'!$H:$H,0)),"compte hors plan",IF(AND($A1475&lt;&gt;"",YEAR($A1475)&lt;&gt;Exercice),"hors exercice","")))))</f>
      </c>
    </row>
    <row r="1476">
      <c r="A1476" s="13"/>
      <c r="B1476" s="10"/>
      <c r="C1476" s="9"/>
      <c r="D1476" s="20"/>
      <c r="E1476" s="9">
        <f>IF($D1476="","",IFERROR(VLOOKUP($D1476,'Plan comptable'!$H:$I,2,FALSE),"compte hors plan"))</f>
      </c>
      <c r="F1476" s="9"/>
      <c r="G1476" s="10"/>
      <c r="H1476" s="11"/>
      <c r="I1476" s="11"/>
      <c r="J1476" s="10">
        <f>IF($D1476="","",IF(AND($H1476&lt;&gt;"",$I1476&lt;&gt;""),"débit ET crédit",IF(AND($H1476="",$I1476=""),"montant manquant",IF(ISNA(MATCH($D1476,'Plan comptable'!$H:$H,0)),"compte hors plan",IF(AND($A1476&lt;&gt;"",YEAR($A1476)&lt;&gt;Exercice),"hors exercice","")))))</f>
      </c>
    </row>
    <row r="1477">
      <c r="A1477" s="13"/>
      <c r="B1477" s="10"/>
      <c r="C1477" s="9"/>
      <c r="D1477" s="20"/>
      <c r="E1477" s="9">
        <f>IF($D1477="","",IFERROR(VLOOKUP($D1477,'Plan comptable'!$H:$I,2,FALSE),"compte hors plan"))</f>
      </c>
      <c r="F1477" s="9"/>
      <c r="G1477" s="10"/>
      <c r="H1477" s="11"/>
      <c r="I1477" s="11"/>
      <c r="J1477" s="10">
        <f>IF($D1477="","",IF(AND($H1477&lt;&gt;"",$I1477&lt;&gt;""),"débit ET crédit",IF(AND($H1477="",$I1477=""),"montant manquant",IF(ISNA(MATCH($D1477,'Plan comptable'!$H:$H,0)),"compte hors plan",IF(AND($A1477&lt;&gt;"",YEAR($A1477)&lt;&gt;Exercice),"hors exercice","")))))</f>
      </c>
    </row>
    <row r="1478">
      <c r="A1478" s="13"/>
      <c r="B1478" s="10"/>
      <c r="C1478" s="9"/>
      <c r="D1478" s="20"/>
      <c r="E1478" s="9">
        <f>IF($D1478="","",IFERROR(VLOOKUP($D1478,'Plan comptable'!$H:$I,2,FALSE),"compte hors plan"))</f>
      </c>
      <c r="F1478" s="9"/>
      <c r="G1478" s="10"/>
      <c r="H1478" s="11"/>
      <c r="I1478" s="11"/>
      <c r="J1478" s="10">
        <f>IF($D1478="","",IF(AND($H1478&lt;&gt;"",$I1478&lt;&gt;""),"débit ET crédit",IF(AND($H1478="",$I1478=""),"montant manquant",IF(ISNA(MATCH($D1478,'Plan comptable'!$H:$H,0)),"compte hors plan",IF(AND($A1478&lt;&gt;"",YEAR($A1478)&lt;&gt;Exercice),"hors exercice","")))))</f>
      </c>
    </row>
    <row r="1479">
      <c r="A1479" s="13"/>
      <c r="B1479" s="10"/>
      <c r="C1479" s="9"/>
      <c r="D1479" s="20"/>
      <c r="E1479" s="9">
        <f>IF($D1479="","",IFERROR(VLOOKUP($D1479,'Plan comptable'!$H:$I,2,FALSE),"compte hors plan"))</f>
      </c>
      <c r="F1479" s="9"/>
      <c r="G1479" s="10"/>
      <c r="H1479" s="11"/>
      <c r="I1479" s="11"/>
      <c r="J1479" s="10">
        <f>IF($D1479="","",IF(AND($H1479&lt;&gt;"",$I1479&lt;&gt;""),"débit ET crédit",IF(AND($H1479="",$I1479=""),"montant manquant",IF(ISNA(MATCH($D1479,'Plan comptable'!$H:$H,0)),"compte hors plan",IF(AND($A1479&lt;&gt;"",YEAR($A1479)&lt;&gt;Exercice),"hors exercice","")))))</f>
      </c>
    </row>
    <row r="1480">
      <c r="A1480" s="13"/>
      <c r="B1480" s="10"/>
      <c r="C1480" s="9"/>
      <c r="D1480" s="20"/>
      <c r="E1480" s="9">
        <f>IF($D1480="","",IFERROR(VLOOKUP($D1480,'Plan comptable'!$H:$I,2,FALSE),"compte hors plan"))</f>
      </c>
      <c r="F1480" s="9"/>
      <c r="G1480" s="10"/>
      <c r="H1480" s="11"/>
      <c r="I1480" s="11"/>
      <c r="J1480" s="10">
        <f>IF($D1480="","",IF(AND($H1480&lt;&gt;"",$I1480&lt;&gt;""),"débit ET crédit",IF(AND($H1480="",$I1480=""),"montant manquant",IF(ISNA(MATCH($D1480,'Plan comptable'!$H:$H,0)),"compte hors plan",IF(AND($A1480&lt;&gt;"",YEAR($A1480)&lt;&gt;Exercice),"hors exercice","")))))</f>
      </c>
    </row>
    <row r="1481">
      <c r="A1481" s="13"/>
      <c r="B1481" s="10"/>
      <c r="C1481" s="9"/>
      <c r="D1481" s="20"/>
      <c r="E1481" s="9">
        <f>IF($D1481="","",IFERROR(VLOOKUP($D1481,'Plan comptable'!$H:$I,2,FALSE),"compte hors plan"))</f>
      </c>
      <c r="F1481" s="9"/>
      <c r="G1481" s="10"/>
      <c r="H1481" s="11"/>
      <c r="I1481" s="11"/>
      <c r="J1481" s="10">
        <f>IF($D1481="","",IF(AND($H1481&lt;&gt;"",$I1481&lt;&gt;""),"débit ET crédit",IF(AND($H1481="",$I1481=""),"montant manquant",IF(ISNA(MATCH($D1481,'Plan comptable'!$H:$H,0)),"compte hors plan",IF(AND($A1481&lt;&gt;"",YEAR($A1481)&lt;&gt;Exercice),"hors exercice","")))))</f>
      </c>
    </row>
    <row r="1482">
      <c r="A1482" s="13"/>
      <c r="B1482" s="10"/>
      <c r="C1482" s="9"/>
      <c r="D1482" s="20"/>
      <c r="E1482" s="9">
        <f>IF($D1482="","",IFERROR(VLOOKUP($D1482,'Plan comptable'!$H:$I,2,FALSE),"compte hors plan"))</f>
      </c>
      <c r="F1482" s="9"/>
      <c r="G1482" s="10"/>
      <c r="H1482" s="11"/>
      <c r="I1482" s="11"/>
      <c r="J1482" s="10">
        <f>IF($D1482="","",IF(AND($H1482&lt;&gt;"",$I1482&lt;&gt;""),"débit ET crédit",IF(AND($H1482="",$I1482=""),"montant manquant",IF(ISNA(MATCH($D1482,'Plan comptable'!$H:$H,0)),"compte hors plan",IF(AND($A1482&lt;&gt;"",YEAR($A1482)&lt;&gt;Exercice),"hors exercice","")))))</f>
      </c>
    </row>
    <row r="1483">
      <c r="A1483" s="13"/>
      <c r="B1483" s="10"/>
      <c r="C1483" s="9"/>
      <c r="D1483" s="20"/>
      <c r="E1483" s="9">
        <f>IF($D1483="","",IFERROR(VLOOKUP($D1483,'Plan comptable'!$H:$I,2,FALSE),"compte hors plan"))</f>
      </c>
      <c r="F1483" s="9"/>
      <c r="G1483" s="10"/>
      <c r="H1483" s="11"/>
      <c r="I1483" s="11"/>
      <c r="J1483" s="10">
        <f>IF($D1483="","",IF(AND($H1483&lt;&gt;"",$I1483&lt;&gt;""),"débit ET crédit",IF(AND($H1483="",$I1483=""),"montant manquant",IF(ISNA(MATCH($D1483,'Plan comptable'!$H:$H,0)),"compte hors plan",IF(AND($A1483&lt;&gt;"",YEAR($A1483)&lt;&gt;Exercice),"hors exercice","")))))</f>
      </c>
    </row>
    <row r="1484">
      <c r="A1484" s="13"/>
      <c r="B1484" s="10"/>
      <c r="C1484" s="9"/>
      <c r="D1484" s="20"/>
      <c r="E1484" s="9">
        <f>IF($D1484="","",IFERROR(VLOOKUP($D1484,'Plan comptable'!$H:$I,2,FALSE),"compte hors plan"))</f>
      </c>
      <c r="F1484" s="9"/>
      <c r="G1484" s="10"/>
      <c r="H1484" s="11"/>
      <c r="I1484" s="11"/>
      <c r="J1484" s="10">
        <f>IF($D1484="","",IF(AND($H1484&lt;&gt;"",$I1484&lt;&gt;""),"débit ET crédit",IF(AND($H1484="",$I1484=""),"montant manquant",IF(ISNA(MATCH($D1484,'Plan comptable'!$H:$H,0)),"compte hors plan",IF(AND($A1484&lt;&gt;"",YEAR($A1484)&lt;&gt;Exercice),"hors exercice","")))))</f>
      </c>
    </row>
    <row r="1485">
      <c r="A1485" s="13"/>
      <c r="B1485" s="10"/>
      <c r="C1485" s="9"/>
      <c r="D1485" s="20"/>
      <c r="E1485" s="9">
        <f>IF($D1485="","",IFERROR(VLOOKUP($D1485,'Plan comptable'!$H:$I,2,FALSE),"compte hors plan"))</f>
      </c>
      <c r="F1485" s="9"/>
      <c r="G1485" s="10"/>
      <c r="H1485" s="11"/>
      <c r="I1485" s="11"/>
      <c r="J1485" s="10">
        <f>IF($D1485="","",IF(AND($H1485&lt;&gt;"",$I1485&lt;&gt;""),"débit ET crédit",IF(AND($H1485="",$I1485=""),"montant manquant",IF(ISNA(MATCH($D1485,'Plan comptable'!$H:$H,0)),"compte hors plan",IF(AND($A1485&lt;&gt;"",YEAR($A1485)&lt;&gt;Exercice),"hors exercice","")))))</f>
      </c>
    </row>
    <row r="1486">
      <c r="A1486" s="13"/>
      <c r="B1486" s="10"/>
      <c r="C1486" s="9"/>
      <c r="D1486" s="20"/>
      <c r="E1486" s="9">
        <f>IF($D1486="","",IFERROR(VLOOKUP($D1486,'Plan comptable'!$H:$I,2,FALSE),"compte hors plan"))</f>
      </c>
      <c r="F1486" s="9"/>
      <c r="G1486" s="10"/>
      <c r="H1486" s="11"/>
      <c r="I1486" s="11"/>
      <c r="J1486" s="10">
        <f>IF($D1486="","",IF(AND($H1486&lt;&gt;"",$I1486&lt;&gt;""),"débit ET crédit",IF(AND($H1486="",$I1486=""),"montant manquant",IF(ISNA(MATCH($D1486,'Plan comptable'!$H:$H,0)),"compte hors plan",IF(AND($A1486&lt;&gt;"",YEAR($A1486)&lt;&gt;Exercice),"hors exercice","")))))</f>
      </c>
    </row>
    <row r="1487">
      <c r="A1487" s="13"/>
      <c r="B1487" s="10"/>
      <c r="C1487" s="9"/>
      <c r="D1487" s="20"/>
      <c r="E1487" s="9">
        <f>IF($D1487="","",IFERROR(VLOOKUP($D1487,'Plan comptable'!$H:$I,2,FALSE),"compte hors plan"))</f>
      </c>
      <c r="F1487" s="9"/>
      <c r="G1487" s="10"/>
      <c r="H1487" s="11"/>
      <c r="I1487" s="11"/>
      <c r="J1487" s="10">
        <f>IF($D1487="","",IF(AND($H1487&lt;&gt;"",$I1487&lt;&gt;""),"débit ET crédit",IF(AND($H1487="",$I1487=""),"montant manquant",IF(ISNA(MATCH($D1487,'Plan comptable'!$H:$H,0)),"compte hors plan",IF(AND($A1487&lt;&gt;"",YEAR($A1487)&lt;&gt;Exercice),"hors exercice","")))))</f>
      </c>
    </row>
    <row r="1488">
      <c r="A1488" s="13"/>
      <c r="B1488" s="10"/>
      <c r="C1488" s="9"/>
      <c r="D1488" s="20"/>
      <c r="E1488" s="9">
        <f>IF($D1488="","",IFERROR(VLOOKUP($D1488,'Plan comptable'!$H:$I,2,FALSE),"compte hors plan"))</f>
      </c>
      <c r="F1488" s="9"/>
      <c r="G1488" s="10"/>
      <c r="H1488" s="11"/>
      <c r="I1488" s="11"/>
      <c r="J1488" s="10">
        <f>IF($D1488="","",IF(AND($H1488&lt;&gt;"",$I1488&lt;&gt;""),"débit ET crédit",IF(AND($H1488="",$I1488=""),"montant manquant",IF(ISNA(MATCH($D1488,'Plan comptable'!$H:$H,0)),"compte hors plan",IF(AND($A1488&lt;&gt;"",YEAR($A1488)&lt;&gt;Exercice),"hors exercice","")))))</f>
      </c>
    </row>
    <row r="1489">
      <c r="A1489" s="13"/>
      <c r="B1489" s="10"/>
      <c r="C1489" s="9"/>
      <c r="D1489" s="20"/>
      <c r="E1489" s="9">
        <f>IF($D1489="","",IFERROR(VLOOKUP($D1489,'Plan comptable'!$H:$I,2,FALSE),"compte hors plan"))</f>
      </c>
      <c r="F1489" s="9"/>
      <c r="G1489" s="10"/>
      <c r="H1489" s="11"/>
      <c r="I1489" s="11"/>
      <c r="J1489" s="10">
        <f>IF($D1489="","",IF(AND($H1489&lt;&gt;"",$I1489&lt;&gt;""),"débit ET crédit",IF(AND($H1489="",$I1489=""),"montant manquant",IF(ISNA(MATCH($D1489,'Plan comptable'!$H:$H,0)),"compte hors plan",IF(AND($A1489&lt;&gt;"",YEAR($A1489)&lt;&gt;Exercice),"hors exercice","")))))</f>
      </c>
    </row>
    <row r="1490">
      <c r="A1490" s="13"/>
      <c r="B1490" s="10"/>
      <c r="C1490" s="9"/>
      <c r="D1490" s="20"/>
      <c r="E1490" s="9">
        <f>IF($D1490="","",IFERROR(VLOOKUP($D1490,'Plan comptable'!$H:$I,2,FALSE),"compte hors plan"))</f>
      </c>
      <c r="F1490" s="9"/>
      <c r="G1490" s="10"/>
      <c r="H1490" s="11"/>
      <c r="I1490" s="11"/>
      <c r="J1490" s="10">
        <f>IF($D1490="","",IF(AND($H1490&lt;&gt;"",$I1490&lt;&gt;""),"débit ET crédit",IF(AND($H1490="",$I1490=""),"montant manquant",IF(ISNA(MATCH($D1490,'Plan comptable'!$H:$H,0)),"compte hors plan",IF(AND($A1490&lt;&gt;"",YEAR($A1490)&lt;&gt;Exercice),"hors exercice","")))))</f>
      </c>
    </row>
    <row r="1491">
      <c r="A1491" s="13"/>
      <c r="B1491" s="10"/>
      <c r="C1491" s="9"/>
      <c r="D1491" s="20"/>
      <c r="E1491" s="9">
        <f>IF($D1491="","",IFERROR(VLOOKUP($D1491,'Plan comptable'!$H:$I,2,FALSE),"compte hors plan"))</f>
      </c>
      <c r="F1491" s="9"/>
      <c r="G1491" s="10"/>
      <c r="H1491" s="11"/>
      <c r="I1491" s="11"/>
      <c r="J1491" s="10">
        <f>IF($D1491="","",IF(AND($H1491&lt;&gt;"",$I1491&lt;&gt;""),"débit ET crédit",IF(AND($H1491="",$I1491=""),"montant manquant",IF(ISNA(MATCH($D1491,'Plan comptable'!$H:$H,0)),"compte hors plan",IF(AND($A1491&lt;&gt;"",YEAR($A1491)&lt;&gt;Exercice),"hors exercice","")))))</f>
      </c>
    </row>
    <row r="1492">
      <c r="A1492" s="13"/>
      <c r="B1492" s="10"/>
      <c r="C1492" s="9"/>
      <c r="D1492" s="20"/>
      <c r="E1492" s="9">
        <f>IF($D1492="","",IFERROR(VLOOKUP($D1492,'Plan comptable'!$H:$I,2,FALSE),"compte hors plan"))</f>
      </c>
      <c r="F1492" s="9"/>
      <c r="G1492" s="10"/>
      <c r="H1492" s="11"/>
      <c r="I1492" s="11"/>
      <c r="J1492" s="10">
        <f>IF($D1492="","",IF(AND($H1492&lt;&gt;"",$I1492&lt;&gt;""),"débit ET crédit",IF(AND($H1492="",$I1492=""),"montant manquant",IF(ISNA(MATCH($D1492,'Plan comptable'!$H:$H,0)),"compte hors plan",IF(AND($A1492&lt;&gt;"",YEAR($A1492)&lt;&gt;Exercice),"hors exercice","")))))</f>
      </c>
    </row>
    <row r="1493">
      <c r="A1493" s="13"/>
      <c r="B1493" s="10"/>
      <c r="C1493" s="9"/>
      <c r="D1493" s="20"/>
      <c r="E1493" s="9">
        <f>IF($D1493="","",IFERROR(VLOOKUP($D1493,'Plan comptable'!$H:$I,2,FALSE),"compte hors plan"))</f>
      </c>
      <c r="F1493" s="9"/>
      <c r="G1493" s="10"/>
      <c r="H1493" s="11"/>
      <c r="I1493" s="11"/>
      <c r="J1493" s="10">
        <f>IF($D1493="","",IF(AND($H1493&lt;&gt;"",$I1493&lt;&gt;""),"débit ET crédit",IF(AND($H1493="",$I1493=""),"montant manquant",IF(ISNA(MATCH($D1493,'Plan comptable'!$H:$H,0)),"compte hors plan",IF(AND($A1493&lt;&gt;"",YEAR($A1493)&lt;&gt;Exercice),"hors exercice","")))))</f>
      </c>
    </row>
    <row r="1494">
      <c r="A1494" s="13"/>
      <c r="B1494" s="10"/>
      <c r="C1494" s="9"/>
      <c r="D1494" s="20"/>
      <c r="E1494" s="9">
        <f>IF($D1494="","",IFERROR(VLOOKUP($D1494,'Plan comptable'!$H:$I,2,FALSE),"compte hors plan"))</f>
      </c>
      <c r="F1494" s="9"/>
      <c r="G1494" s="10"/>
      <c r="H1494" s="11"/>
      <c r="I1494" s="11"/>
      <c r="J1494" s="10">
        <f>IF($D1494="","",IF(AND($H1494&lt;&gt;"",$I1494&lt;&gt;""),"débit ET crédit",IF(AND($H1494="",$I1494=""),"montant manquant",IF(ISNA(MATCH($D1494,'Plan comptable'!$H:$H,0)),"compte hors plan",IF(AND($A1494&lt;&gt;"",YEAR($A1494)&lt;&gt;Exercice),"hors exercice","")))))</f>
      </c>
    </row>
    <row r="1495">
      <c r="A1495" s="13"/>
      <c r="B1495" s="10"/>
      <c r="C1495" s="9"/>
      <c r="D1495" s="20"/>
      <c r="E1495" s="9">
        <f>IF($D1495="","",IFERROR(VLOOKUP($D1495,'Plan comptable'!$H:$I,2,FALSE),"compte hors plan"))</f>
      </c>
      <c r="F1495" s="9"/>
      <c r="G1495" s="10"/>
      <c r="H1495" s="11"/>
      <c r="I1495" s="11"/>
      <c r="J1495" s="10">
        <f>IF($D1495="","",IF(AND($H1495&lt;&gt;"",$I1495&lt;&gt;""),"débit ET crédit",IF(AND($H1495="",$I1495=""),"montant manquant",IF(ISNA(MATCH($D1495,'Plan comptable'!$H:$H,0)),"compte hors plan",IF(AND($A1495&lt;&gt;"",YEAR($A1495)&lt;&gt;Exercice),"hors exercice","")))))</f>
      </c>
    </row>
    <row r="1496">
      <c r="A1496" s="13"/>
      <c r="B1496" s="10"/>
      <c r="C1496" s="9"/>
      <c r="D1496" s="20"/>
      <c r="E1496" s="9">
        <f>IF($D1496="","",IFERROR(VLOOKUP($D1496,'Plan comptable'!$H:$I,2,FALSE),"compte hors plan"))</f>
      </c>
      <c r="F1496" s="9"/>
      <c r="G1496" s="10"/>
      <c r="H1496" s="11"/>
      <c r="I1496" s="11"/>
      <c r="J1496" s="10">
        <f>IF($D1496="","",IF(AND($H1496&lt;&gt;"",$I1496&lt;&gt;""),"débit ET crédit",IF(AND($H1496="",$I1496=""),"montant manquant",IF(ISNA(MATCH($D1496,'Plan comptable'!$H:$H,0)),"compte hors plan",IF(AND($A1496&lt;&gt;"",YEAR($A1496)&lt;&gt;Exercice),"hors exercice","")))))</f>
      </c>
    </row>
    <row r="1497">
      <c r="A1497" s="13"/>
      <c r="B1497" s="10"/>
      <c r="C1497" s="9"/>
      <c r="D1497" s="20"/>
      <c r="E1497" s="9">
        <f>IF($D1497="","",IFERROR(VLOOKUP($D1497,'Plan comptable'!$H:$I,2,FALSE),"compte hors plan"))</f>
      </c>
      <c r="F1497" s="9"/>
      <c r="G1497" s="10"/>
      <c r="H1497" s="11"/>
      <c r="I1497" s="11"/>
      <c r="J1497" s="10">
        <f>IF($D1497="","",IF(AND($H1497&lt;&gt;"",$I1497&lt;&gt;""),"débit ET crédit",IF(AND($H1497="",$I1497=""),"montant manquant",IF(ISNA(MATCH($D1497,'Plan comptable'!$H:$H,0)),"compte hors plan",IF(AND($A1497&lt;&gt;"",YEAR($A1497)&lt;&gt;Exercice),"hors exercice","")))))</f>
      </c>
    </row>
    <row r="1498">
      <c r="A1498" s="13"/>
      <c r="B1498" s="10"/>
      <c r="C1498" s="9"/>
      <c r="D1498" s="20"/>
      <c r="E1498" s="9">
        <f>IF($D1498="","",IFERROR(VLOOKUP($D1498,'Plan comptable'!$H:$I,2,FALSE),"compte hors plan"))</f>
      </c>
      <c r="F1498" s="9"/>
      <c r="G1498" s="10"/>
      <c r="H1498" s="11"/>
      <c r="I1498" s="11"/>
      <c r="J1498" s="10">
        <f>IF($D1498="","",IF(AND($H1498&lt;&gt;"",$I1498&lt;&gt;""),"débit ET crédit",IF(AND($H1498="",$I1498=""),"montant manquant",IF(ISNA(MATCH($D1498,'Plan comptable'!$H:$H,0)),"compte hors plan",IF(AND($A1498&lt;&gt;"",YEAR($A1498)&lt;&gt;Exercice),"hors exercice","")))))</f>
      </c>
    </row>
    <row r="1499">
      <c r="A1499" s="13"/>
      <c r="B1499" s="10"/>
      <c r="C1499" s="9"/>
      <c r="D1499" s="20"/>
      <c r="E1499" s="9">
        <f>IF($D1499="","",IFERROR(VLOOKUP($D1499,'Plan comptable'!$H:$I,2,FALSE),"compte hors plan"))</f>
      </c>
      <c r="F1499" s="9"/>
      <c r="G1499" s="10"/>
      <c r="H1499" s="11"/>
      <c r="I1499" s="11"/>
      <c r="J1499" s="10">
        <f>IF($D1499="","",IF(AND($H1499&lt;&gt;"",$I1499&lt;&gt;""),"débit ET crédit",IF(AND($H1499="",$I1499=""),"montant manquant",IF(ISNA(MATCH($D1499,'Plan comptable'!$H:$H,0)),"compte hors plan",IF(AND($A1499&lt;&gt;"",YEAR($A1499)&lt;&gt;Exercice),"hors exercice","")))))</f>
      </c>
    </row>
    <row r="1500">
      <c r="A1500" s="13"/>
      <c r="B1500" s="10"/>
      <c r="C1500" s="9"/>
      <c r="D1500" s="20"/>
      <c r="E1500" s="9">
        <f>IF($D1500="","",IFERROR(VLOOKUP($D1500,'Plan comptable'!$H:$I,2,FALSE),"compte hors plan"))</f>
      </c>
      <c r="F1500" s="9"/>
      <c r="G1500" s="10"/>
      <c r="H1500" s="11"/>
      <c r="I1500" s="11"/>
      <c r="J1500" s="10">
        <f>IF($D1500="","",IF(AND($H1500&lt;&gt;"",$I1500&lt;&gt;""),"débit ET crédit",IF(AND($H1500="",$I1500=""),"montant manquant",IF(ISNA(MATCH($D1500,'Plan comptable'!$H:$H,0)),"compte hors plan",IF(AND($A1500&lt;&gt;"",YEAR($A1500)&lt;&gt;Exercice),"hors exercice","")))))</f>
      </c>
    </row>
    <row r="1501">
      <c r="A1501" s="13"/>
      <c r="B1501" s="10"/>
      <c r="C1501" s="9"/>
      <c r="D1501" s="20"/>
      <c r="E1501" s="9">
        <f>IF($D1501="","",IFERROR(VLOOKUP($D1501,'Plan comptable'!$H:$I,2,FALSE),"compte hors plan"))</f>
      </c>
      <c r="F1501" s="9"/>
      <c r="G1501" s="10"/>
      <c r="H1501" s="11"/>
      <c r="I1501" s="11"/>
      <c r="J1501" s="10">
        <f>IF($D1501="","",IF(AND($H1501&lt;&gt;"",$I1501&lt;&gt;""),"débit ET crédit",IF(AND($H1501="",$I1501=""),"montant manquant",IF(ISNA(MATCH($D1501,'Plan comptable'!$H:$H,0)),"compte hors plan",IF(AND($A1501&lt;&gt;"",YEAR($A1501)&lt;&gt;Exercice),"hors exercice","")))))</f>
      </c>
    </row>
    <row r="1502">
      <c r="A1502" s="13"/>
      <c r="B1502" s="10"/>
      <c r="C1502" s="9"/>
      <c r="D1502" s="20"/>
      <c r="E1502" s="9">
        <f>IF($D1502="","",IFERROR(VLOOKUP($D1502,'Plan comptable'!$H:$I,2,FALSE),"compte hors plan"))</f>
      </c>
      <c r="F1502" s="9"/>
      <c r="G1502" s="10"/>
      <c r="H1502" s="11"/>
      <c r="I1502" s="11"/>
      <c r="J1502" s="10">
        <f>IF($D1502="","",IF(AND($H1502&lt;&gt;"",$I1502&lt;&gt;""),"débit ET crédit",IF(AND($H1502="",$I1502=""),"montant manquant",IF(ISNA(MATCH($D1502,'Plan comptable'!$H:$H,0)),"compte hors plan",IF(AND($A1502&lt;&gt;"",YEAR($A1502)&lt;&gt;Exercice),"hors exercice","")))))</f>
      </c>
    </row>
    <row r="1503">
      <c r="A1503" s="13"/>
      <c r="B1503" s="10"/>
      <c r="C1503" s="9"/>
      <c r="D1503" s="20"/>
      <c r="E1503" s="9">
        <f>IF($D1503="","",IFERROR(VLOOKUP($D1503,'Plan comptable'!$H:$I,2,FALSE),"compte hors plan"))</f>
      </c>
      <c r="F1503" s="9"/>
      <c r="G1503" s="10"/>
      <c r="H1503" s="11"/>
      <c r="I1503" s="11"/>
      <c r="J1503" s="10">
        <f>IF($D1503="","",IF(AND($H1503&lt;&gt;"",$I1503&lt;&gt;""),"débit ET crédit",IF(AND($H1503="",$I1503=""),"montant manquant",IF(ISNA(MATCH($D1503,'Plan comptable'!$H:$H,0)),"compte hors plan",IF(AND($A1503&lt;&gt;"",YEAR($A1503)&lt;&gt;Exercice),"hors exercice","")))))</f>
      </c>
    </row>
    <row r="1504">
      <c r="A1504" s="13"/>
      <c r="B1504" s="10"/>
      <c r="C1504" s="9"/>
      <c r="D1504" s="20"/>
      <c r="E1504" s="9">
        <f>IF($D1504="","",IFERROR(VLOOKUP($D1504,'Plan comptable'!$H:$I,2,FALSE),"compte hors plan"))</f>
      </c>
      <c r="F1504" s="9"/>
      <c r="G1504" s="10"/>
      <c r="H1504" s="11"/>
      <c r="I1504" s="11"/>
      <c r="J1504" s="10">
        <f>IF($D1504="","",IF(AND($H1504&lt;&gt;"",$I1504&lt;&gt;""),"débit ET crédit",IF(AND($H1504="",$I1504=""),"montant manquant",IF(ISNA(MATCH($D1504,'Plan comptable'!$H:$H,0)),"compte hors plan",IF(AND($A1504&lt;&gt;"",YEAR($A1504)&lt;&gt;Exercice),"hors exercice","")))))</f>
      </c>
    </row>
    <row r="1505">
      <c r="A1505" s="13"/>
      <c r="B1505" s="10"/>
      <c r="C1505" s="9"/>
      <c r="D1505" s="20"/>
      <c r="E1505" s="9">
        <f>IF($D1505="","",IFERROR(VLOOKUP($D1505,'Plan comptable'!$H:$I,2,FALSE),"compte hors plan"))</f>
      </c>
      <c r="F1505" s="9"/>
      <c r="G1505" s="10"/>
      <c r="H1505" s="11"/>
      <c r="I1505" s="11"/>
      <c r="J1505" s="10">
        <f>IF($D1505="","",IF(AND($H1505&lt;&gt;"",$I1505&lt;&gt;""),"débit ET crédit",IF(AND($H1505="",$I1505=""),"montant manquant",IF(ISNA(MATCH($D1505,'Plan comptable'!$H:$H,0)),"compte hors plan",IF(AND($A1505&lt;&gt;"",YEAR($A1505)&lt;&gt;Exercice),"hors exercice","")))))</f>
      </c>
    </row>
    <row r="1506">
      <c r="A1506" s="13"/>
      <c r="B1506" s="10"/>
      <c r="C1506" s="9"/>
      <c r="D1506" s="20"/>
      <c r="E1506" s="9">
        <f>IF($D1506="","",IFERROR(VLOOKUP($D1506,'Plan comptable'!$H:$I,2,FALSE),"compte hors plan"))</f>
      </c>
      <c r="F1506" s="9"/>
      <c r="G1506" s="10"/>
      <c r="H1506" s="11"/>
      <c r="I1506" s="11"/>
      <c r="J1506" s="10">
        <f>IF($D1506="","",IF(AND($H1506&lt;&gt;"",$I1506&lt;&gt;""),"débit ET crédit",IF(AND($H1506="",$I1506=""),"montant manquant",IF(ISNA(MATCH($D1506,'Plan comptable'!$H:$H,0)),"compte hors plan",IF(AND($A1506&lt;&gt;"",YEAR($A1506)&lt;&gt;Exercice),"hors exercice","")))))</f>
      </c>
    </row>
    <row r="1507">
      <c r="A1507" s="13"/>
      <c r="B1507" s="10"/>
      <c r="C1507" s="9"/>
      <c r="D1507" s="20"/>
      <c r="E1507" s="9">
        <f>IF($D1507="","",IFERROR(VLOOKUP($D1507,'Plan comptable'!$H:$I,2,FALSE),"compte hors plan"))</f>
      </c>
      <c r="F1507" s="9"/>
      <c r="G1507" s="10"/>
      <c r="H1507" s="11"/>
      <c r="I1507" s="11"/>
      <c r="J1507" s="10">
        <f>IF($D1507="","",IF(AND($H1507&lt;&gt;"",$I1507&lt;&gt;""),"débit ET crédit",IF(AND($H1507="",$I1507=""),"montant manquant",IF(ISNA(MATCH($D1507,'Plan comptable'!$H:$H,0)),"compte hors plan",IF(AND($A1507&lt;&gt;"",YEAR($A1507)&lt;&gt;Exercice),"hors exercice","")))))</f>
      </c>
    </row>
    <row r="1508">
      <c r="A1508" s="13"/>
      <c r="B1508" s="10"/>
      <c r="C1508" s="9"/>
      <c r="D1508" s="20"/>
      <c r="E1508" s="9">
        <f>IF($D1508="","",IFERROR(VLOOKUP($D1508,'Plan comptable'!$H:$I,2,FALSE),"compte hors plan"))</f>
      </c>
      <c r="F1508" s="9"/>
      <c r="G1508" s="10"/>
      <c r="H1508" s="11"/>
      <c r="I1508" s="11"/>
      <c r="J1508" s="10">
        <f>IF($D1508="","",IF(AND($H1508&lt;&gt;"",$I1508&lt;&gt;""),"débit ET crédit",IF(AND($H1508="",$I1508=""),"montant manquant",IF(ISNA(MATCH($D1508,'Plan comptable'!$H:$H,0)),"compte hors plan",IF(AND($A1508&lt;&gt;"",YEAR($A1508)&lt;&gt;Exercice),"hors exercice","")))))</f>
      </c>
    </row>
    <row r="1509">
      <c r="A1509" s="13"/>
      <c r="B1509" s="10"/>
      <c r="C1509" s="9"/>
      <c r="D1509" s="20"/>
      <c r="E1509" s="9">
        <f>IF($D1509="","",IFERROR(VLOOKUP($D1509,'Plan comptable'!$H:$I,2,FALSE),"compte hors plan"))</f>
      </c>
      <c r="F1509" s="9"/>
      <c r="G1509" s="10"/>
      <c r="H1509" s="11"/>
      <c r="I1509" s="11"/>
      <c r="J1509" s="10">
        <f>IF($D1509="","",IF(AND($H1509&lt;&gt;"",$I1509&lt;&gt;""),"débit ET crédit",IF(AND($H1509="",$I1509=""),"montant manquant",IF(ISNA(MATCH($D1509,'Plan comptable'!$H:$H,0)),"compte hors plan",IF(AND($A1509&lt;&gt;"",YEAR($A1509)&lt;&gt;Exercice),"hors exercice","")))))</f>
      </c>
    </row>
    <row r="1510">
      <c r="A1510" s="13"/>
      <c r="B1510" s="10"/>
      <c r="C1510" s="9"/>
      <c r="D1510" s="20"/>
      <c r="E1510" s="9">
        <f>IF($D1510="","",IFERROR(VLOOKUP($D1510,'Plan comptable'!$H:$I,2,FALSE),"compte hors plan"))</f>
      </c>
      <c r="F1510" s="9"/>
      <c r="G1510" s="10"/>
      <c r="H1510" s="11"/>
      <c r="I1510" s="11"/>
      <c r="J1510" s="10">
        <f>IF($D1510="","",IF(AND($H1510&lt;&gt;"",$I1510&lt;&gt;""),"débit ET crédit",IF(AND($H1510="",$I1510=""),"montant manquant",IF(ISNA(MATCH($D1510,'Plan comptable'!$H:$H,0)),"compte hors plan",IF(AND($A1510&lt;&gt;"",YEAR($A1510)&lt;&gt;Exercice),"hors exercice","")))))</f>
      </c>
    </row>
    <row r="1511">
      <c r="A1511" s="13"/>
      <c r="B1511" s="10"/>
      <c r="C1511" s="9"/>
      <c r="D1511" s="20"/>
      <c r="E1511" s="9">
        <f>IF($D1511="","",IFERROR(VLOOKUP($D1511,'Plan comptable'!$H:$I,2,FALSE),"compte hors plan"))</f>
      </c>
      <c r="F1511" s="9"/>
      <c r="G1511" s="10"/>
      <c r="H1511" s="11"/>
      <c r="I1511" s="11"/>
      <c r="J1511" s="10">
        <f>IF($D1511="","",IF(AND($H1511&lt;&gt;"",$I1511&lt;&gt;""),"débit ET crédit",IF(AND($H1511="",$I1511=""),"montant manquant",IF(ISNA(MATCH($D1511,'Plan comptable'!$H:$H,0)),"compte hors plan",IF(AND($A1511&lt;&gt;"",YEAR($A1511)&lt;&gt;Exercice),"hors exercice","")))))</f>
      </c>
    </row>
    <row r="1512">
      <c r="A1512" s="13"/>
      <c r="B1512" s="10"/>
      <c r="C1512" s="9"/>
      <c r="D1512" s="20"/>
      <c r="E1512" s="9">
        <f>IF($D1512="","",IFERROR(VLOOKUP($D1512,'Plan comptable'!$H:$I,2,FALSE),"compte hors plan"))</f>
      </c>
      <c r="F1512" s="9"/>
      <c r="G1512" s="10"/>
      <c r="H1512" s="11"/>
      <c r="I1512" s="11"/>
      <c r="J1512" s="10">
        <f>IF($D1512="","",IF(AND($H1512&lt;&gt;"",$I1512&lt;&gt;""),"débit ET crédit",IF(AND($H1512="",$I1512=""),"montant manquant",IF(ISNA(MATCH($D1512,'Plan comptable'!$H:$H,0)),"compte hors plan",IF(AND($A1512&lt;&gt;"",YEAR($A1512)&lt;&gt;Exercice),"hors exercice","")))))</f>
      </c>
    </row>
    <row r="1513">
      <c r="A1513" s="13"/>
      <c r="B1513" s="10"/>
      <c r="C1513" s="9"/>
      <c r="D1513" s="20"/>
      <c r="E1513" s="9">
        <f>IF($D1513="","",IFERROR(VLOOKUP($D1513,'Plan comptable'!$H:$I,2,FALSE),"compte hors plan"))</f>
      </c>
      <c r="F1513" s="9"/>
      <c r="G1513" s="10"/>
      <c r="H1513" s="11"/>
      <c r="I1513" s="11"/>
      <c r="J1513" s="10">
        <f>IF($D1513="","",IF(AND($H1513&lt;&gt;"",$I1513&lt;&gt;""),"débit ET crédit",IF(AND($H1513="",$I1513=""),"montant manquant",IF(ISNA(MATCH($D1513,'Plan comptable'!$H:$H,0)),"compte hors plan",IF(AND($A1513&lt;&gt;"",YEAR($A1513)&lt;&gt;Exercice),"hors exercice","")))))</f>
      </c>
    </row>
    <row r="1514">
      <c r="A1514" s="13"/>
      <c r="B1514" s="10"/>
      <c r="C1514" s="9"/>
      <c r="D1514" s="20"/>
      <c r="E1514" s="9">
        <f>IF($D1514="","",IFERROR(VLOOKUP($D1514,'Plan comptable'!$H:$I,2,FALSE),"compte hors plan"))</f>
      </c>
      <c r="F1514" s="9"/>
      <c r="G1514" s="10"/>
      <c r="H1514" s="11"/>
      <c r="I1514" s="11"/>
      <c r="J1514" s="10">
        <f>IF($D1514="","",IF(AND($H1514&lt;&gt;"",$I1514&lt;&gt;""),"débit ET crédit",IF(AND($H1514="",$I1514=""),"montant manquant",IF(ISNA(MATCH($D1514,'Plan comptable'!$H:$H,0)),"compte hors plan",IF(AND($A1514&lt;&gt;"",YEAR($A1514)&lt;&gt;Exercice),"hors exercice","")))))</f>
      </c>
    </row>
    <row r="1515">
      <c r="A1515" s="13"/>
      <c r="B1515" s="10"/>
      <c r="C1515" s="9"/>
      <c r="D1515" s="20"/>
      <c r="E1515" s="9">
        <f>IF($D1515="","",IFERROR(VLOOKUP($D1515,'Plan comptable'!$H:$I,2,FALSE),"compte hors plan"))</f>
      </c>
      <c r="F1515" s="9"/>
      <c r="G1515" s="10"/>
      <c r="H1515" s="11"/>
      <c r="I1515" s="11"/>
      <c r="J1515" s="10">
        <f>IF($D1515="","",IF(AND($H1515&lt;&gt;"",$I1515&lt;&gt;""),"débit ET crédit",IF(AND($H1515="",$I1515=""),"montant manquant",IF(ISNA(MATCH($D1515,'Plan comptable'!$H:$H,0)),"compte hors plan",IF(AND($A1515&lt;&gt;"",YEAR($A1515)&lt;&gt;Exercice),"hors exercice","")))))</f>
      </c>
    </row>
    <row r="1516">
      <c r="A1516" s="13"/>
      <c r="B1516" s="10"/>
      <c r="C1516" s="9"/>
      <c r="D1516" s="20"/>
      <c r="E1516" s="9">
        <f>IF($D1516="","",IFERROR(VLOOKUP($D1516,'Plan comptable'!$H:$I,2,FALSE),"compte hors plan"))</f>
      </c>
      <c r="F1516" s="9"/>
      <c r="G1516" s="10"/>
      <c r="H1516" s="11"/>
      <c r="I1516" s="11"/>
      <c r="J1516" s="10">
        <f>IF($D1516="","",IF(AND($H1516&lt;&gt;"",$I1516&lt;&gt;""),"débit ET crédit",IF(AND($H1516="",$I1516=""),"montant manquant",IF(ISNA(MATCH($D1516,'Plan comptable'!$H:$H,0)),"compte hors plan",IF(AND($A1516&lt;&gt;"",YEAR($A1516)&lt;&gt;Exercice),"hors exercice","")))))</f>
      </c>
    </row>
    <row r="1517">
      <c r="A1517" s="13"/>
      <c r="B1517" s="10"/>
      <c r="C1517" s="9"/>
      <c r="D1517" s="20"/>
      <c r="E1517" s="9">
        <f>IF($D1517="","",IFERROR(VLOOKUP($D1517,'Plan comptable'!$H:$I,2,FALSE),"compte hors plan"))</f>
      </c>
      <c r="F1517" s="9"/>
      <c r="G1517" s="10"/>
      <c r="H1517" s="11"/>
      <c r="I1517" s="11"/>
      <c r="J1517" s="10">
        <f>IF($D1517="","",IF(AND($H1517&lt;&gt;"",$I1517&lt;&gt;""),"débit ET crédit",IF(AND($H1517="",$I1517=""),"montant manquant",IF(ISNA(MATCH($D1517,'Plan comptable'!$H:$H,0)),"compte hors plan",IF(AND($A1517&lt;&gt;"",YEAR($A1517)&lt;&gt;Exercice),"hors exercice","")))))</f>
      </c>
    </row>
    <row r="1518">
      <c r="A1518" s="13"/>
      <c r="B1518" s="10"/>
      <c r="C1518" s="9"/>
      <c r="D1518" s="20"/>
      <c r="E1518" s="9">
        <f>IF($D1518="","",IFERROR(VLOOKUP($D1518,'Plan comptable'!$H:$I,2,FALSE),"compte hors plan"))</f>
      </c>
      <c r="F1518" s="9"/>
      <c r="G1518" s="10"/>
      <c r="H1518" s="11"/>
      <c r="I1518" s="11"/>
      <c r="J1518" s="10">
        <f>IF($D1518="","",IF(AND($H1518&lt;&gt;"",$I1518&lt;&gt;""),"débit ET crédit",IF(AND($H1518="",$I1518=""),"montant manquant",IF(ISNA(MATCH($D1518,'Plan comptable'!$H:$H,0)),"compte hors plan",IF(AND($A1518&lt;&gt;"",YEAR($A1518)&lt;&gt;Exercice),"hors exercice","")))))</f>
      </c>
    </row>
    <row r="1519">
      <c r="A1519" s="13"/>
      <c r="B1519" s="10"/>
      <c r="C1519" s="9"/>
      <c r="D1519" s="20"/>
      <c r="E1519" s="9">
        <f>IF($D1519="","",IFERROR(VLOOKUP($D1519,'Plan comptable'!$H:$I,2,FALSE),"compte hors plan"))</f>
      </c>
      <c r="F1519" s="9"/>
      <c r="G1519" s="10"/>
      <c r="H1519" s="11"/>
      <c r="I1519" s="11"/>
      <c r="J1519" s="10">
        <f>IF($D1519="","",IF(AND($H1519&lt;&gt;"",$I1519&lt;&gt;""),"débit ET crédit",IF(AND($H1519="",$I1519=""),"montant manquant",IF(ISNA(MATCH($D1519,'Plan comptable'!$H:$H,0)),"compte hors plan",IF(AND($A1519&lt;&gt;"",YEAR($A1519)&lt;&gt;Exercice),"hors exercice","")))))</f>
      </c>
    </row>
    <row r="1520">
      <c r="A1520" s="13"/>
      <c r="B1520" s="10"/>
      <c r="C1520" s="9"/>
      <c r="D1520" s="20"/>
      <c r="E1520" s="9">
        <f>IF($D1520="","",IFERROR(VLOOKUP($D1520,'Plan comptable'!$H:$I,2,FALSE),"compte hors plan"))</f>
      </c>
      <c r="F1520" s="9"/>
      <c r="G1520" s="10"/>
      <c r="H1520" s="11"/>
      <c r="I1520" s="11"/>
      <c r="J1520" s="10">
        <f>IF($D1520="","",IF(AND($H1520&lt;&gt;"",$I1520&lt;&gt;""),"débit ET crédit",IF(AND($H1520="",$I1520=""),"montant manquant",IF(ISNA(MATCH($D1520,'Plan comptable'!$H:$H,0)),"compte hors plan",IF(AND($A1520&lt;&gt;"",YEAR($A1520)&lt;&gt;Exercice),"hors exercice","")))))</f>
      </c>
    </row>
    <row r="1521">
      <c r="A1521" s="13"/>
      <c r="B1521" s="10"/>
      <c r="C1521" s="9"/>
      <c r="D1521" s="20"/>
      <c r="E1521" s="9">
        <f>IF($D1521="","",IFERROR(VLOOKUP($D1521,'Plan comptable'!$H:$I,2,FALSE),"compte hors plan"))</f>
      </c>
      <c r="F1521" s="9"/>
      <c r="G1521" s="10"/>
      <c r="H1521" s="11"/>
      <c r="I1521" s="11"/>
      <c r="J1521" s="10">
        <f>IF($D1521="","",IF(AND($H1521&lt;&gt;"",$I1521&lt;&gt;""),"débit ET crédit",IF(AND($H1521="",$I1521=""),"montant manquant",IF(ISNA(MATCH($D1521,'Plan comptable'!$H:$H,0)),"compte hors plan",IF(AND($A1521&lt;&gt;"",YEAR($A1521)&lt;&gt;Exercice),"hors exercice","")))))</f>
      </c>
    </row>
    <row r="1522">
      <c r="A1522" s="13"/>
      <c r="B1522" s="10"/>
      <c r="C1522" s="9"/>
      <c r="D1522" s="20"/>
      <c r="E1522" s="9">
        <f>IF($D1522="","",IFERROR(VLOOKUP($D1522,'Plan comptable'!$H:$I,2,FALSE),"compte hors plan"))</f>
      </c>
      <c r="F1522" s="9"/>
      <c r="G1522" s="10"/>
      <c r="H1522" s="11"/>
      <c r="I1522" s="11"/>
      <c r="J1522" s="10">
        <f>IF($D1522="","",IF(AND($H1522&lt;&gt;"",$I1522&lt;&gt;""),"débit ET crédit",IF(AND($H1522="",$I1522=""),"montant manquant",IF(ISNA(MATCH($D1522,'Plan comptable'!$H:$H,0)),"compte hors plan",IF(AND($A1522&lt;&gt;"",YEAR($A1522)&lt;&gt;Exercice),"hors exercice","")))))</f>
      </c>
    </row>
    <row r="1523">
      <c r="A1523" s="13"/>
      <c r="B1523" s="10"/>
      <c r="C1523" s="9"/>
      <c r="D1523" s="20"/>
      <c r="E1523" s="9">
        <f>IF($D1523="","",IFERROR(VLOOKUP($D1523,'Plan comptable'!$H:$I,2,FALSE),"compte hors plan"))</f>
      </c>
      <c r="F1523" s="9"/>
      <c r="G1523" s="10"/>
      <c r="H1523" s="11"/>
      <c r="I1523" s="11"/>
      <c r="J1523" s="10">
        <f>IF($D1523="","",IF(AND($H1523&lt;&gt;"",$I1523&lt;&gt;""),"débit ET crédit",IF(AND($H1523="",$I1523=""),"montant manquant",IF(ISNA(MATCH($D1523,'Plan comptable'!$H:$H,0)),"compte hors plan",IF(AND($A1523&lt;&gt;"",YEAR($A1523)&lt;&gt;Exercice),"hors exercice","")))))</f>
      </c>
    </row>
    <row r="1524">
      <c r="A1524" s="13"/>
      <c r="B1524" s="10"/>
      <c r="C1524" s="9"/>
      <c r="D1524" s="20"/>
      <c r="E1524" s="9">
        <f>IF($D1524="","",IFERROR(VLOOKUP($D1524,'Plan comptable'!$H:$I,2,FALSE),"compte hors plan"))</f>
      </c>
      <c r="F1524" s="9"/>
      <c r="G1524" s="10"/>
      <c r="H1524" s="11"/>
      <c r="I1524" s="11"/>
      <c r="J1524" s="10">
        <f>IF($D1524="","",IF(AND($H1524&lt;&gt;"",$I1524&lt;&gt;""),"débit ET crédit",IF(AND($H1524="",$I1524=""),"montant manquant",IF(ISNA(MATCH($D1524,'Plan comptable'!$H:$H,0)),"compte hors plan",IF(AND($A1524&lt;&gt;"",YEAR($A1524)&lt;&gt;Exercice),"hors exercice","")))))</f>
      </c>
    </row>
    <row r="1525">
      <c r="A1525" s="13"/>
      <c r="B1525" s="10"/>
      <c r="C1525" s="9"/>
      <c r="D1525" s="20"/>
      <c r="E1525" s="9">
        <f>IF($D1525="","",IFERROR(VLOOKUP($D1525,'Plan comptable'!$H:$I,2,FALSE),"compte hors plan"))</f>
      </c>
      <c r="F1525" s="9"/>
      <c r="G1525" s="10"/>
      <c r="H1525" s="11"/>
      <c r="I1525" s="11"/>
      <c r="J1525" s="10">
        <f>IF($D1525="","",IF(AND($H1525&lt;&gt;"",$I1525&lt;&gt;""),"débit ET crédit",IF(AND($H1525="",$I1525=""),"montant manquant",IF(ISNA(MATCH($D1525,'Plan comptable'!$H:$H,0)),"compte hors plan",IF(AND($A1525&lt;&gt;"",YEAR($A1525)&lt;&gt;Exercice),"hors exercice","")))))</f>
      </c>
    </row>
    <row r="1526">
      <c r="A1526" s="13"/>
      <c r="B1526" s="10"/>
      <c r="C1526" s="9"/>
      <c r="D1526" s="20"/>
      <c r="E1526" s="9">
        <f>IF($D1526="","",IFERROR(VLOOKUP($D1526,'Plan comptable'!$H:$I,2,FALSE),"compte hors plan"))</f>
      </c>
      <c r="F1526" s="9"/>
      <c r="G1526" s="10"/>
      <c r="H1526" s="11"/>
      <c r="I1526" s="11"/>
      <c r="J1526" s="10">
        <f>IF($D1526="","",IF(AND($H1526&lt;&gt;"",$I1526&lt;&gt;""),"débit ET crédit",IF(AND($H1526="",$I1526=""),"montant manquant",IF(ISNA(MATCH($D1526,'Plan comptable'!$H:$H,0)),"compte hors plan",IF(AND($A1526&lt;&gt;"",YEAR($A1526)&lt;&gt;Exercice),"hors exercice","")))))</f>
      </c>
    </row>
    <row r="1527">
      <c r="A1527" s="13"/>
      <c r="B1527" s="10"/>
      <c r="C1527" s="9"/>
      <c r="D1527" s="20"/>
      <c r="E1527" s="9">
        <f>IF($D1527="","",IFERROR(VLOOKUP($D1527,'Plan comptable'!$H:$I,2,FALSE),"compte hors plan"))</f>
      </c>
      <c r="F1527" s="9"/>
      <c r="G1527" s="10"/>
      <c r="H1527" s="11"/>
      <c r="I1527" s="11"/>
      <c r="J1527" s="10">
        <f>IF($D1527="","",IF(AND($H1527&lt;&gt;"",$I1527&lt;&gt;""),"débit ET crédit",IF(AND($H1527="",$I1527=""),"montant manquant",IF(ISNA(MATCH($D1527,'Plan comptable'!$H:$H,0)),"compte hors plan",IF(AND($A1527&lt;&gt;"",YEAR($A1527)&lt;&gt;Exercice),"hors exercice","")))))</f>
      </c>
    </row>
    <row r="1528">
      <c r="A1528" s="13"/>
      <c r="B1528" s="10"/>
      <c r="C1528" s="9"/>
      <c r="D1528" s="20"/>
      <c r="E1528" s="9">
        <f>IF($D1528="","",IFERROR(VLOOKUP($D1528,'Plan comptable'!$H:$I,2,FALSE),"compte hors plan"))</f>
      </c>
      <c r="F1528" s="9"/>
      <c r="G1528" s="10"/>
      <c r="H1528" s="11"/>
      <c r="I1528" s="11"/>
      <c r="J1528" s="10">
        <f>IF($D1528="","",IF(AND($H1528&lt;&gt;"",$I1528&lt;&gt;""),"débit ET crédit",IF(AND($H1528="",$I1528=""),"montant manquant",IF(ISNA(MATCH($D1528,'Plan comptable'!$H:$H,0)),"compte hors plan",IF(AND($A1528&lt;&gt;"",YEAR($A1528)&lt;&gt;Exercice),"hors exercice","")))))</f>
      </c>
    </row>
    <row r="1529">
      <c r="A1529" s="13"/>
      <c r="B1529" s="10"/>
      <c r="C1529" s="9"/>
      <c r="D1529" s="20"/>
      <c r="E1529" s="9">
        <f>IF($D1529="","",IFERROR(VLOOKUP($D1529,'Plan comptable'!$H:$I,2,FALSE),"compte hors plan"))</f>
      </c>
      <c r="F1529" s="9"/>
      <c r="G1529" s="10"/>
      <c r="H1529" s="11"/>
      <c r="I1529" s="11"/>
      <c r="J1529" s="10">
        <f>IF($D1529="","",IF(AND($H1529&lt;&gt;"",$I1529&lt;&gt;""),"débit ET crédit",IF(AND($H1529="",$I1529=""),"montant manquant",IF(ISNA(MATCH($D1529,'Plan comptable'!$H:$H,0)),"compte hors plan",IF(AND($A1529&lt;&gt;"",YEAR($A1529)&lt;&gt;Exercice),"hors exercice","")))))</f>
      </c>
    </row>
    <row r="1530">
      <c r="A1530" s="13"/>
      <c r="B1530" s="10"/>
      <c r="C1530" s="9"/>
      <c r="D1530" s="20"/>
      <c r="E1530" s="9">
        <f>IF($D1530="","",IFERROR(VLOOKUP($D1530,'Plan comptable'!$H:$I,2,FALSE),"compte hors plan"))</f>
      </c>
      <c r="F1530" s="9"/>
      <c r="G1530" s="10"/>
      <c r="H1530" s="11"/>
      <c r="I1530" s="11"/>
      <c r="J1530" s="10">
        <f>IF($D1530="","",IF(AND($H1530&lt;&gt;"",$I1530&lt;&gt;""),"débit ET crédit",IF(AND($H1530="",$I1530=""),"montant manquant",IF(ISNA(MATCH($D1530,'Plan comptable'!$H:$H,0)),"compte hors plan",IF(AND($A1530&lt;&gt;"",YEAR($A1530)&lt;&gt;Exercice),"hors exercice","")))))</f>
      </c>
    </row>
    <row r="1531">
      <c r="A1531" s="13"/>
      <c r="B1531" s="10"/>
      <c r="C1531" s="9"/>
      <c r="D1531" s="20"/>
      <c r="E1531" s="9">
        <f>IF($D1531="","",IFERROR(VLOOKUP($D1531,'Plan comptable'!$H:$I,2,FALSE),"compte hors plan"))</f>
      </c>
      <c r="F1531" s="9"/>
      <c r="G1531" s="10"/>
      <c r="H1531" s="11"/>
      <c r="I1531" s="11"/>
      <c r="J1531" s="10">
        <f>IF($D1531="","",IF(AND($H1531&lt;&gt;"",$I1531&lt;&gt;""),"débit ET crédit",IF(AND($H1531="",$I1531=""),"montant manquant",IF(ISNA(MATCH($D1531,'Plan comptable'!$H:$H,0)),"compte hors plan",IF(AND($A1531&lt;&gt;"",YEAR($A1531)&lt;&gt;Exercice),"hors exercice","")))))</f>
      </c>
    </row>
    <row r="1532">
      <c r="A1532" s="13"/>
      <c r="B1532" s="10"/>
      <c r="C1532" s="9"/>
      <c r="D1532" s="20"/>
      <c r="E1532" s="9">
        <f>IF($D1532="","",IFERROR(VLOOKUP($D1532,'Plan comptable'!$H:$I,2,FALSE),"compte hors plan"))</f>
      </c>
      <c r="F1532" s="9"/>
      <c r="G1532" s="10"/>
      <c r="H1532" s="11"/>
      <c r="I1532" s="11"/>
      <c r="J1532" s="10">
        <f>IF($D1532="","",IF(AND($H1532&lt;&gt;"",$I1532&lt;&gt;""),"débit ET crédit",IF(AND($H1532="",$I1532=""),"montant manquant",IF(ISNA(MATCH($D1532,'Plan comptable'!$H:$H,0)),"compte hors plan",IF(AND($A1532&lt;&gt;"",YEAR($A1532)&lt;&gt;Exercice),"hors exercice","")))))</f>
      </c>
    </row>
    <row r="1533">
      <c r="A1533" s="13"/>
      <c r="B1533" s="10"/>
      <c r="C1533" s="9"/>
      <c r="D1533" s="20"/>
      <c r="E1533" s="9">
        <f>IF($D1533="","",IFERROR(VLOOKUP($D1533,'Plan comptable'!$H:$I,2,FALSE),"compte hors plan"))</f>
      </c>
      <c r="F1533" s="9"/>
      <c r="G1533" s="10"/>
      <c r="H1533" s="11"/>
      <c r="I1533" s="11"/>
      <c r="J1533" s="10">
        <f>IF($D1533="","",IF(AND($H1533&lt;&gt;"",$I1533&lt;&gt;""),"débit ET crédit",IF(AND($H1533="",$I1533=""),"montant manquant",IF(ISNA(MATCH($D1533,'Plan comptable'!$H:$H,0)),"compte hors plan",IF(AND($A1533&lt;&gt;"",YEAR($A1533)&lt;&gt;Exercice),"hors exercice","")))))</f>
      </c>
    </row>
    <row r="1534">
      <c r="A1534" s="13"/>
      <c r="B1534" s="10"/>
      <c r="C1534" s="9"/>
      <c r="D1534" s="20"/>
      <c r="E1534" s="9">
        <f>IF($D1534="","",IFERROR(VLOOKUP($D1534,'Plan comptable'!$H:$I,2,FALSE),"compte hors plan"))</f>
      </c>
      <c r="F1534" s="9"/>
      <c r="G1534" s="10"/>
      <c r="H1534" s="11"/>
      <c r="I1534" s="11"/>
      <c r="J1534" s="10">
        <f>IF($D1534="","",IF(AND($H1534&lt;&gt;"",$I1534&lt;&gt;""),"débit ET crédit",IF(AND($H1534="",$I1534=""),"montant manquant",IF(ISNA(MATCH($D1534,'Plan comptable'!$H:$H,0)),"compte hors plan",IF(AND($A1534&lt;&gt;"",YEAR($A1534)&lt;&gt;Exercice),"hors exercice","")))))</f>
      </c>
    </row>
    <row r="1535">
      <c r="A1535" s="13"/>
      <c r="B1535" s="10"/>
      <c r="C1535" s="9"/>
      <c r="D1535" s="20"/>
      <c r="E1535" s="9">
        <f>IF($D1535="","",IFERROR(VLOOKUP($D1535,'Plan comptable'!$H:$I,2,FALSE),"compte hors plan"))</f>
      </c>
      <c r="F1535" s="9"/>
      <c r="G1535" s="10"/>
      <c r="H1535" s="11"/>
      <c r="I1535" s="11"/>
      <c r="J1535" s="10">
        <f>IF($D1535="","",IF(AND($H1535&lt;&gt;"",$I1535&lt;&gt;""),"débit ET crédit",IF(AND($H1535="",$I1535=""),"montant manquant",IF(ISNA(MATCH($D1535,'Plan comptable'!$H:$H,0)),"compte hors plan",IF(AND($A1535&lt;&gt;"",YEAR($A1535)&lt;&gt;Exercice),"hors exercice","")))))</f>
      </c>
    </row>
    <row r="1536">
      <c r="A1536" s="13"/>
      <c r="B1536" s="10"/>
      <c r="C1536" s="9"/>
      <c r="D1536" s="20"/>
      <c r="E1536" s="9">
        <f>IF($D1536="","",IFERROR(VLOOKUP($D1536,'Plan comptable'!$H:$I,2,FALSE),"compte hors plan"))</f>
      </c>
      <c r="F1536" s="9"/>
      <c r="G1536" s="10"/>
      <c r="H1536" s="11"/>
      <c r="I1536" s="11"/>
      <c r="J1536" s="10">
        <f>IF($D1536="","",IF(AND($H1536&lt;&gt;"",$I1536&lt;&gt;""),"débit ET crédit",IF(AND($H1536="",$I1536=""),"montant manquant",IF(ISNA(MATCH($D1536,'Plan comptable'!$H:$H,0)),"compte hors plan",IF(AND($A1536&lt;&gt;"",YEAR($A1536)&lt;&gt;Exercice),"hors exercice","")))))</f>
      </c>
    </row>
    <row r="1537">
      <c r="A1537" s="13"/>
      <c r="B1537" s="10"/>
      <c r="C1537" s="9"/>
      <c r="D1537" s="20"/>
      <c r="E1537" s="9">
        <f>IF($D1537="","",IFERROR(VLOOKUP($D1537,'Plan comptable'!$H:$I,2,FALSE),"compte hors plan"))</f>
      </c>
      <c r="F1537" s="9"/>
      <c r="G1537" s="10"/>
      <c r="H1537" s="11"/>
      <c r="I1537" s="11"/>
      <c r="J1537" s="10">
        <f>IF($D1537="","",IF(AND($H1537&lt;&gt;"",$I1537&lt;&gt;""),"débit ET crédit",IF(AND($H1537="",$I1537=""),"montant manquant",IF(ISNA(MATCH($D1537,'Plan comptable'!$H:$H,0)),"compte hors plan",IF(AND($A1537&lt;&gt;"",YEAR($A1537)&lt;&gt;Exercice),"hors exercice","")))))</f>
      </c>
    </row>
    <row r="1538">
      <c r="A1538" s="13"/>
      <c r="B1538" s="10"/>
      <c r="C1538" s="9"/>
      <c r="D1538" s="20"/>
      <c r="E1538" s="9">
        <f>IF($D1538="","",IFERROR(VLOOKUP($D1538,'Plan comptable'!$H:$I,2,FALSE),"compte hors plan"))</f>
      </c>
      <c r="F1538" s="9"/>
      <c r="G1538" s="10"/>
      <c r="H1538" s="11"/>
      <c r="I1538" s="11"/>
      <c r="J1538" s="10">
        <f>IF($D1538="","",IF(AND($H1538&lt;&gt;"",$I1538&lt;&gt;""),"débit ET crédit",IF(AND($H1538="",$I1538=""),"montant manquant",IF(ISNA(MATCH($D1538,'Plan comptable'!$H:$H,0)),"compte hors plan",IF(AND($A1538&lt;&gt;"",YEAR($A1538)&lt;&gt;Exercice),"hors exercice","")))))</f>
      </c>
    </row>
    <row r="1539">
      <c r="A1539" s="13"/>
      <c r="B1539" s="10"/>
      <c r="C1539" s="9"/>
      <c r="D1539" s="20"/>
      <c r="E1539" s="9">
        <f>IF($D1539="","",IFERROR(VLOOKUP($D1539,'Plan comptable'!$H:$I,2,FALSE),"compte hors plan"))</f>
      </c>
      <c r="F1539" s="9"/>
      <c r="G1539" s="10"/>
      <c r="H1539" s="11"/>
      <c r="I1539" s="11"/>
      <c r="J1539" s="10">
        <f>IF($D1539="","",IF(AND($H1539&lt;&gt;"",$I1539&lt;&gt;""),"débit ET crédit",IF(AND($H1539="",$I1539=""),"montant manquant",IF(ISNA(MATCH($D1539,'Plan comptable'!$H:$H,0)),"compte hors plan",IF(AND($A1539&lt;&gt;"",YEAR($A1539)&lt;&gt;Exercice),"hors exercice","")))))</f>
      </c>
    </row>
    <row r="1540">
      <c r="A1540" s="13"/>
      <c r="B1540" s="10"/>
      <c r="C1540" s="9"/>
      <c r="D1540" s="20"/>
      <c r="E1540" s="9">
        <f>IF($D1540="","",IFERROR(VLOOKUP($D1540,'Plan comptable'!$H:$I,2,FALSE),"compte hors plan"))</f>
      </c>
      <c r="F1540" s="9"/>
      <c r="G1540" s="10"/>
      <c r="H1540" s="11"/>
      <c r="I1540" s="11"/>
      <c r="J1540" s="10">
        <f>IF($D1540="","",IF(AND($H1540&lt;&gt;"",$I1540&lt;&gt;""),"débit ET crédit",IF(AND($H1540="",$I1540=""),"montant manquant",IF(ISNA(MATCH($D1540,'Plan comptable'!$H:$H,0)),"compte hors plan",IF(AND($A1540&lt;&gt;"",YEAR($A1540)&lt;&gt;Exercice),"hors exercice","")))))</f>
      </c>
    </row>
    <row r="1541">
      <c r="A1541" s="13"/>
      <c r="B1541" s="10"/>
      <c r="C1541" s="9"/>
      <c r="D1541" s="20"/>
      <c r="E1541" s="9">
        <f>IF($D1541="","",IFERROR(VLOOKUP($D1541,'Plan comptable'!$H:$I,2,FALSE),"compte hors plan"))</f>
      </c>
      <c r="F1541" s="9"/>
      <c r="G1541" s="10"/>
      <c r="H1541" s="11"/>
      <c r="I1541" s="11"/>
      <c r="J1541" s="10">
        <f>IF($D1541="","",IF(AND($H1541&lt;&gt;"",$I1541&lt;&gt;""),"débit ET crédit",IF(AND($H1541="",$I1541=""),"montant manquant",IF(ISNA(MATCH($D1541,'Plan comptable'!$H:$H,0)),"compte hors plan",IF(AND($A1541&lt;&gt;"",YEAR($A1541)&lt;&gt;Exercice),"hors exercice","")))))</f>
      </c>
    </row>
    <row r="1542">
      <c r="A1542" s="13"/>
      <c r="B1542" s="10"/>
      <c r="C1542" s="9"/>
      <c r="D1542" s="20"/>
      <c r="E1542" s="9">
        <f>IF($D1542="","",IFERROR(VLOOKUP($D1542,'Plan comptable'!$H:$I,2,FALSE),"compte hors plan"))</f>
      </c>
      <c r="F1542" s="9"/>
      <c r="G1542" s="10"/>
      <c r="H1542" s="11"/>
      <c r="I1542" s="11"/>
      <c r="J1542" s="10">
        <f>IF($D1542="","",IF(AND($H1542&lt;&gt;"",$I1542&lt;&gt;""),"débit ET crédit",IF(AND($H1542="",$I1542=""),"montant manquant",IF(ISNA(MATCH($D1542,'Plan comptable'!$H:$H,0)),"compte hors plan",IF(AND($A1542&lt;&gt;"",YEAR($A1542)&lt;&gt;Exercice),"hors exercice","")))))</f>
      </c>
    </row>
    <row r="1543">
      <c r="A1543" s="13"/>
      <c r="B1543" s="10"/>
      <c r="C1543" s="9"/>
      <c r="D1543" s="20"/>
      <c r="E1543" s="9">
        <f>IF($D1543="","",IFERROR(VLOOKUP($D1543,'Plan comptable'!$H:$I,2,FALSE),"compte hors plan"))</f>
      </c>
      <c r="F1543" s="9"/>
      <c r="G1543" s="10"/>
      <c r="H1543" s="11"/>
      <c r="I1543" s="11"/>
      <c r="J1543" s="10">
        <f>IF($D1543="","",IF(AND($H1543&lt;&gt;"",$I1543&lt;&gt;""),"débit ET crédit",IF(AND($H1543="",$I1543=""),"montant manquant",IF(ISNA(MATCH($D1543,'Plan comptable'!$H:$H,0)),"compte hors plan",IF(AND($A1543&lt;&gt;"",YEAR($A1543)&lt;&gt;Exercice),"hors exercice","")))))</f>
      </c>
    </row>
    <row r="1544">
      <c r="A1544" s="13"/>
      <c r="B1544" s="10"/>
      <c r="C1544" s="9"/>
      <c r="D1544" s="20"/>
      <c r="E1544" s="9">
        <f>IF($D1544="","",IFERROR(VLOOKUP($D1544,'Plan comptable'!$H:$I,2,FALSE),"compte hors plan"))</f>
      </c>
      <c r="F1544" s="9"/>
      <c r="G1544" s="10"/>
      <c r="H1544" s="11"/>
      <c r="I1544" s="11"/>
      <c r="J1544" s="10">
        <f>IF($D1544="","",IF(AND($H1544&lt;&gt;"",$I1544&lt;&gt;""),"débit ET crédit",IF(AND($H1544="",$I1544=""),"montant manquant",IF(ISNA(MATCH($D1544,'Plan comptable'!$H:$H,0)),"compte hors plan",IF(AND($A1544&lt;&gt;"",YEAR($A1544)&lt;&gt;Exercice),"hors exercice","")))))</f>
      </c>
    </row>
    <row r="1545">
      <c r="A1545" s="13"/>
      <c r="B1545" s="10"/>
      <c r="C1545" s="9"/>
      <c r="D1545" s="20"/>
      <c r="E1545" s="9">
        <f>IF($D1545="","",IFERROR(VLOOKUP($D1545,'Plan comptable'!$H:$I,2,FALSE),"compte hors plan"))</f>
      </c>
      <c r="F1545" s="9"/>
      <c r="G1545" s="10"/>
      <c r="H1545" s="11"/>
      <c r="I1545" s="11"/>
      <c r="J1545" s="10">
        <f>IF($D1545="","",IF(AND($H1545&lt;&gt;"",$I1545&lt;&gt;""),"débit ET crédit",IF(AND($H1545="",$I1545=""),"montant manquant",IF(ISNA(MATCH($D1545,'Plan comptable'!$H:$H,0)),"compte hors plan",IF(AND($A1545&lt;&gt;"",YEAR($A1545)&lt;&gt;Exercice),"hors exercice","")))))</f>
      </c>
    </row>
    <row r="1546">
      <c r="A1546" s="13"/>
      <c r="B1546" s="10"/>
      <c r="C1546" s="9"/>
      <c r="D1546" s="20"/>
      <c r="E1546" s="9">
        <f>IF($D1546="","",IFERROR(VLOOKUP($D1546,'Plan comptable'!$H:$I,2,FALSE),"compte hors plan"))</f>
      </c>
      <c r="F1546" s="9"/>
      <c r="G1546" s="10"/>
      <c r="H1546" s="11"/>
      <c r="I1546" s="11"/>
      <c r="J1546" s="10">
        <f>IF($D1546="","",IF(AND($H1546&lt;&gt;"",$I1546&lt;&gt;""),"débit ET crédit",IF(AND($H1546="",$I1546=""),"montant manquant",IF(ISNA(MATCH($D1546,'Plan comptable'!$H:$H,0)),"compte hors plan",IF(AND($A1546&lt;&gt;"",YEAR($A1546)&lt;&gt;Exercice),"hors exercice","")))))</f>
      </c>
    </row>
    <row r="1547">
      <c r="A1547" s="13"/>
      <c r="B1547" s="10"/>
      <c r="C1547" s="9"/>
      <c r="D1547" s="20"/>
      <c r="E1547" s="9">
        <f>IF($D1547="","",IFERROR(VLOOKUP($D1547,'Plan comptable'!$H:$I,2,FALSE),"compte hors plan"))</f>
      </c>
      <c r="F1547" s="9"/>
      <c r="G1547" s="10"/>
      <c r="H1547" s="11"/>
      <c r="I1547" s="11"/>
      <c r="J1547" s="10">
        <f>IF($D1547="","",IF(AND($H1547&lt;&gt;"",$I1547&lt;&gt;""),"débit ET crédit",IF(AND($H1547="",$I1547=""),"montant manquant",IF(ISNA(MATCH($D1547,'Plan comptable'!$H:$H,0)),"compte hors plan",IF(AND($A1547&lt;&gt;"",YEAR($A1547)&lt;&gt;Exercice),"hors exercice","")))))</f>
      </c>
    </row>
    <row r="1548">
      <c r="A1548" s="13"/>
      <c r="B1548" s="10"/>
      <c r="C1548" s="9"/>
      <c r="D1548" s="20"/>
      <c r="E1548" s="9">
        <f>IF($D1548="","",IFERROR(VLOOKUP($D1548,'Plan comptable'!$H:$I,2,FALSE),"compte hors plan"))</f>
      </c>
      <c r="F1548" s="9"/>
      <c r="G1548" s="10"/>
      <c r="H1548" s="11"/>
      <c r="I1548" s="11"/>
      <c r="J1548" s="10">
        <f>IF($D1548="","",IF(AND($H1548&lt;&gt;"",$I1548&lt;&gt;""),"débit ET crédit",IF(AND($H1548="",$I1548=""),"montant manquant",IF(ISNA(MATCH($D1548,'Plan comptable'!$H:$H,0)),"compte hors plan",IF(AND($A1548&lt;&gt;"",YEAR($A1548)&lt;&gt;Exercice),"hors exercice","")))))</f>
      </c>
    </row>
    <row r="1549">
      <c r="A1549" s="13"/>
      <c r="B1549" s="10"/>
      <c r="C1549" s="9"/>
      <c r="D1549" s="20"/>
      <c r="E1549" s="9">
        <f>IF($D1549="","",IFERROR(VLOOKUP($D1549,'Plan comptable'!$H:$I,2,FALSE),"compte hors plan"))</f>
      </c>
      <c r="F1549" s="9"/>
      <c r="G1549" s="10"/>
      <c r="H1549" s="11"/>
      <c r="I1549" s="11"/>
      <c r="J1549" s="10">
        <f>IF($D1549="","",IF(AND($H1549&lt;&gt;"",$I1549&lt;&gt;""),"débit ET crédit",IF(AND($H1549="",$I1549=""),"montant manquant",IF(ISNA(MATCH($D1549,'Plan comptable'!$H:$H,0)),"compte hors plan",IF(AND($A1549&lt;&gt;"",YEAR($A1549)&lt;&gt;Exercice),"hors exercice","")))))</f>
      </c>
    </row>
    <row r="1550">
      <c r="A1550" s="13"/>
      <c r="B1550" s="10"/>
      <c r="C1550" s="9"/>
      <c r="D1550" s="20"/>
      <c r="E1550" s="9">
        <f>IF($D1550="","",IFERROR(VLOOKUP($D1550,'Plan comptable'!$H:$I,2,FALSE),"compte hors plan"))</f>
      </c>
      <c r="F1550" s="9"/>
      <c r="G1550" s="10"/>
      <c r="H1550" s="11"/>
      <c r="I1550" s="11"/>
      <c r="J1550" s="10">
        <f>IF($D1550="","",IF(AND($H1550&lt;&gt;"",$I1550&lt;&gt;""),"débit ET crédit",IF(AND($H1550="",$I1550=""),"montant manquant",IF(ISNA(MATCH($D1550,'Plan comptable'!$H:$H,0)),"compte hors plan",IF(AND($A1550&lt;&gt;"",YEAR($A1550)&lt;&gt;Exercice),"hors exercice","")))))</f>
      </c>
    </row>
    <row r="1551">
      <c r="A1551" s="13"/>
      <c r="B1551" s="10"/>
      <c r="C1551" s="9"/>
      <c r="D1551" s="20"/>
      <c r="E1551" s="9">
        <f>IF($D1551="","",IFERROR(VLOOKUP($D1551,'Plan comptable'!$H:$I,2,FALSE),"compte hors plan"))</f>
      </c>
      <c r="F1551" s="9"/>
      <c r="G1551" s="10"/>
      <c r="H1551" s="11"/>
      <c r="I1551" s="11"/>
      <c r="J1551" s="10">
        <f>IF($D1551="","",IF(AND($H1551&lt;&gt;"",$I1551&lt;&gt;""),"débit ET crédit",IF(AND($H1551="",$I1551=""),"montant manquant",IF(ISNA(MATCH($D1551,'Plan comptable'!$H:$H,0)),"compte hors plan",IF(AND($A1551&lt;&gt;"",YEAR($A1551)&lt;&gt;Exercice),"hors exercice","")))))</f>
      </c>
    </row>
    <row r="1552">
      <c r="A1552" s="13"/>
      <c r="B1552" s="10"/>
      <c r="C1552" s="9"/>
      <c r="D1552" s="20"/>
      <c r="E1552" s="9">
        <f>IF($D1552="","",IFERROR(VLOOKUP($D1552,'Plan comptable'!$H:$I,2,FALSE),"compte hors plan"))</f>
      </c>
      <c r="F1552" s="9"/>
      <c r="G1552" s="10"/>
      <c r="H1552" s="11"/>
      <c r="I1552" s="11"/>
      <c r="J1552" s="10">
        <f>IF($D1552="","",IF(AND($H1552&lt;&gt;"",$I1552&lt;&gt;""),"débit ET crédit",IF(AND($H1552="",$I1552=""),"montant manquant",IF(ISNA(MATCH($D1552,'Plan comptable'!$H:$H,0)),"compte hors plan",IF(AND($A1552&lt;&gt;"",YEAR($A1552)&lt;&gt;Exercice),"hors exercice","")))))</f>
      </c>
    </row>
    <row r="1553">
      <c r="A1553" s="13"/>
      <c r="B1553" s="10"/>
      <c r="C1553" s="9"/>
      <c r="D1553" s="20"/>
      <c r="E1553" s="9">
        <f>IF($D1553="","",IFERROR(VLOOKUP($D1553,'Plan comptable'!$H:$I,2,FALSE),"compte hors plan"))</f>
      </c>
      <c r="F1553" s="9"/>
      <c r="G1553" s="10"/>
      <c r="H1553" s="11"/>
      <c r="I1553" s="11"/>
      <c r="J1553" s="10">
        <f>IF($D1553="","",IF(AND($H1553&lt;&gt;"",$I1553&lt;&gt;""),"débit ET crédit",IF(AND($H1553="",$I1553=""),"montant manquant",IF(ISNA(MATCH($D1553,'Plan comptable'!$H:$H,0)),"compte hors plan",IF(AND($A1553&lt;&gt;"",YEAR($A1553)&lt;&gt;Exercice),"hors exercice","")))))</f>
      </c>
    </row>
    <row r="1554">
      <c r="A1554" s="13"/>
      <c r="B1554" s="10"/>
      <c r="C1554" s="9"/>
      <c r="D1554" s="20"/>
      <c r="E1554" s="9">
        <f>IF($D1554="","",IFERROR(VLOOKUP($D1554,'Plan comptable'!$H:$I,2,FALSE),"compte hors plan"))</f>
      </c>
      <c r="F1554" s="9"/>
      <c r="G1554" s="10"/>
      <c r="H1554" s="11"/>
      <c r="I1554" s="11"/>
      <c r="J1554" s="10">
        <f>IF($D1554="","",IF(AND($H1554&lt;&gt;"",$I1554&lt;&gt;""),"débit ET crédit",IF(AND($H1554="",$I1554=""),"montant manquant",IF(ISNA(MATCH($D1554,'Plan comptable'!$H:$H,0)),"compte hors plan",IF(AND($A1554&lt;&gt;"",YEAR($A1554)&lt;&gt;Exercice),"hors exercice","")))))</f>
      </c>
    </row>
    <row r="1555">
      <c r="A1555" s="13"/>
      <c r="B1555" s="10"/>
      <c r="C1555" s="9"/>
      <c r="D1555" s="20"/>
      <c r="E1555" s="9">
        <f>IF($D1555="","",IFERROR(VLOOKUP($D1555,'Plan comptable'!$H:$I,2,FALSE),"compte hors plan"))</f>
      </c>
      <c r="F1555" s="9"/>
      <c r="G1555" s="10"/>
      <c r="H1555" s="11"/>
      <c r="I1555" s="11"/>
      <c r="J1555" s="10">
        <f>IF($D1555="","",IF(AND($H1555&lt;&gt;"",$I1555&lt;&gt;""),"débit ET crédit",IF(AND($H1555="",$I1555=""),"montant manquant",IF(ISNA(MATCH($D1555,'Plan comptable'!$H:$H,0)),"compte hors plan",IF(AND($A1555&lt;&gt;"",YEAR($A1555)&lt;&gt;Exercice),"hors exercice","")))))</f>
      </c>
    </row>
    <row r="1556">
      <c r="A1556" s="13"/>
      <c r="B1556" s="10"/>
      <c r="C1556" s="9"/>
      <c r="D1556" s="20"/>
      <c r="E1556" s="9">
        <f>IF($D1556="","",IFERROR(VLOOKUP($D1556,'Plan comptable'!$H:$I,2,FALSE),"compte hors plan"))</f>
      </c>
      <c r="F1556" s="9"/>
      <c r="G1556" s="10"/>
      <c r="H1556" s="11"/>
      <c r="I1556" s="11"/>
      <c r="J1556" s="10">
        <f>IF($D1556="","",IF(AND($H1556&lt;&gt;"",$I1556&lt;&gt;""),"débit ET crédit",IF(AND($H1556="",$I1556=""),"montant manquant",IF(ISNA(MATCH($D1556,'Plan comptable'!$H:$H,0)),"compte hors plan",IF(AND($A1556&lt;&gt;"",YEAR($A1556)&lt;&gt;Exercice),"hors exercice","")))))</f>
      </c>
    </row>
    <row r="1557">
      <c r="A1557" s="13"/>
      <c r="B1557" s="10"/>
      <c r="C1557" s="9"/>
      <c r="D1557" s="20"/>
      <c r="E1557" s="9">
        <f>IF($D1557="","",IFERROR(VLOOKUP($D1557,'Plan comptable'!$H:$I,2,FALSE),"compte hors plan"))</f>
      </c>
      <c r="F1557" s="9"/>
      <c r="G1557" s="10"/>
      <c r="H1557" s="11"/>
      <c r="I1557" s="11"/>
      <c r="J1557" s="10">
        <f>IF($D1557="","",IF(AND($H1557&lt;&gt;"",$I1557&lt;&gt;""),"débit ET crédit",IF(AND($H1557="",$I1557=""),"montant manquant",IF(ISNA(MATCH($D1557,'Plan comptable'!$H:$H,0)),"compte hors plan",IF(AND($A1557&lt;&gt;"",YEAR($A1557)&lt;&gt;Exercice),"hors exercice","")))))</f>
      </c>
    </row>
    <row r="1558">
      <c r="A1558" s="13"/>
      <c r="B1558" s="10"/>
      <c r="C1558" s="9"/>
      <c r="D1558" s="20"/>
      <c r="E1558" s="9">
        <f>IF($D1558="","",IFERROR(VLOOKUP($D1558,'Plan comptable'!$H:$I,2,FALSE),"compte hors plan"))</f>
      </c>
      <c r="F1558" s="9"/>
      <c r="G1558" s="10"/>
      <c r="H1558" s="11"/>
      <c r="I1558" s="11"/>
      <c r="J1558" s="10">
        <f>IF($D1558="","",IF(AND($H1558&lt;&gt;"",$I1558&lt;&gt;""),"débit ET crédit",IF(AND($H1558="",$I1558=""),"montant manquant",IF(ISNA(MATCH($D1558,'Plan comptable'!$H:$H,0)),"compte hors plan",IF(AND($A1558&lt;&gt;"",YEAR($A1558)&lt;&gt;Exercice),"hors exercice","")))))</f>
      </c>
    </row>
    <row r="1559">
      <c r="A1559" s="13"/>
      <c r="B1559" s="10"/>
      <c r="C1559" s="9"/>
      <c r="D1559" s="20"/>
      <c r="E1559" s="9">
        <f>IF($D1559="","",IFERROR(VLOOKUP($D1559,'Plan comptable'!$H:$I,2,FALSE),"compte hors plan"))</f>
      </c>
      <c r="F1559" s="9"/>
      <c r="G1559" s="10"/>
      <c r="H1559" s="11"/>
      <c r="I1559" s="11"/>
      <c r="J1559" s="10">
        <f>IF($D1559="","",IF(AND($H1559&lt;&gt;"",$I1559&lt;&gt;""),"débit ET crédit",IF(AND($H1559="",$I1559=""),"montant manquant",IF(ISNA(MATCH($D1559,'Plan comptable'!$H:$H,0)),"compte hors plan",IF(AND($A1559&lt;&gt;"",YEAR($A1559)&lt;&gt;Exercice),"hors exercice","")))))</f>
      </c>
    </row>
    <row r="1560">
      <c r="A1560" s="13"/>
      <c r="B1560" s="10"/>
      <c r="C1560" s="9"/>
      <c r="D1560" s="20"/>
      <c r="E1560" s="9">
        <f>IF($D1560="","",IFERROR(VLOOKUP($D1560,'Plan comptable'!$H:$I,2,FALSE),"compte hors plan"))</f>
      </c>
      <c r="F1560" s="9"/>
      <c r="G1560" s="10"/>
      <c r="H1560" s="11"/>
      <c r="I1560" s="11"/>
      <c r="J1560" s="10">
        <f>IF($D1560="","",IF(AND($H1560&lt;&gt;"",$I1560&lt;&gt;""),"débit ET crédit",IF(AND($H1560="",$I1560=""),"montant manquant",IF(ISNA(MATCH($D1560,'Plan comptable'!$H:$H,0)),"compte hors plan",IF(AND($A1560&lt;&gt;"",YEAR($A1560)&lt;&gt;Exercice),"hors exercice","")))))</f>
      </c>
    </row>
    <row r="1561">
      <c r="A1561" s="13"/>
      <c r="B1561" s="10"/>
      <c r="C1561" s="9"/>
      <c r="D1561" s="20"/>
      <c r="E1561" s="9">
        <f>IF($D1561="","",IFERROR(VLOOKUP($D1561,'Plan comptable'!$H:$I,2,FALSE),"compte hors plan"))</f>
      </c>
      <c r="F1561" s="9"/>
      <c r="G1561" s="10"/>
      <c r="H1561" s="11"/>
      <c r="I1561" s="11"/>
      <c r="J1561" s="10">
        <f>IF($D1561="","",IF(AND($H1561&lt;&gt;"",$I1561&lt;&gt;""),"débit ET crédit",IF(AND($H1561="",$I1561=""),"montant manquant",IF(ISNA(MATCH($D1561,'Plan comptable'!$H:$H,0)),"compte hors plan",IF(AND($A1561&lt;&gt;"",YEAR($A1561)&lt;&gt;Exercice),"hors exercice","")))))</f>
      </c>
    </row>
    <row r="1562">
      <c r="A1562" s="13"/>
      <c r="B1562" s="10"/>
      <c r="C1562" s="9"/>
      <c r="D1562" s="20"/>
      <c r="E1562" s="9">
        <f>IF($D1562="","",IFERROR(VLOOKUP($D1562,'Plan comptable'!$H:$I,2,FALSE),"compte hors plan"))</f>
      </c>
      <c r="F1562" s="9"/>
      <c r="G1562" s="10"/>
      <c r="H1562" s="11"/>
      <c r="I1562" s="11"/>
      <c r="J1562" s="10">
        <f>IF($D1562="","",IF(AND($H1562&lt;&gt;"",$I1562&lt;&gt;""),"débit ET crédit",IF(AND($H1562="",$I1562=""),"montant manquant",IF(ISNA(MATCH($D1562,'Plan comptable'!$H:$H,0)),"compte hors plan",IF(AND($A1562&lt;&gt;"",YEAR($A1562)&lt;&gt;Exercice),"hors exercice","")))))</f>
      </c>
    </row>
    <row r="1563">
      <c r="A1563" s="13"/>
      <c r="B1563" s="10"/>
      <c r="C1563" s="9"/>
      <c r="D1563" s="20"/>
      <c r="E1563" s="9">
        <f>IF($D1563="","",IFERROR(VLOOKUP($D1563,'Plan comptable'!$H:$I,2,FALSE),"compte hors plan"))</f>
      </c>
      <c r="F1563" s="9"/>
      <c r="G1563" s="10"/>
      <c r="H1563" s="11"/>
      <c r="I1563" s="11"/>
      <c r="J1563" s="10">
        <f>IF($D1563="","",IF(AND($H1563&lt;&gt;"",$I1563&lt;&gt;""),"débit ET crédit",IF(AND($H1563="",$I1563=""),"montant manquant",IF(ISNA(MATCH($D1563,'Plan comptable'!$H:$H,0)),"compte hors plan",IF(AND($A1563&lt;&gt;"",YEAR($A1563)&lt;&gt;Exercice),"hors exercice","")))))</f>
      </c>
    </row>
    <row r="1564">
      <c r="A1564" s="13"/>
      <c r="B1564" s="10"/>
      <c r="C1564" s="9"/>
      <c r="D1564" s="20"/>
      <c r="E1564" s="9">
        <f>IF($D1564="","",IFERROR(VLOOKUP($D1564,'Plan comptable'!$H:$I,2,FALSE),"compte hors plan"))</f>
      </c>
      <c r="F1564" s="9"/>
      <c r="G1564" s="10"/>
      <c r="H1564" s="11"/>
      <c r="I1564" s="11"/>
      <c r="J1564" s="10">
        <f>IF($D1564="","",IF(AND($H1564&lt;&gt;"",$I1564&lt;&gt;""),"débit ET crédit",IF(AND($H1564="",$I1564=""),"montant manquant",IF(ISNA(MATCH($D1564,'Plan comptable'!$H:$H,0)),"compte hors plan",IF(AND($A1564&lt;&gt;"",YEAR($A1564)&lt;&gt;Exercice),"hors exercice","")))))</f>
      </c>
    </row>
    <row r="1565">
      <c r="A1565" s="13"/>
      <c r="B1565" s="10"/>
      <c r="C1565" s="9"/>
      <c r="D1565" s="20"/>
      <c r="E1565" s="9">
        <f>IF($D1565="","",IFERROR(VLOOKUP($D1565,'Plan comptable'!$H:$I,2,FALSE),"compte hors plan"))</f>
      </c>
      <c r="F1565" s="9"/>
      <c r="G1565" s="10"/>
      <c r="H1565" s="11"/>
      <c r="I1565" s="11"/>
      <c r="J1565" s="10">
        <f>IF($D1565="","",IF(AND($H1565&lt;&gt;"",$I1565&lt;&gt;""),"débit ET crédit",IF(AND($H1565="",$I1565=""),"montant manquant",IF(ISNA(MATCH($D1565,'Plan comptable'!$H:$H,0)),"compte hors plan",IF(AND($A1565&lt;&gt;"",YEAR($A1565)&lt;&gt;Exercice),"hors exercice","")))))</f>
      </c>
    </row>
    <row r="1566">
      <c r="A1566" s="13"/>
      <c r="B1566" s="10"/>
      <c r="C1566" s="9"/>
      <c r="D1566" s="20"/>
      <c r="E1566" s="9">
        <f>IF($D1566="","",IFERROR(VLOOKUP($D1566,'Plan comptable'!$H:$I,2,FALSE),"compte hors plan"))</f>
      </c>
      <c r="F1566" s="9"/>
      <c r="G1566" s="10"/>
      <c r="H1566" s="11"/>
      <c r="I1566" s="11"/>
      <c r="J1566" s="10">
        <f>IF($D1566="","",IF(AND($H1566&lt;&gt;"",$I1566&lt;&gt;""),"débit ET crédit",IF(AND($H1566="",$I1566=""),"montant manquant",IF(ISNA(MATCH($D1566,'Plan comptable'!$H:$H,0)),"compte hors plan",IF(AND($A1566&lt;&gt;"",YEAR($A1566)&lt;&gt;Exercice),"hors exercice","")))))</f>
      </c>
    </row>
    <row r="1567">
      <c r="A1567" s="13"/>
      <c r="B1567" s="10"/>
      <c r="C1567" s="9"/>
      <c r="D1567" s="20"/>
      <c r="E1567" s="9">
        <f>IF($D1567="","",IFERROR(VLOOKUP($D1567,'Plan comptable'!$H:$I,2,FALSE),"compte hors plan"))</f>
      </c>
      <c r="F1567" s="9"/>
      <c r="G1567" s="10"/>
      <c r="H1567" s="11"/>
      <c r="I1567" s="11"/>
      <c r="J1567" s="10">
        <f>IF($D1567="","",IF(AND($H1567&lt;&gt;"",$I1567&lt;&gt;""),"débit ET crédit",IF(AND($H1567="",$I1567=""),"montant manquant",IF(ISNA(MATCH($D1567,'Plan comptable'!$H:$H,0)),"compte hors plan",IF(AND($A1567&lt;&gt;"",YEAR($A1567)&lt;&gt;Exercice),"hors exercice","")))))</f>
      </c>
    </row>
    <row r="1568">
      <c r="A1568" s="13"/>
      <c r="B1568" s="10"/>
      <c r="C1568" s="9"/>
      <c r="D1568" s="20"/>
      <c r="E1568" s="9">
        <f>IF($D1568="","",IFERROR(VLOOKUP($D1568,'Plan comptable'!$H:$I,2,FALSE),"compte hors plan"))</f>
      </c>
      <c r="F1568" s="9"/>
      <c r="G1568" s="10"/>
      <c r="H1568" s="11"/>
      <c r="I1568" s="11"/>
      <c r="J1568" s="10">
        <f>IF($D1568="","",IF(AND($H1568&lt;&gt;"",$I1568&lt;&gt;""),"débit ET crédit",IF(AND($H1568="",$I1568=""),"montant manquant",IF(ISNA(MATCH($D1568,'Plan comptable'!$H:$H,0)),"compte hors plan",IF(AND($A1568&lt;&gt;"",YEAR($A1568)&lt;&gt;Exercice),"hors exercice","")))))</f>
      </c>
    </row>
    <row r="1569">
      <c r="A1569" s="13"/>
      <c r="B1569" s="10"/>
      <c r="C1569" s="9"/>
      <c r="D1569" s="20"/>
      <c r="E1569" s="9">
        <f>IF($D1569="","",IFERROR(VLOOKUP($D1569,'Plan comptable'!$H:$I,2,FALSE),"compte hors plan"))</f>
      </c>
      <c r="F1569" s="9"/>
      <c r="G1569" s="10"/>
      <c r="H1569" s="11"/>
      <c r="I1569" s="11"/>
      <c r="J1569" s="10">
        <f>IF($D1569="","",IF(AND($H1569&lt;&gt;"",$I1569&lt;&gt;""),"débit ET crédit",IF(AND($H1569="",$I1569=""),"montant manquant",IF(ISNA(MATCH($D1569,'Plan comptable'!$H:$H,0)),"compte hors plan",IF(AND($A1569&lt;&gt;"",YEAR($A1569)&lt;&gt;Exercice),"hors exercice","")))))</f>
      </c>
    </row>
    <row r="1570">
      <c r="A1570" s="13"/>
      <c r="B1570" s="10"/>
      <c r="C1570" s="9"/>
      <c r="D1570" s="20"/>
      <c r="E1570" s="9">
        <f>IF($D1570="","",IFERROR(VLOOKUP($D1570,'Plan comptable'!$H:$I,2,FALSE),"compte hors plan"))</f>
      </c>
      <c r="F1570" s="9"/>
      <c r="G1570" s="10"/>
      <c r="H1570" s="11"/>
      <c r="I1570" s="11"/>
      <c r="J1570" s="10">
        <f>IF($D1570="","",IF(AND($H1570&lt;&gt;"",$I1570&lt;&gt;""),"débit ET crédit",IF(AND($H1570="",$I1570=""),"montant manquant",IF(ISNA(MATCH($D1570,'Plan comptable'!$H:$H,0)),"compte hors plan",IF(AND($A1570&lt;&gt;"",YEAR($A1570)&lt;&gt;Exercice),"hors exercice","")))))</f>
      </c>
    </row>
    <row r="1571">
      <c r="A1571" s="13"/>
      <c r="B1571" s="10"/>
      <c r="C1571" s="9"/>
      <c r="D1571" s="20"/>
      <c r="E1571" s="9">
        <f>IF($D1571="","",IFERROR(VLOOKUP($D1571,'Plan comptable'!$H:$I,2,FALSE),"compte hors plan"))</f>
      </c>
      <c r="F1571" s="9"/>
      <c r="G1571" s="10"/>
      <c r="H1571" s="11"/>
      <c r="I1571" s="11"/>
      <c r="J1571" s="10">
        <f>IF($D1571="","",IF(AND($H1571&lt;&gt;"",$I1571&lt;&gt;""),"débit ET crédit",IF(AND($H1571="",$I1571=""),"montant manquant",IF(ISNA(MATCH($D1571,'Plan comptable'!$H:$H,0)),"compte hors plan",IF(AND($A1571&lt;&gt;"",YEAR($A1571)&lt;&gt;Exercice),"hors exercice","")))))</f>
      </c>
    </row>
    <row r="1572">
      <c r="A1572" s="13"/>
      <c r="B1572" s="10"/>
      <c r="C1572" s="9"/>
      <c r="D1572" s="20"/>
      <c r="E1572" s="9">
        <f>IF($D1572="","",IFERROR(VLOOKUP($D1572,'Plan comptable'!$H:$I,2,FALSE),"compte hors plan"))</f>
      </c>
      <c r="F1572" s="9"/>
      <c r="G1572" s="10"/>
      <c r="H1572" s="11"/>
      <c r="I1572" s="11"/>
      <c r="J1572" s="10">
        <f>IF($D1572="","",IF(AND($H1572&lt;&gt;"",$I1572&lt;&gt;""),"débit ET crédit",IF(AND($H1572="",$I1572=""),"montant manquant",IF(ISNA(MATCH($D1572,'Plan comptable'!$H:$H,0)),"compte hors plan",IF(AND($A1572&lt;&gt;"",YEAR($A1572)&lt;&gt;Exercice),"hors exercice","")))))</f>
      </c>
    </row>
    <row r="1573">
      <c r="A1573" s="13"/>
      <c r="B1573" s="10"/>
      <c r="C1573" s="9"/>
      <c r="D1573" s="20"/>
      <c r="E1573" s="9">
        <f>IF($D1573="","",IFERROR(VLOOKUP($D1573,'Plan comptable'!$H:$I,2,FALSE),"compte hors plan"))</f>
      </c>
      <c r="F1573" s="9"/>
      <c r="G1573" s="10"/>
      <c r="H1573" s="11"/>
      <c r="I1573" s="11"/>
      <c r="J1573" s="10">
        <f>IF($D1573="","",IF(AND($H1573&lt;&gt;"",$I1573&lt;&gt;""),"débit ET crédit",IF(AND($H1573="",$I1573=""),"montant manquant",IF(ISNA(MATCH($D1573,'Plan comptable'!$H:$H,0)),"compte hors plan",IF(AND($A1573&lt;&gt;"",YEAR($A1573)&lt;&gt;Exercice),"hors exercice","")))))</f>
      </c>
    </row>
    <row r="1574">
      <c r="A1574" s="13"/>
      <c r="B1574" s="10"/>
      <c r="C1574" s="9"/>
      <c r="D1574" s="20"/>
      <c r="E1574" s="9">
        <f>IF($D1574="","",IFERROR(VLOOKUP($D1574,'Plan comptable'!$H:$I,2,FALSE),"compte hors plan"))</f>
      </c>
      <c r="F1574" s="9"/>
      <c r="G1574" s="10"/>
      <c r="H1574" s="11"/>
      <c r="I1574" s="11"/>
      <c r="J1574" s="10">
        <f>IF($D1574="","",IF(AND($H1574&lt;&gt;"",$I1574&lt;&gt;""),"débit ET crédit",IF(AND($H1574="",$I1574=""),"montant manquant",IF(ISNA(MATCH($D1574,'Plan comptable'!$H:$H,0)),"compte hors plan",IF(AND($A1574&lt;&gt;"",YEAR($A1574)&lt;&gt;Exercice),"hors exercice","")))))</f>
      </c>
    </row>
    <row r="1575">
      <c r="A1575" s="13"/>
      <c r="B1575" s="10"/>
      <c r="C1575" s="9"/>
      <c r="D1575" s="20"/>
      <c r="E1575" s="9">
        <f>IF($D1575="","",IFERROR(VLOOKUP($D1575,'Plan comptable'!$H:$I,2,FALSE),"compte hors plan"))</f>
      </c>
      <c r="F1575" s="9"/>
      <c r="G1575" s="10"/>
      <c r="H1575" s="11"/>
      <c r="I1575" s="11"/>
      <c r="J1575" s="10">
        <f>IF($D1575="","",IF(AND($H1575&lt;&gt;"",$I1575&lt;&gt;""),"débit ET crédit",IF(AND($H1575="",$I1575=""),"montant manquant",IF(ISNA(MATCH($D1575,'Plan comptable'!$H:$H,0)),"compte hors plan",IF(AND($A1575&lt;&gt;"",YEAR($A1575)&lt;&gt;Exercice),"hors exercice","")))))</f>
      </c>
    </row>
    <row r="1576">
      <c r="A1576" s="13"/>
      <c r="B1576" s="10"/>
      <c r="C1576" s="9"/>
      <c r="D1576" s="20"/>
      <c r="E1576" s="9">
        <f>IF($D1576="","",IFERROR(VLOOKUP($D1576,'Plan comptable'!$H:$I,2,FALSE),"compte hors plan"))</f>
      </c>
      <c r="F1576" s="9"/>
      <c r="G1576" s="10"/>
      <c r="H1576" s="11"/>
      <c r="I1576" s="11"/>
      <c r="J1576" s="10">
        <f>IF($D1576="","",IF(AND($H1576&lt;&gt;"",$I1576&lt;&gt;""),"débit ET crédit",IF(AND($H1576="",$I1576=""),"montant manquant",IF(ISNA(MATCH($D1576,'Plan comptable'!$H:$H,0)),"compte hors plan",IF(AND($A1576&lt;&gt;"",YEAR($A1576)&lt;&gt;Exercice),"hors exercice","")))))</f>
      </c>
    </row>
    <row r="1577">
      <c r="A1577" s="13"/>
      <c r="B1577" s="10"/>
      <c r="C1577" s="9"/>
      <c r="D1577" s="20"/>
      <c r="E1577" s="9">
        <f>IF($D1577="","",IFERROR(VLOOKUP($D1577,'Plan comptable'!$H:$I,2,FALSE),"compte hors plan"))</f>
      </c>
      <c r="F1577" s="9"/>
      <c r="G1577" s="10"/>
      <c r="H1577" s="11"/>
      <c r="I1577" s="11"/>
      <c r="J1577" s="10">
        <f>IF($D1577="","",IF(AND($H1577&lt;&gt;"",$I1577&lt;&gt;""),"débit ET crédit",IF(AND($H1577="",$I1577=""),"montant manquant",IF(ISNA(MATCH($D1577,'Plan comptable'!$H:$H,0)),"compte hors plan",IF(AND($A1577&lt;&gt;"",YEAR($A1577)&lt;&gt;Exercice),"hors exercice","")))))</f>
      </c>
    </row>
    <row r="1578">
      <c r="A1578" s="13"/>
      <c r="B1578" s="10"/>
      <c r="C1578" s="9"/>
      <c r="D1578" s="20"/>
      <c r="E1578" s="9">
        <f>IF($D1578="","",IFERROR(VLOOKUP($D1578,'Plan comptable'!$H:$I,2,FALSE),"compte hors plan"))</f>
      </c>
      <c r="F1578" s="9"/>
      <c r="G1578" s="10"/>
      <c r="H1578" s="11"/>
      <c r="I1578" s="11"/>
      <c r="J1578" s="10">
        <f>IF($D1578="","",IF(AND($H1578&lt;&gt;"",$I1578&lt;&gt;""),"débit ET crédit",IF(AND($H1578="",$I1578=""),"montant manquant",IF(ISNA(MATCH($D1578,'Plan comptable'!$H:$H,0)),"compte hors plan",IF(AND($A1578&lt;&gt;"",YEAR($A1578)&lt;&gt;Exercice),"hors exercice","")))))</f>
      </c>
    </row>
    <row r="1579">
      <c r="A1579" s="13"/>
      <c r="B1579" s="10"/>
      <c r="C1579" s="9"/>
      <c r="D1579" s="20"/>
      <c r="E1579" s="9">
        <f>IF($D1579="","",IFERROR(VLOOKUP($D1579,'Plan comptable'!$H:$I,2,FALSE),"compte hors plan"))</f>
      </c>
      <c r="F1579" s="9"/>
      <c r="G1579" s="10"/>
      <c r="H1579" s="11"/>
      <c r="I1579" s="11"/>
      <c r="J1579" s="10">
        <f>IF($D1579="","",IF(AND($H1579&lt;&gt;"",$I1579&lt;&gt;""),"débit ET crédit",IF(AND($H1579="",$I1579=""),"montant manquant",IF(ISNA(MATCH($D1579,'Plan comptable'!$H:$H,0)),"compte hors plan",IF(AND($A1579&lt;&gt;"",YEAR($A1579)&lt;&gt;Exercice),"hors exercice","")))))</f>
      </c>
    </row>
    <row r="1580">
      <c r="A1580" s="13"/>
      <c r="B1580" s="10"/>
      <c r="C1580" s="9"/>
      <c r="D1580" s="20"/>
      <c r="E1580" s="9">
        <f>IF($D1580="","",IFERROR(VLOOKUP($D1580,'Plan comptable'!$H:$I,2,FALSE),"compte hors plan"))</f>
      </c>
      <c r="F1580" s="9"/>
      <c r="G1580" s="10"/>
      <c r="H1580" s="11"/>
      <c r="I1580" s="11"/>
      <c r="J1580" s="10">
        <f>IF($D1580="","",IF(AND($H1580&lt;&gt;"",$I1580&lt;&gt;""),"débit ET crédit",IF(AND($H1580="",$I1580=""),"montant manquant",IF(ISNA(MATCH($D1580,'Plan comptable'!$H:$H,0)),"compte hors plan",IF(AND($A1580&lt;&gt;"",YEAR($A1580)&lt;&gt;Exercice),"hors exercice","")))))</f>
      </c>
    </row>
    <row r="1581">
      <c r="A1581" s="13"/>
      <c r="B1581" s="10"/>
      <c r="C1581" s="9"/>
      <c r="D1581" s="20"/>
      <c r="E1581" s="9">
        <f>IF($D1581="","",IFERROR(VLOOKUP($D1581,'Plan comptable'!$H:$I,2,FALSE),"compte hors plan"))</f>
      </c>
      <c r="F1581" s="9"/>
      <c r="G1581" s="10"/>
      <c r="H1581" s="11"/>
      <c r="I1581" s="11"/>
      <c r="J1581" s="10">
        <f>IF($D1581="","",IF(AND($H1581&lt;&gt;"",$I1581&lt;&gt;""),"débit ET crédit",IF(AND($H1581="",$I1581=""),"montant manquant",IF(ISNA(MATCH($D1581,'Plan comptable'!$H:$H,0)),"compte hors plan",IF(AND($A1581&lt;&gt;"",YEAR($A1581)&lt;&gt;Exercice),"hors exercice","")))))</f>
      </c>
    </row>
    <row r="1582">
      <c r="A1582" s="13"/>
      <c r="B1582" s="10"/>
      <c r="C1582" s="9"/>
      <c r="D1582" s="20"/>
      <c r="E1582" s="9">
        <f>IF($D1582="","",IFERROR(VLOOKUP($D1582,'Plan comptable'!$H:$I,2,FALSE),"compte hors plan"))</f>
      </c>
      <c r="F1582" s="9"/>
      <c r="G1582" s="10"/>
      <c r="H1582" s="11"/>
      <c r="I1582" s="11"/>
      <c r="J1582" s="10">
        <f>IF($D1582="","",IF(AND($H1582&lt;&gt;"",$I1582&lt;&gt;""),"débit ET crédit",IF(AND($H1582="",$I1582=""),"montant manquant",IF(ISNA(MATCH($D1582,'Plan comptable'!$H:$H,0)),"compte hors plan",IF(AND($A1582&lt;&gt;"",YEAR($A1582)&lt;&gt;Exercice),"hors exercice","")))))</f>
      </c>
    </row>
    <row r="1583">
      <c r="A1583" s="13"/>
      <c r="B1583" s="10"/>
      <c r="C1583" s="9"/>
      <c r="D1583" s="20"/>
      <c r="E1583" s="9">
        <f>IF($D1583="","",IFERROR(VLOOKUP($D1583,'Plan comptable'!$H:$I,2,FALSE),"compte hors plan"))</f>
      </c>
      <c r="F1583" s="9"/>
      <c r="G1583" s="10"/>
      <c r="H1583" s="11"/>
      <c r="I1583" s="11"/>
      <c r="J1583" s="10">
        <f>IF($D1583="","",IF(AND($H1583&lt;&gt;"",$I1583&lt;&gt;""),"débit ET crédit",IF(AND($H1583="",$I1583=""),"montant manquant",IF(ISNA(MATCH($D1583,'Plan comptable'!$H:$H,0)),"compte hors plan",IF(AND($A1583&lt;&gt;"",YEAR($A1583)&lt;&gt;Exercice),"hors exercice","")))))</f>
      </c>
    </row>
    <row r="1584">
      <c r="A1584" s="13"/>
      <c r="B1584" s="10"/>
      <c r="C1584" s="9"/>
      <c r="D1584" s="20"/>
      <c r="E1584" s="9">
        <f>IF($D1584="","",IFERROR(VLOOKUP($D1584,'Plan comptable'!$H:$I,2,FALSE),"compte hors plan"))</f>
      </c>
      <c r="F1584" s="9"/>
      <c r="G1584" s="10"/>
      <c r="H1584" s="11"/>
      <c r="I1584" s="11"/>
      <c r="J1584" s="10">
        <f>IF($D1584="","",IF(AND($H1584&lt;&gt;"",$I1584&lt;&gt;""),"débit ET crédit",IF(AND($H1584="",$I1584=""),"montant manquant",IF(ISNA(MATCH($D1584,'Plan comptable'!$H:$H,0)),"compte hors plan",IF(AND($A1584&lt;&gt;"",YEAR($A1584)&lt;&gt;Exercice),"hors exercice","")))))</f>
      </c>
    </row>
    <row r="1585">
      <c r="A1585" s="13"/>
      <c r="B1585" s="10"/>
      <c r="C1585" s="9"/>
      <c r="D1585" s="20"/>
      <c r="E1585" s="9">
        <f>IF($D1585="","",IFERROR(VLOOKUP($D1585,'Plan comptable'!$H:$I,2,FALSE),"compte hors plan"))</f>
      </c>
      <c r="F1585" s="9"/>
      <c r="G1585" s="10"/>
      <c r="H1585" s="11"/>
      <c r="I1585" s="11"/>
      <c r="J1585" s="10">
        <f>IF($D1585="","",IF(AND($H1585&lt;&gt;"",$I1585&lt;&gt;""),"débit ET crédit",IF(AND($H1585="",$I1585=""),"montant manquant",IF(ISNA(MATCH($D1585,'Plan comptable'!$H:$H,0)),"compte hors plan",IF(AND($A1585&lt;&gt;"",YEAR($A1585)&lt;&gt;Exercice),"hors exercice","")))))</f>
      </c>
    </row>
    <row r="1586">
      <c r="A1586" s="13"/>
      <c r="B1586" s="10"/>
      <c r="C1586" s="9"/>
      <c r="D1586" s="20"/>
      <c r="E1586" s="9">
        <f>IF($D1586="","",IFERROR(VLOOKUP($D1586,'Plan comptable'!$H:$I,2,FALSE),"compte hors plan"))</f>
      </c>
      <c r="F1586" s="9"/>
      <c r="G1586" s="10"/>
      <c r="H1586" s="11"/>
      <c r="I1586" s="11"/>
      <c r="J1586" s="10">
        <f>IF($D1586="","",IF(AND($H1586&lt;&gt;"",$I1586&lt;&gt;""),"débit ET crédit",IF(AND($H1586="",$I1586=""),"montant manquant",IF(ISNA(MATCH($D1586,'Plan comptable'!$H:$H,0)),"compte hors plan",IF(AND($A1586&lt;&gt;"",YEAR($A1586)&lt;&gt;Exercice),"hors exercice","")))))</f>
      </c>
    </row>
    <row r="1587">
      <c r="A1587" s="13"/>
      <c r="B1587" s="10"/>
      <c r="C1587" s="9"/>
      <c r="D1587" s="20"/>
      <c r="E1587" s="9">
        <f>IF($D1587="","",IFERROR(VLOOKUP($D1587,'Plan comptable'!$H:$I,2,FALSE),"compte hors plan"))</f>
      </c>
      <c r="F1587" s="9"/>
      <c r="G1587" s="10"/>
      <c r="H1587" s="11"/>
      <c r="I1587" s="11"/>
      <c r="J1587" s="10">
        <f>IF($D1587="","",IF(AND($H1587&lt;&gt;"",$I1587&lt;&gt;""),"débit ET crédit",IF(AND($H1587="",$I1587=""),"montant manquant",IF(ISNA(MATCH($D1587,'Plan comptable'!$H:$H,0)),"compte hors plan",IF(AND($A1587&lt;&gt;"",YEAR($A1587)&lt;&gt;Exercice),"hors exercice","")))))</f>
      </c>
    </row>
    <row r="1588">
      <c r="A1588" s="13"/>
      <c r="B1588" s="10"/>
      <c r="C1588" s="9"/>
      <c r="D1588" s="20"/>
      <c r="E1588" s="9">
        <f>IF($D1588="","",IFERROR(VLOOKUP($D1588,'Plan comptable'!$H:$I,2,FALSE),"compte hors plan"))</f>
      </c>
      <c r="F1588" s="9"/>
      <c r="G1588" s="10"/>
      <c r="H1588" s="11"/>
      <c r="I1588" s="11"/>
      <c r="J1588" s="10">
        <f>IF($D1588="","",IF(AND($H1588&lt;&gt;"",$I1588&lt;&gt;""),"débit ET crédit",IF(AND($H1588="",$I1588=""),"montant manquant",IF(ISNA(MATCH($D1588,'Plan comptable'!$H:$H,0)),"compte hors plan",IF(AND($A1588&lt;&gt;"",YEAR($A1588)&lt;&gt;Exercice),"hors exercice","")))))</f>
      </c>
    </row>
    <row r="1589">
      <c r="A1589" s="13"/>
      <c r="B1589" s="10"/>
      <c r="C1589" s="9"/>
      <c r="D1589" s="20"/>
      <c r="E1589" s="9">
        <f>IF($D1589="","",IFERROR(VLOOKUP($D1589,'Plan comptable'!$H:$I,2,FALSE),"compte hors plan"))</f>
      </c>
      <c r="F1589" s="9"/>
      <c r="G1589" s="10"/>
      <c r="H1589" s="11"/>
      <c r="I1589" s="11"/>
      <c r="J1589" s="10">
        <f>IF($D1589="","",IF(AND($H1589&lt;&gt;"",$I1589&lt;&gt;""),"débit ET crédit",IF(AND($H1589="",$I1589=""),"montant manquant",IF(ISNA(MATCH($D1589,'Plan comptable'!$H:$H,0)),"compte hors plan",IF(AND($A1589&lt;&gt;"",YEAR($A1589)&lt;&gt;Exercice),"hors exercice","")))))</f>
      </c>
    </row>
    <row r="1590">
      <c r="A1590" s="13"/>
      <c r="B1590" s="10"/>
      <c r="C1590" s="9"/>
      <c r="D1590" s="20"/>
      <c r="E1590" s="9">
        <f>IF($D1590="","",IFERROR(VLOOKUP($D1590,'Plan comptable'!$H:$I,2,FALSE),"compte hors plan"))</f>
      </c>
      <c r="F1590" s="9"/>
      <c r="G1590" s="10"/>
      <c r="H1590" s="11"/>
      <c r="I1590" s="11"/>
      <c r="J1590" s="10">
        <f>IF($D1590="","",IF(AND($H1590&lt;&gt;"",$I1590&lt;&gt;""),"débit ET crédit",IF(AND($H1590="",$I1590=""),"montant manquant",IF(ISNA(MATCH($D1590,'Plan comptable'!$H:$H,0)),"compte hors plan",IF(AND($A1590&lt;&gt;"",YEAR($A1590)&lt;&gt;Exercice),"hors exercice","")))))</f>
      </c>
    </row>
    <row r="1591">
      <c r="A1591" s="13"/>
      <c r="B1591" s="10"/>
      <c r="C1591" s="9"/>
      <c r="D1591" s="20"/>
      <c r="E1591" s="9">
        <f>IF($D1591="","",IFERROR(VLOOKUP($D1591,'Plan comptable'!$H:$I,2,FALSE),"compte hors plan"))</f>
      </c>
      <c r="F1591" s="9"/>
      <c r="G1591" s="10"/>
      <c r="H1591" s="11"/>
      <c r="I1591" s="11"/>
      <c r="J1591" s="10">
        <f>IF($D1591="","",IF(AND($H1591&lt;&gt;"",$I1591&lt;&gt;""),"débit ET crédit",IF(AND($H1591="",$I1591=""),"montant manquant",IF(ISNA(MATCH($D1591,'Plan comptable'!$H:$H,0)),"compte hors plan",IF(AND($A1591&lt;&gt;"",YEAR($A1591)&lt;&gt;Exercice),"hors exercice","")))))</f>
      </c>
    </row>
    <row r="1592">
      <c r="A1592" s="13"/>
      <c r="B1592" s="10"/>
      <c r="C1592" s="9"/>
      <c r="D1592" s="20"/>
      <c r="E1592" s="9">
        <f>IF($D1592="","",IFERROR(VLOOKUP($D1592,'Plan comptable'!$H:$I,2,FALSE),"compte hors plan"))</f>
      </c>
      <c r="F1592" s="9"/>
      <c r="G1592" s="10"/>
      <c r="H1592" s="11"/>
      <c r="I1592" s="11"/>
      <c r="J1592" s="10">
        <f>IF($D1592="","",IF(AND($H1592&lt;&gt;"",$I1592&lt;&gt;""),"débit ET crédit",IF(AND($H1592="",$I1592=""),"montant manquant",IF(ISNA(MATCH($D1592,'Plan comptable'!$H:$H,0)),"compte hors plan",IF(AND($A1592&lt;&gt;"",YEAR($A1592)&lt;&gt;Exercice),"hors exercice","")))))</f>
      </c>
    </row>
    <row r="1593">
      <c r="A1593" s="13"/>
      <c r="B1593" s="10"/>
      <c r="C1593" s="9"/>
      <c r="D1593" s="20"/>
      <c r="E1593" s="9">
        <f>IF($D1593="","",IFERROR(VLOOKUP($D1593,'Plan comptable'!$H:$I,2,FALSE),"compte hors plan"))</f>
      </c>
      <c r="F1593" s="9"/>
      <c r="G1593" s="10"/>
      <c r="H1593" s="11"/>
      <c r="I1593" s="11"/>
      <c r="J1593" s="10">
        <f>IF($D1593="","",IF(AND($H1593&lt;&gt;"",$I1593&lt;&gt;""),"débit ET crédit",IF(AND($H1593="",$I1593=""),"montant manquant",IF(ISNA(MATCH($D1593,'Plan comptable'!$H:$H,0)),"compte hors plan",IF(AND($A1593&lt;&gt;"",YEAR($A1593)&lt;&gt;Exercice),"hors exercice","")))))</f>
      </c>
    </row>
    <row r="1594">
      <c r="A1594" s="13"/>
      <c r="B1594" s="10"/>
      <c r="C1594" s="9"/>
      <c r="D1594" s="20"/>
      <c r="E1594" s="9">
        <f>IF($D1594="","",IFERROR(VLOOKUP($D1594,'Plan comptable'!$H:$I,2,FALSE),"compte hors plan"))</f>
      </c>
      <c r="F1594" s="9"/>
      <c r="G1594" s="10"/>
      <c r="H1594" s="11"/>
      <c r="I1594" s="11"/>
      <c r="J1594" s="10">
        <f>IF($D1594="","",IF(AND($H1594&lt;&gt;"",$I1594&lt;&gt;""),"débit ET crédit",IF(AND($H1594="",$I1594=""),"montant manquant",IF(ISNA(MATCH($D1594,'Plan comptable'!$H:$H,0)),"compte hors plan",IF(AND($A1594&lt;&gt;"",YEAR($A1594)&lt;&gt;Exercice),"hors exercice","")))))</f>
      </c>
    </row>
    <row r="1595">
      <c r="A1595" s="13"/>
      <c r="B1595" s="10"/>
      <c r="C1595" s="9"/>
      <c r="D1595" s="20"/>
      <c r="E1595" s="9">
        <f>IF($D1595="","",IFERROR(VLOOKUP($D1595,'Plan comptable'!$H:$I,2,FALSE),"compte hors plan"))</f>
      </c>
      <c r="F1595" s="9"/>
      <c r="G1595" s="10"/>
      <c r="H1595" s="11"/>
      <c r="I1595" s="11"/>
      <c r="J1595" s="10">
        <f>IF($D1595="","",IF(AND($H1595&lt;&gt;"",$I1595&lt;&gt;""),"débit ET crédit",IF(AND($H1595="",$I1595=""),"montant manquant",IF(ISNA(MATCH($D1595,'Plan comptable'!$H:$H,0)),"compte hors plan",IF(AND($A1595&lt;&gt;"",YEAR($A1595)&lt;&gt;Exercice),"hors exercice","")))))</f>
      </c>
    </row>
    <row r="1596">
      <c r="A1596" s="13"/>
      <c r="B1596" s="10"/>
      <c r="C1596" s="9"/>
      <c r="D1596" s="20"/>
      <c r="E1596" s="9">
        <f>IF($D1596="","",IFERROR(VLOOKUP($D1596,'Plan comptable'!$H:$I,2,FALSE),"compte hors plan"))</f>
      </c>
      <c r="F1596" s="9"/>
      <c r="G1596" s="10"/>
      <c r="H1596" s="11"/>
      <c r="I1596" s="11"/>
      <c r="J1596" s="10">
        <f>IF($D1596="","",IF(AND($H1596&lt;&gt;"",$I1596&lt;&gt;""),"débit ET crédit",IF(AND($H1596="",$I1596=""),"montant manquant",IF(ISNA(MATCH($D1596,'Plan comptable'!$H:$H,0)),"compte hors plan",IF(AND($A1596&lt;&gt;"",YEAR($A1596)&lt;&gt;Exercice),"hors exercice","")))))</f>
      </c>
    </row>
    <row r="1597">
      <c r="A1597" s="13"/>
      <c r="B1597" s="10"/>
      <c r="C1597" s="9"/>
      <c r="D1597" s="20"/>
      <c r="E1597" s="9">
        <f>IF($D1597="","",IFERROR(VLOOKUP($D1597,'Plan comptable'!$H:$I,2,FALSE),"compte hors plan"))</f>
      </c>
      <c r="F1597" s="9"/>
      <c r="G1597" s="10"/>
      <c r="H1597" s="11"/>
      <c r="I1597" s="11"/>
      <c r="J1597" s="10">
        <f>IF($D1597="","",IF(AND($H1597&lt;&gt;"",$I1597&lt;&gt;""),"débit ET crédit",IF(AND($H1597="",$I1597=""),"montant manquant",IF(ISNA(MATCH($D1597,'Plan comptable'!$H:$H,0)),"compte hors plan",IF(AND($A1597&lt;&gt;"",YEAR($A1597)&lt;&gt;Exercice),"hors exercice","")))))</f>
      </c>
    </row>
    <row r="1598">
      <c r="A1598" s="13"/>
      <c r="B1598" s="10"/>
      <c r="C1598" s="9"/>
      <c r="D1598" s="20"/>
      <c r="E1598" s="9">
        <f>IF($D1598="","",IFERROR(VLOOKUP($D1598,'Plan comptable'!$H:$I,2,FALSE),"compte hors plan"))</f>
      </c>
      <c r="F1598" s="9"/>
      <c r="G1598" s="10"/>
      <c r="H1598" s="11"/>
      <c r="I1598" s="11"/>
      <c r="J1598" s="10">
        <f>IF($D1598="","",IF(AND($H1598&lt;&gt;"",$I1598&lt;&gt;""),"débit ET crédit",IF(AND($H1598="",$I1598=""),"montant manquant",IF(ISNA(MATCH($D1598,'Plan comptable'!$H:$H,0)),"compte hors plan",IF(AND($A1598&lt;&gt;"",YEAR($A1598)&lt;&gt;Exercice),"hors exercice","")))))</f>
      </c>
    </row>
    <row r="1599">
      <c r="A1599" s="13"/>
      <c r="B1599" s="10"/>
      <c r="C1599" s="9"/>
      <c r="D1599" s="20"/>
      <c r="E1599" s="9">
        <f>IF($D1599="","",IFERROR(VLOOKUP($D1599,'Plan comptable'!$H:$I,2,FALSE),"compte hors plan"))</f>
      </c>
      <c r="F1599" s="9"/>
      <c r="G1599" s="10"/>
      <c r="H1599" s="11"/>
      <c r="I1599" s="11"/>
      <c r="J1599" s="10">
        <f>IF($D1599="","",IF(AND($H1599&lt;&gt;"",$I1599&lt;&gt;""),"débit ET crédit",IF(AND($H1599="",$I1599=""),"montant manquant",IF(ISNA(MATCH($D1599,'Plan comptable'!$H:$H,0)),"compte hors plan",IF(AND($A1599&lt;&gt;"",YEAR($A1599)&lt;&gt;Exercice),"hors exercice","")))))</f>
      </c>
    </row>
    <row r="1600">
      <c r="A1600" s="13"/>
      <c r="B1600" s="10"/>
      <c r="C1600" s="9"/>
      <c r="D1600" s="20"/>
      <c r="E1600" s="9">
        <f>IF($D1600="","",IFERROR(VLOOKUP($D1600,'Plan comptable'!$H:$I,2,FALSE),"compte hors plan"))</f>
      </c>
      <c r="F1600" s="9"/>
      <c r="G1600" s="10"/>
      <c r="H1600" s="11"/>
      <c r="I1600" s="11"/>
      <c r="J1600" s="10">
        <f>IF($D1600="","",IF(AND($H1600&lt;&gt;"",$I1600&lt;&gt;""),"débit ET crédit",IF(AND($H1600="",$I1600=""),"montant manquant",IF(ISNA(MATCH($D1600,'Plan comptable'!$H:$H,0)),"compte hors plan",IF(AND($A1600&lt;&gt;"",YEAR($A1600)&lt;&gt;Exercice),"hors exercice","")))))</f>
      </c>
    </row>
    <row r="1601">
      <c r="A1601" s="13"/>
      <c r="B1601" s="10"/>
      <c r="C1601" s="9"/>
      <c r="D1601" s="20"/>
      <c r="E1601" s="9">
        <f>IF($D1601="","",IFERROR(VLOOKUP($D1601,'Plan comptable'!$H:$I,2,FALSE),"compte hors plan"))</f>
      </c>
      <c r="F1601" s="9"/>
      <c r="G1601" s="10"/>
      <c r="H1601" s="11"/>
      <c r="I1601" s="11"/>
      <c r="J1601" s="10">
        <f>IF($D1601="","",IF(AND($H1601&lt;&gt;"",$I1601&lt;&gt;""),"débit ET crédit",IF(AND($H1601="",$I1601=""),"montant manquant",IF(ISNA(MATCH($D1601,'Plan comptable'!$H:$H,0)),"compte hors plan",IF(AND($A1601&lt;&gt;"",YEAR($A1601)&lt;&gt;Exercice),"hors exercice","")))))</f>
      </c>
    </row>
    <row r="1602">
      <c r="A1602" s="13"/>
      <c r="B1602" s="10"/>
      <c r="C1602" s="9"/>
      <c r="D1602" s="20"/>
      <c r="E1602" s="9">
        <f>IF($D1602="","",IFERROR(VLOOKUP($D1602,'Plan comptable'!$H:$I,2,FALSE),"compte hors plan"))</f>
      </c>
      <c r="F1602" s="9"/>
      <c r="G1602" s="10"/>
      <c r="H1602" s="11"/>
      <c r="I1602" s="11"/>
      <c r="J1602" s="10">
        <f>IF($D1602="","",IF(AND($H1602&lt;&gt;"",$I1602&lt;&gt;""),"débit ET crédit",IF(AND($H1602="",$I1602=""),"montant manquant",IF(ISNA(MATCH($D1602,'Plan comptable'!$H:$H,0)),"compte hors plan",IF(AND($A1602&lt;&gt;"",YEAR($A1602)&lt;&gt;Exercice),"hors exercice","")))))</f>
      </c>
    </row>
    <row r="1603">
      <c r="A1603" s="13"/>
      <c r="B1603" s="10"/>
      <c r="C1603" s="9"/>
      <c r="D1603" s="20"/>
      <c r="E1603" s="9">
        <f>IF($D1603="","",IFERROR(VLOOKUP($D1603,'Plan comptable'!$H:$I,2,FALSE),"compte hors plan"))</f>
      </c>
      <c r="F1603" s="9"/>
      <c r="G1603" s="10"/>
      <c r="H1603" s="11"/>
      <c r="I1603" s="11"/>
      <c r="J1603" s="10">
        <f>IF($D1603="","",IF(AND($H1603&lt;&gt;"",$I1603&lt;&gt;""),"débit ET crédit",IF(AND($H1603="",$I1603=""),"montant manquant",IF(ISNA(MATCH($D1603,'Plan comptable'!$H:$H,0)),"compte hors plan",IF(AND($A1603&lt;&gt;"",YEAR($A1603)&lt;&gt;Exercice),"hors exercice","")))))</f>
      </c>
    </row>
    <row r="1604">
      <c r="A1604" s="13"/>
      <c r="B1604" s="10"/>
      <c r="C1604" s="9"/>
      <c r="D1604" s="20"/>
      <c r="E1604" s="9">
        <f>IF($D1604="","",IFERROR(VLOOKUP($D1604,'Plan comptable'!$H:$I,2,FALSE),"compte hors plan"))</f>
      </c>
      <c r="F1604" s="9"/>
      <c r="G1604" s="10"/>
      <c r="H1604" s="11"/>
      <c r="I1604" s="11"/>
      <c r="J1604" s="10">
        <f>IF($D1604="","",IF(AND($H1604&lt;&gt;"",$I1604&lt;&gt;""),"débit ET crédit",IF(AND($H1604="",$I1604=""),"montant manquant",IF(ISNA(MATCH($D1604,'Plan comptable'!$H:$H,0)),"compte hors plan",IF(AND($A1604&lt;&gt;"",YEAR($A1604)&lt;&gt;Exercice),"hors exercice","")))))</f>
      </c>
    </row>
    <row r="1605">
      <c r="A1605" s="13"/>
      <c r="B1605" s="10"/>
      <c r="C1605" s="9"/>
      <c r="D1605" s="20"/>
      <c r="E1605" s="9">
        <f>IF($D1605="","",IFERROR(VLOOKUP($D1605,'Plan comptable'!$H:$I,2,FALSE),"compte hors plan"))</f>
      </c>
      <c r="F1605" s="9"/>
      <c r="G1605" s="10"/>
      <c r="H1605" s="11"/>
      <c r="I1605" s="11"/>
      <c r="J1605" s="10">
        <f>IF($D1605="","",IF(AND($H1605&lt;&gt;"",$I1605&lt;&gt;""),"débit ET crédit",IF(AND($H1605="",$I1605=""),"montant manquant",IF(ISNA(MATCH($D1605,'Plan comptable'!$H:$H,0)),"compte hors plan",IF(AND($A1605&lt;&gt;"",YEAR($A1605)&lt;&gt;Exercice),"hors exercice","")))))</f>
      </c>
    </row>
    <row r="1606">
      <c r="A1606" s="13"/>
      <c r="B1606" s="10"/>
      <c r="C1606" s="9"/>
      <c r="D1606" s="20"/>
      <c r="E1606" s="9">
        <f>IF($D1606="","",IFERROR(VLOOKUP($D1606,'Plan comptable'!$H:$I,2,FALSE),"compte hors plan"))</f>
      </c>
      <c r="F1606" s="9"/>
      <c r="G1606" s="10"/>
      <c r="H1606" s="11"/>
      <c r="I1606" s="11"/>
      <c r="J1606" s="10">
        <f>IF($D1606="","",IF(AND($H1606&lt;&gt;"",$I1606&lt;&gt;""),"débit ET crédit",IF(AND($H1606="",$I1606=""),"montant manquant",IF(ISNA(MATCH($D1606,'Plan comptable'!$H:$H,0)),"compte hors plan",IF(AND($A1606&lt;&gt;"",YEAR($A1606)&lt;&gt;Exercice),"hors exercice","")))))</f>
      </c>
    </row>
    <row r="1607">
      <c r="A1607" s="13"/>
      <c r="B1607" s="10"/>
      <c r="C1607" s="9"/>
      <c r="D1607" s="20"/>
      <c r="E1607" s="9">
        <f>IF($D1607="","",IFERROR(VLOOKUP($D1607,'Plan comptable'!$H:$I,2,FALSE),"compte hors plan"))</f>
      </c>
      <c r="F1607" s="9"/>
      <c r="G1607" s="10"/>
      <c r="H1607" s="11"/>
      <c r="I1607" s="11"/>
      <c r="J1607" s="10">
        <f>IF($D1607="","",IF(AND($H1607&lt;&gt;"",$I1607&lt;&gt;""),"débit ET crédit",IF(AND($H1607="",$I1607=""),"montant manquant",IF(ISNA(MATCH($D1607,'Plan comptable'!$H:$H,0)),"compte hors plan",IF(AND($A1607&lt;&gt;"",YEAR($A1607)&lt;&gt;Exercice),"hors exercice","")))))</f>
      </c>
    </row>
    <row r="1608">
      <c r="A1608" s="13"/>
      <c r="B1608" s="10"/>
      <c r="C1608" s="9"/>
      <c r="D1608" s="20"/>
      <c r="E1608" s="9">
        <f>IF($D1608="","",IFERROR(VLOOKUP($D1608,'Plan comptable'!$H:$I,2,FALSE),"compte hors plan"))</f>
      </c>
      <c r="F1608" s="9"/>
      <c r="G1608" s="10"/>
      <c r="H1608" s="11"/>
      <c r="I1608" s="11"/>
      <c r="J1608" s="10">
        <f>IF($D1608="","",IF(AND($H1608&lt;&gt;"",$I1608&lt;&gt;""),"débit ET crédit",IF(AND($H1608="",$I1608=""),"montant manquant",IF(ISNA(MATCH($D1608,'Plan comptable'!$H:$H,0)),"compte hors plan",IF(AND($A1608&lt;&gt;"",YEAR($A1608)&lt;&gt;Exercice),"hors exercice","")))))</f>
      </c>
    </row>
    <row r="1609">
      <c r="A1609" s="13"/>
      <c r="B1609" s="10"/>
      <c r="C1609" s="9"/>
      <c r="D1609" s="20"/>
      <c r="E1609" s="9">
        <f>IF($D1609="","",IFERROR(VLOOKUP($D1609,'Plan comptable'!$H:$I,2,FALSE),"compte hors plan"))</f>
      </c>
      <c r="F1609" s="9"/>
      <c r="G1609" s="10"/>
      <c r="H1609" s="11"/>
      <c r="I1609" s="11"/>
      <c r="J1609" s="10">
        <f>IF($D1609="","",IF(AND($H1609&lt;&gt;"",$I1609&lt;&gt;""),"débit ET crédit",IF(AND($H1609="",$I1609=""),"montant manquant",IF(ISNA(MATCH($D1609,'Plan comptable'!$H:$H,0)),"compte hors plan",IF(AND($A1609&lt;&gt;"",YEAR($A1609)&lt;&gt;Exercice),"hors exercice","")))))</f>
      </c>
    </row>
    <row r="1610">
      <c r="A1610" s="13"/>
      <c r="B1610" s="10"/>
      <c r="C1610" s="9"/>
      <c r="D1610" s="20"/>
      <c r="E1610" s="9">
        <f>IF($D1610="","",IFERROR(VLOOKUP($D1610,'Plan comptable'!$H:$I,2,FALSE),"compte hors plan"))</f>
      </c>
      <c r="F1610" s="9"/>
      <c r="G1610" s="10"/>
      <c r="H1610" s="11"/>
      <c r="I1610" s="11"/>
      <c r="J1610" s="10">
        <f>IF($D1610="","",IF(AND($H1610&lt;&gt;"",$I1610&lt;&gt;""),"débit ET crédit",IF(AND($H1610="",$I1610=""),"montant manquant",IF(ISNA(MATCH($D1610,'Plan comptable'!$H:$H,0)),"compte hors plan",IF(AND($A1610&lt;&gt;"",YEAR($A1610)&lt;&gt;Exercice),"hors exercice","")))))</f>
      </c>
    </row>
    <row r="1611">
      <c r="A1611" s="13"/>
      <c r="B1611" s="10"/>
      <c r="C1611" s="9"/>
      <c r="D1611" s="20"/>
      <c r="E1611" s="9">
        <f>IF($D1611="","",IFERROR(VLOOKUP($D1611,'Plan comptable'!$H:$I,2,FALSE),"compte hors plan"))</f>
      </c>
      <c r="F1611" s="9"/>
      <c r="G1611" s="10"/>
      <c r="H1611" s="11"/>
      <c r="I1611" s="11"/>
      <c r="J1611" s="10">
        <f>IF($D1611="","",IF(AND($H1611&lt;&gt;"",$I1611&lt;&gt;""),"débit ET crédit",IF(AND($H1611="",$I1611=""),"montant manquant",IF(ISNA(MATCH($D1611,'Plan comptable'!$H:$H,0)),"compte hors plan",IF(AND($A1611&lt;&gt;"",YEAR($A1611)&lt;&gt;Exercice),"hors exercice","")))))</f>
      </c>
    </row>
    <row r="1612">
      <c r="A1612" s="13"/>
      <c r="B1612" s="10"/>
      <c r="C1612" s="9"/>
      <c r="D1612" s="20"/>
      <c r="E1612" s="9">
        <f>IF($D1612="","",IFERROR(VLOOKUP($D1612,'Plan comptable'!$H:$I,2,FALSE),"compte hors plan"))</f>
      </c>
      <c r="F1612" s="9"/>
      <c r="G1612" s="10"/>
      <c r="H1612" s="11"/>
      <c r="I1612" s="11"/>
      <c r="J1612" s="10">
        <f>IF($D1612="","",IF(AND($H1612&lt;&gt;"",$I1612&lt;&gt;""),"débit ET crédit",IF(AND($H1612="",$I1612=""),"montant manquant",IF(ISNA(MATCH($D1612,'Plan comptable'!$H:$H,0)),"compte hors plan",IF(AND($A1612&lt;&gt;"",YEAR($A1612)&lt;&gt;Exercice),"hors exercice","")))))</f>
      </c>
    </row>
    <row r="1613">
      <c r="A1613" s="13"/>
      <c r="B1613" s="10"/>
      <c r="C1613" s="9"/>
      <c r="D1613" s="20"/>
      <c r="E1613" s="9">
        <f>IF($D1613="","",IFERROR(VLOOKUP($D1613,'Plan comptable'!$H:$I,2,FALSE),"compte hors plan"))</f>
      </c>
      <c r="F1613" s="9"/>
      <c r="G1613" s="10"/>
      <c r="H1613" s="11"/>
      <c r="I1613" s="11"/>
      <c r="J1613" s="10">
        <f>IF($D1613="","",IF(AND($H1613&lt;&gt;"",$I1613&lt;&gt;""),"débit ET crédit",IF(AND($H1613="",$I1613=""),"montant manquant",IF(ISNA(MATCH($D1613,'Plan comptable'!$H:$H,0)),"compte hors plan",IF(AND($A1613&lt;&gt;"",YEAR($A1613)&lt;&gt;Exercice),"hors exercice","")))))</f>
      </c>
    </row>
    <row r="1614">
      <c r="A1614" s="13"/>
      <c r="B1614" s="10"/>
      <c r="C1614" s="9"/>
      <c r="D1614" s="20"/>
      <c r="E1614" s="9">
        <f>IF($D1614="","",IFERROR(VLOOKUP($D1614,'Plan comptable'!$H:$I,2,FALSE),"compte hors plan"))</f>
      </c>
      <c r="F1614" s="9"/>
      <c r="G1614" s="10"/>
      <c r="H1614" s="11"/>
      <c r="I1614" s="11"/>
      <c r="J1614" s="10">
        <f>IF($D1614="","",IF(AND($H1614&lt;&gt;"",$I1614&lt;&gt;""),"débit ET crédit",IF(AND($H1614="",$I1614=""),"montant manquant",IF(ISNA(MATCH($D1614,'Plan comptable'!$H:$H,0)),"compte hors plan",IF(AND($A1614&lt;&gt;"",YEAR($A1614)&lt;&gt;Exercice),"hors exercice","")))))</f>
      </c>
    </row>
    <row r="1615">
      <c r="A1615" s="13"/>
      <c r="B1615" s="10"/>
      <c r="C1615" s="9"/>
      <c r="D1615" s="20"/>
      <c r="E1615" s="9">
        <f>IF($D1615="","",IFERROR(VLOOKUP($D1615,'Plan comptable'!$H:$I,2,FALSE),"compte hors plan"))</f>
      </c>
      <c r="F1615" s="9"/>
      <c r="G1615" s="10"/>
      <c r="H1615" s="11"/>
      <c r="I1615" s="11"/>
      <c r="J1615" s="10">
        <f>IF($D1615="","",IF(AND($H1615&lt;&gt;"",$I1615&lt;&gt;""),"débit ET crédit",IF(AND($H1615="",$I1615=""),"montant manquant",IF(ISNA(MATCH($D1615,'Plan comptable'!$H:$H,0)),"compte hors plan",IF(AND($A1615&lt;&gt;"",YEAR($A1615)&lt;&gt;Exercice),"hors exercice","")))))</f>
      </c>
    </row>
    <row r="1616">
      <c r="A1616" s="13"/>
      <c r="B1616" s="10"/>
      <c r="C1616" s="9"/>
      <c r="D1616" s="20"/>
      <c r="E1616" s="9">
        <f>IF($D1616="","",IFERROR(VLOOKUP($D1616,'Plan comptable'!$H:$I,2,FALSE),"compte hors plan"))</f>
      </c>
      <c r="F1616" s="9"/>
      <c r="G1616" s="10"/>
      <c r="H1616" s="11"/>
      <c r="I1616" s="11"/>
      <c r="J1616" s="10">
        <f>IF($D1616="","",IF(AND($H1616&lt;&gt;"",$I1616&lt;&gt;""),"débit ET crédit",IF(AND($H1616="",$I1616=""),"montant manquant",IF(ISNA(MATCH($D1616,'Plan comptable'!$H:$H,0)),"compte hors plan",IF(AND($A1616&lt;&gt;"",YEAR($A1616)&lt;&gt;Exercice),"hors exercice","")))))</f>
      </c>
    </row>
    <row r="1617">
      <c r="A1617" s="13"/>
      <c r="B1617" s="10"/>
      <c r="C1617" s="9"/>
      <c r="D1617" s="20"/>
      <c r="E1617" s="9">
        <f>IF($D1617="","",IFERROR(VLOOKUP($D1617,'Plan comptable'!$H:$I,2,FALSE),"compte hors plan"))</f>
      </c>
      <c r="F1617" s="9"/>
      <c r="G1617" s="10"/>
      <c r="H1617" s="11"/>
      <c r="I1617" s="11"/>
      <c r="J1617" s="10">
        <f>IF($D1617="","",IF(AND($H1617&lt;&gt;"",$I1617&lt;&gt;""),"débit ET crédit",IF(AND($H1617="",$I1617=""),"montant manquant",IF(ISNA(MATCH($D1617,'Plan comptable'!$H:$H,0)),"compte hors plan",IF(AND($A1617&lt;&gt;"",YEAR($A1617)&lt;&gt;Exercice),"hors exercice","")))))</f>
      </c>
    </row>
    <row r="1618">
      <c r="A1618" s="13"/>
      <c r="B1618" s="10"/>
      <c r="C1618" s="9"/>
      <c r="D1618" s="20"/>
      <c r="E1618" s="9">
        <f>IF($D1618="","",IFERROR(VLOOKUP($D1618,'Plan comptable'!$H:$I,2,FALSE),"compte hors plan"))</f>
      </c>
      <c r="F1618" s="9"/>
      <c r="G1618" s="10"/>
      <c r="H1618" s="11"/>
      <c r="I1618" s="11"/>
      <c r="J1618" s="10">
        <f>IF($D1618="","",IF(AND($H1618&lt;&gt;"",$I1618&lt;&gt;""),"débit ET crédit",IF(AND($H1618="",$I1618=""),"montant manquant",IF(ISNA(MATCH($D1618,'Plan comptable'!$H:$H,0)),"compte hors plan",IF(AND($A1618&lt;&gt;"",YEAR($A1618)&lt;&gt;Exercice),"hors exercice","")))))</f>
      </c>
    </row>
    <row r="1619">
      <c r="A1619" s="13"/>
      <c r="B1619" s="10"/>
      <c r="C1619" s="9"/>
      <c r="D1619" s="20"/>
      <c r="E1619" s="9">
        <f>IF($D1619="","",IFERROR(VLOOKUP($D1619,'Plan comptable'!$H:$I,2,FALSE),"compte hors plan"))</f>
      </c>
      <c r="F1619" s="9"/>
      <c r="G1619" s="10"/>
      <c r="H1619" s="11"/>
      <c r="I1619" s="11"/>
      <c r="J1619" s="10">
        <f>IF($D1619="","",IF(AND($H1619&lt;&gt;"",$I1619&lt;&gt;""),"débit ET crédit",IF(AND($H1619="",$I1619=""),"montant manquant",IF(ISNA(MATCH($D1619,'Plan comptable'!$H:$H,0)),"compte hors plan",IF(AND($A1619&lt;&gt;"",YEAR($A1619)&lt;&gt;Exercice),"hors exercice","")))))</f>
      </c>
    </row>
    <row r="1620">
      <c r="A1620" s="13"/>
      <c r="B1620" s="10"/>
      <c r="C1620" s="9"/>
      <c r="D1620" s="20"/>
      <c r="E1620" s="9">
        <f>IF($D1620="","",IFERROR(VLOOKUP($D1620,'Plan comptable'!$H:$I,2,FALSE),"compte hors plan"))</f>
      </c>
      <c r="F1620" s="9"/>
      <c r="G1620" s="10"/>
      <c r="H1620" s="11"/>
      <c r="I1620" s="11"/>
      <c r="J1620" s="10">
        <f>IF($D1620="","",IF(AND($H1620&lt;&gt;"",$I1620&lt;&gt;""),"débit ET crédit",IF(AND($H1620="",$I1620=""),"montant manquant",IF(ISNA(MATCH($D1620,'Plan comptable'!$H:$H,0)),"compte hors plan",IF(AND($A1620&lt;&gt;"",YEAR($A1620)&lt;&gt;Exercice),"hors exercice","")))))</f>
      </c>
    </row>
    <row r="1621">
      <c r="A1621" s="13"/>
      <c r="B1621" s="10"/>
      <c r="C1621" s="9"/>
      <c r="D1621" s="20"/>
      <c r="E1621" s="9">
        <f>IF($D1621="","",IFERROR(VLOOKUP($D1621,'Plan comptable'!$H:$I,2,FALSE),"compte hors plan"))</f>
      </c>
      <c r="F1621" s="9"/>
      <c r="G1621" s="10"/>
      <c r="H1621" s="11"/>
      <c r="I1621" s="11"/>
      <c r="J1621" s="10">
        <f>IF($D1621="","",IF(AND($H1621&lt;&gt;"",$I1621&lt;&gt;""),"débit ET crédit",IF(AND($H1621="",$I1621=""),"montant manquant",IF(ISNA(MATCH($D1621,'Plan comptable'!$H:$H,0)),"compte hors plan",IF(AND($A1621&lt;&gt;"",YEAR($A1621)&lt;&gt;Exercice),"hors exercice","")))))</f>
      </c>
    </row>
    <row r="1622">
      <c r="A1622" s="13"/>
      <c r="B1622" s="10"/>
      <c r="C1622" s="9"/>
      <c r="D1622" s="20"/>
      <c r="E1622" s="9">
        <f>IF($D1622="","",IFERROR(VLOOKUP($D1622,'Plan comptable'!$H:$I,2,FALSE),"compte hors plan"))</f>
      </c>
      <c r="F1622" s="9"/>
      <c r="G1622" s="10"/>
      <c r="H1622" s="11"/>
      <c r="I1622" s="11"/>
      <c r="J1622" s="10">
        <f>IF($D1622="","",IF(AND($H1622&lt;&gt;"",$I1622&lt;&gt;""),"débit ET crédit",IF(AND($H1622="",$I1622=""),"montant manquant",IF(ISNA(MATCH($D1622,'Plan comptable'!$H:$H,0)),"compte hors plan",IF(AND($A1622&lt;&gt;"",YEAR($A1622)&lt;&gt;Exercice),"hors exercice","")))))</f>
      </c>
    </row>
    <row r="1623">
      <c r="A1623" s="13"/>
      <c r="B1623" s="10"/>
      <c r="C1623" s="9"/>
      <c r="D1623" s="20"/>
      <c r="E1623" s="9">
        <f>IF($D1623="","",IFERROR(VLOOKUP($D1623,'Plan comptable'!$H:$I,2,FALSE),"compte hors plan"))</f>
      </c>
      <c r="F1623" s="9"/>
      <c r="G1623" s="10"/>
      <c r="H1623" s="11"/>
      <c r="I1623" s="11"/>
      <c r="J1623" s="10">
        <f>IF($D1623="","",IF(AND($H1623&lt;&gt;"",$I1623&lt;&gt;""),"débit ET crédit",IF(AND($H1623="",$I1623=""),"montant manquant",IF(ISNA(MATCH($D1623,'Plan comptable'!$H:$H,0)),"compte hors plan",IF(AND($A1623&lt;&gt;"",YEAR($A1623)&lt;&gt;Exercice),"hors exercice","")))))</f>
      </c>
    </row>
    <row r="1624">
      <c r="A1624" s="13"/>
      <c r="B1624" s="10"/>
      <c r="C1624" s="9"/>
      <c r="D1624" s="20"/>
      <c r="E1624" s="9">
        <f>IF($D1624="","",IFERROR(VLOOKUP($D1624,'Plan comptable'!$H:$I,2,FALSE),"compte hors plan"))</f>
      </c>
      <c r="F1624" s="9"/>
      <c r="G1624" s="10"/>
      <c r="H1624" s="11"/>
      <c r="I1624" s="11"/>
      <c r="J1624" s="10">
        <f>IF($D1624="","",IF(AND($H1624&lt;&gt;"",$I1624&lt;&gt;""),"débit ET crédit",IF(AND($H1624="",$I1624=""),"montant manquant",IF(ISNA(MATCH($D1624,'Plan comptable'!$H:$H,0)),"compte hors plan",IF(AND($A1624&lt;&gt;"",YEAR($A1624)&lt;&gt;Exercice),"hors exercice","")))))</f>
      </c>
    </row>
    <row r="1625">
      <c r="A1625" s="13"/>
      <c r="B1625" s="10"/>
      <c r="C1625" s="9"/>
      <c r="D1625" s="20"/>
      <c r="E1625" s="9">
        <f>IF($D1625="","",IFERROR(VLOOKUP($D1625,'Plan comptable'!$H:$I,2,FALSE),"compte hors plan"))</f>
      </c>
      <c r="F1625" s="9"/>
      <c r="G1625" s="10"/>
      <c r="H1625" s="11"/>
      <c r="I1625" s="11"/>
      <c r="J1625" s="10">
        <f>IF($D1625="","",IF(AND($H1625&lt;&gt;"",$I1625&lt;&gt;""),"débit ET crédit",IF(AND($H1625="",$I1625=""),"montant manquant",IF(ISNA(MATCH($D1625,'Plan comptable'!$H:$H,0)),"compte hors plan",IF(AND($A1625&lt;&gt;"",YEAR($A1625)&lt;&gt;Exercice),"hors exercice","")))))</f>
      </c>
    </row>
    <row r="1626">
      <c r="A1626" s="13"/>
      <c r="B1626" s="10"/>
      <c r="C1626" s="9"/>
      <c r="D1626" s="20"/>
      <c r="E1626" s="9">
        <f>IF($D1626="","",IFERROR(VLOOKUP($D1626,'Plan comptable'!$H:$I,2,FALSE),"compte hors plan"))</f>
      </c>
      <c r="F1626" s="9"/>
      <c r="G1626" s="10"/>
      <c r="H1626" s="11"/>
      <c r="I1626" s="11"/>
      <c r="J1626" s="10">
        <f>IF($D1626="","",IF(AND($H1626&lt;&gt;"",$I1626&lt;&gt;""),"débit ET crédit",IF(AND($H1626="",$I1626=""),"montant manquant",IF(ISNA(MATCH($D1626,'Plan comptable'!$H:$H,0)),"compte hors plan",IF(AND($A1626&lt;&gt;"",YEAR($A1626)&lt;&gt;Exercice),"hors exercice","")))))</f>
      </c>
    </row>
    <row r="1627">
      <c r="A1627" s="13"/>
      <c r="B1627" s="10"/>
      <c r="C1627" s="9"/>
      <c r="D1627" s="20"/>
      <c r="E1627" s="9">
        <f>IF($D1627="","",IFERROR(VLOOKUP($D1627,'Plan comptable'!$H:$I,2,FALSE),"compte hors plan"))</f>
      </c>
      <c r="F1627" s="9"/>
      <c r="G1627" s="10"/>
      <c r="H1627" s="11"/>
      <c r="I1627" s="11"/>
      <c r="J1627" s="10">
        <f>IF($D1627="","",IF(AND($H1627&lt;&gt;"",$I1627&lt;&gt;""),"débit ET crédit",IF(AND($H1627="",$I1627=""),"montant manquant",IF(ISNA(MATCH($D1627,'Plan comptable'!$H:$H,0)),"compte hors plan",IF(AND($A1627&lt;&gt;"",YEAR($A1627)&lt;&gt;Exercice),"hors exercice","")))))</f>
      </c>
    </row>
    <row r="1628">
      <c r="A1628" s="13"/>
      <c r="B1628" s="10"/>
      <c r="C1628" s="9"/>
      <c r="D1628" s="20"/>
      <c r="E1628" s="9">
        <f>IF($D1628="","",IFERROR(VLOOKUP($D1628,'Plan comptable'!$H:$I,2,FALSE),"compte hors plan"))</f>
      </c>
      <c r="F1628" s="9"/>
      <c r="G1628" s="10"/>
      <c r="H1628" s="11"/>
      <c r="I1628" s="11"/>
      <c r="J1628" s="10">
        <f>IF($D1628="","",IF(AND($H1628&lt;&gt;"",$I1628&lt;&gt;""),"débit ET crédit",IF(AND($H1628="",$I1628=""),"montant manquant",IF(ISNA(MATCH($D1628,'Plan comptable'!$H:$H,0)),"compte hors plan",IF(AND($A1628&lt;&gt;"",YEAR($A1628)&lt;&gt;Exercice),"hors exercice","")))))</f>
      </c>
    </row>
    <row r="1629">
      <c r="A1629" s="13"/>
      <c r="B1629" s="10"/>
      <c r="C1629" s="9"/>
      <c r="D1629" s="20"/>
      <c r="E1629" s="9">
        <f>IF($D1629="","",IFERROR(VLOOKUP($D1629,'Plan comptable'!$H:$I,2,FALSE),"compte hors plan"))</f>
      </c>
      <c r="F1629" s="9"/>
      <c r="G1629" s="10"/>
      <c r="H1629" s="11"/>
      <c r="I1629" s="11"/>
      <c r="J1629" s="10">
        <f>IF($D1629="","",IF(AND($H1629&lt;&gt;"",$I1629&lt;&gt;""),"débit ET crédit",IF(AND($H1629="",$I1629=""),"montant manquant",IF(ISNA(MATCH($D1629,'Plan comptable'!$H:$H,0)),"compte hors plan",IF(AND($A1629&lt;&gt;"",YEAR($A1629)&lt;&gt;Exercice),"hors exercice","")))))</f>
      </c>
    </row>
    <row r="1630">
      <c r="A1630" s="13"/>
      <c r="B1630" s="10"/>
      <c r="C1630" s="9"/>
      <c r="D1630" s="20"/>
      <c r="E1630" s="9">
        <f>IF($D1630="","",IFERROR(VLOOKUP($D1630,'Plan comptable'!$H:$I,2,FALSE),"compte hors plan"))</f>
      </c>
      <c r="F1630" s="9"/>
      <c r="G1630" s="10"/>
      <c r="H1630" s="11"/>
      <c r="I1630" s="11"/>
      <c r="J1630" s="10">
        <f>IF($D1630="","",IF(AND($H1630&lt;&gt;"",$I1630&lt;&gt;""),"débit ET crédit",IF(AND($H1630="",$I1630=""),"montant manquant",IF(ISNA(MATCH($D1630,'Plan comptable'!$H:$H,0)),"compte hors plan",IF(AND($A1630&lt;&gt;"",YEAR($A1630)&lt;&gt;Exercice),"hors exercice","")))))</f>
      </c>
    </row>
    <row r="1631">
      <c r="A1631" s="13"/>
      <c r="B1631" s="10"/>
      <c r="C1631" s="9"/>
      <c r="D1631" s="20"/>
      <c r="E1631" s="9">
        <f>IF($D1631="","",IFERROR(VLOOKUP($D1631,'Plan comptable'!$H:$I,2,FALSE),"compte hors plan"))</f>
      </c>
      <c r="F1631" s="9"/>
      <c r="G1631" s="10"/>
      <c r="H1631" s="11"/>
      <c r="I1631" s="11"/>
      <c r="J1631" s="10">
        <f>IF($D1631="","",IF(AND($H1631&lt;&gt;"",$I1631&lt;&gt;""),"débit ET crédit",IF(AND($H1631="",$I1631=""),"montant manquant",IF(ISNA(MATCH($D1631,'Plan comptable'!$H:$H,0)),"compte hors plan",IF(AND($A1631&lt;&gt;"",YEAR($A1631)&lt;&gt;Exercice),"hors exercice","")))))</f>
      </c>
    </row>
    <row r="1632">
      <c r="A1632" s="13"/>
      <c r="B1632" s="10"/>
      <c r="C1632" s="9"/>
      <c r="D1632" s="20"/>
      <c r="E1632" s="9">
        <f>IF($D1632="","",IFERROR(VLOOKUP($D1632,'Plan comptable'!$H:$I,2,FALSE),"compte hors plan"))</f>
      </c>
      <c r="F1632" s="9"/>
      <c r="G1632" s="10"/>
      <c r="H1632" s="11"/>
      <c r="I1632" s="11"/>
      <c r="J1632" s="10">
        <f>IF($D1632="","",IF(AND($H1632&lt;&gt;"",$I1632&lt;&gt;""),"débit ET crédit",IF(AND($H1632="",$I1632=""),"montant manquant",IF(ISNA(MATCH($D1632,'Plan comptable'!$H:$H,0)),"compte hors plan",IF(AND($A1632&lt;&gt;"",YEAR($A1632)&lt;&gt;Exercice),"hors exercice","")))))</f>
      </c>
    </row>
    <row r="1633">
      <c r="A1633" s="13"/>
      <c r="B1633" s="10"/>
      <c r="C1633" s="9"/>
      <c r="D1633" s="20"/>
      <c r="E1633" s="9">
        <f>IF($D1633="","",IFERROR(VLOOKUP($D1633,'Plan comptable'!$H:$I,2,FALSE),"compte hors plan"))</f>
      </c>
      <c r="F1633" s="9"/>
      <c r="G1633" s="10"/>
      <c r="H1633" s="11"/>
      <c r="I1633" s="11"/>
      <c r="J1633" s="10">
        <f>IF($D1633="","",IF(AND($H1633&lt;&gt;"",$I1633&lt;&gt;""),"débit ET crédit",IF(AND($H1633="",$I1633=""),"montant manquant",IF(ISNA(MATCH($D1633,'Plan comptable'!$H:$H,0)),"compte hors plan",IF(AND($A1633&lt;&gt;"",YEAR($A1633)&lt;&gt;Exercice),"hors exercice","")))))</f>
      </c>
    </row>
    <row r="1634">
      <c r="A1634" s="13"/>
      <c r="B1634" s="10"/>
      <c r="C1634" s="9"/>
      <c r="D1634" s="20"/>
      <c r="E1634" s="9">
        <f>IF($D1634="","",IFERROR(VLOOKUP($D1634,'Plan comptable'!$H:$I,2,FALSE),"compte hors plan"))</f>
      </c>
      <c r="F1634" s="9"/>
      <c r="G1634" s="10"/>
      <c r="H1634" s="11"/>
      <c r="I1634" s="11"/>
      <c r="J1634" s="10">
        <f>IF($D1634="","",IF(AND($H1634&lt;&gt;"",$I1634&lt;&gt;""),"débit ET crédit",IF(AND($H1634="",$I1634=""),"montant manquant",IF(ISNA(MATCH($D1634,'Plan comptable'!$H:$H,0)),"compte hors plan",IF(AND($A1634&lt;&gt;"",YEAR($A1634)&lt;&gt;Exercice),"hors exercice","")))))</f>
      </c>
    </row>
    <row r="1635">
      <c r="A1635" s="13"/>
      <c r="B1635" s="10"/>
      <c r="C1635" s="9"/>
      <c r="D1635" s="20"/>
      <c r="E1635" s="9">
        <f>IF($D1635="","",IFERROR(VLOOKUP($D1635,'Plan comptable'!$H:$I,2,FALSE),"compte hors plan"))</f>
      </c>
      <c r="F1635" s="9"/>
      <c r="G1635" s="10"/>
      <c r="H1635" s="11"/>
      <c r="I1635" s="11"/>
      <c r="J1635" s="10">
        <f>IF($D1635="","",IF(AND($H1635&lt;&gt;"",$I1635&lt;&gt;""),"débit ET crédit",IF(AND($H1635="",$I1635=""),"montant manquant",IF(ISNA(MATCH($D1635,'Plan comptable'!$H:$H,0)),"compte hors plan",IF(AND($A1635&lt;&gt;"",YEAR($A1635)&lt;&gt;Exercice),"hors exercice","")))))</f>
      </c>
    </row>
    <row r="1636">
      <c r="A1636" s="13"/>
      <c r="B1636" s="10"/>
      <c r="C1636" s="9"/>
      <c r="D1636" s="20"/>
      <c r="E1636" s="9">
        <f>IF($D1636="","",IFERROR(VLOOKUP($D1636,'Plan comptable'!$H:$I,2,FALSE),"compte hors plan"))</f>
      </c>
      <c r="F1636" s="9"/>
      <c r="G1636" s="10"/>
      <c r="H1636" s="11"/>
      <c r="I1636" s="11"/>
      <c r="J1636" s="10">
        <f>IF($D1636="","",IF(AND($H1636&lt;&gt;"",$I1636&lt;&gt;""),"débit ET crédit",IF(AND($H1636="",$I1636=""),"montant manquant",IF(ISNA(MATCH($D1636,'Plan comptable'!$H:$H,0)),"compte hors plan",IF(AND($A1636&lt;&gt;"",YEAR($A1636)&lt;&gt;Exercice),"hors exercice","")))))</f>
      </c>
    </row>
    <row r="1637">
      <c r="A1637" s="13"/>
      <c r="B1637" s="10"/>
      <c r="C1637" s="9"/>
      <c r="D1637" s="20"/>
      <c r="E1637" s="9">
        <f>IF($D1637="","",IFERROR(VLOOKUP($D1637,'Plan comptable'!$H:$I,2,FALSE),"compte hors plan"))</f>
      </c>
      <c r="F1637" s="9"/>
      <c r="G1637" s="10"/>
      <c r="H1637" s="11"/>
      <c r="I1637" s="11"/>
      <c r="J1637" s="10">
        <f>IF($D1637="","",IF(AND($H1637&lt;&gt;"",$I1637&lt;&gt;""),"débit ET crédit",IF(AND($H1637="",$I1637=""),"montant manquant",IF(ISNA(MATCH($D1637,'Plan comptable'!$H:$H,0)),"compte hors plan",IF(AND($A1637&lt;&gt;"",YEAR($A1637)&lt;&gt;Exercice),"hors exercice","")))))</f>
      </c>
    </row>
    <row r="1638">
      <c r="A1638" s="13"/>
      <c r="B1638" s="10"/>
      <c r="C1638" s="9"/>
      <c r="D1638" s="20"/>
      <c r="E1638" s="9">
        <f>IF($D1638="","",IFERROR(VLOOKUP($D1638,'Plan comptable'!$H:$I,2,FALSE),"compte hors plan"))</f>
      </c>
      <c r="F1638" s="9"/>
      <c r="G1638" s="10"/>
      <c r="H1638" s="11"/>
      <c r="I1638" s="11"/>
      <c r="J1638" s="10">
        <f>IF($D1638="","",IF(AND($H1638&lt;&gt;"",$I1638&lt;&gt;""),"débit ET crédit",IF(AND($H1638="",$I1638=""),"montant manquant",IF(ISNA(MATCH($D1638,'Plan comptable'!$H:$H,0)),"compte hors plan",IF(AND($A1638&lt;&gt;"",YEAR($A1638)&lt;&gt;Exercice),"hors exercice","")))))</f>
      </c>
    </row>
    <row r="1639">
      <c r="A1639" s="13"/>
      <c r="B1639" s="10"/>
      <c r="C1639" s="9"/>
      <c r="D1639" s="20"/>
      <c r="E1639" s="9">
        <f>IF($D1639="","",IFERROR(VLOOKUP($D1639,'Plan comptable'!$H:$I,2,FALSE),"compte hors plan"))</f>
      </c>
      <c r="F1639" s="9"/>
      <c r="G1639" s="10"/>
      <c r="H1639" s="11"/>
      <c r="I1639" s="11"/>
      <c r="J1639" s="10">
        <f>IF($D1639="","",IF(AND($H1639&lt;&gt;"",$I1639&lt;&gt;""),"débit ET crédit",IF(AND($H1639="",$I1639=""),"montant manquant",IF(ISNA(MATCH($D1639,'Plan comptable'!$H:$H,0)),"compte hors plan",IF(AND($A1639&lt;&gt;"",YEAR($A1639)&lt;&gt;Exercice),"hors exercice","")))))</f>
      </c>
    </row>
    <row r="1640">
      <c r="A1640" s="13"/>
      <c r="B1640" s="10"/>
      <c r="C1640" s="9"/>
      <c r="D1640" s="20"/>
      <c r="E1640" s="9">
        <f>IF($D1640="","",IFERROR(VLOOKUP($D1640,'Plan comptable'!$H:$I,2,FALSE),"compte hors plan"))</f>
      </c>
      <c r="F1640" s="9"/>
      <c r="G1640" s="10"/>
      <c r="H1640" s="11"/>
      <c r="I1640" s="11"/>
      <c r="J1640" s="10">
        <f>IF($D1640="","",IF(AND($H1640&lt;&gt;"",$I1640&lt;&gt;""),"débit ET crédit",IF(AND($H1640="",$I1640=""),"montant manquant",IF(ISNA(MATCH($D1640,'Plan comptable'!$H:$H,0)),"compte hors plan",IF(AND($A1640&lt;&gt;"",YEAR($A1640)&lt;&gt;Exercice),"hors exercice","")))))</f>
      </c>
    </row>
    <row r="1641">
      <c r="A1641" s="13"/>
      <c r="B1641" s="10"/>
      <c r="C1641" s="9"/>
      <c r="D1641" s="20"/>
      <c r="E1641" s="9">
        <f>IF($D1641="","",IFERROR(VLOOKUP($D1641,'Plan comptable'!$H:$I,2,FALSE),"compte hors plan"))</f>
      </c>
      <c r="F1641" s="9"/>
      <c r="G1641" s="10"/>
      <c r="H1641" s="11"/>
      <c r="I1641" s="11"/>
      <c r="J1641" s="10">
        <f>IF($D1641="","",IF(AND($H1641&lt;&gt;"",$I1641&lt;&gt;""),"débit ET crédit",IF(AND($H1641="",$I1641=""),"montant manquant",IF(ISNA(MATCH($D1641,'Plan comptable'!$H:$H,0)),"compte hors plan",IF(AND($A1641&lt;&gt;"",YEAR($A1641)&lt;&gt;Exercice),"hors exercice","")))))</f>
      </c>
    </row>
    <row r="1642">
      <c r="A1642" s="13"/>
      <c r="B1642" s="10"/>
      <c r="C1642" s="9"/>
      <c r="D1642" s="20"/>
      <c r="E1642" s="9">
        <f>IF($D1642="","",IFERROR(VLOOKUP($D1642,'Plan comptable'!$H:$I,2,FALSE),"compte hors plan"))</f>
      </c>
      <c r="F1642" s="9"/>
      <c r="G1642" s="10"/>
      <c r="H1642" s="11"/>
      <c r="I1642" s="11"/>
      <c r="J1642" s="10">
        <f>IF($D1642="","",IF(AND($H1642&lt;&gt;"",$I1642&lt;&gt;""),"débit ET crédit",IF(AND($H1642="",$I1642=""),"montant manquant",IF(ISNA(MATCH($D1642,'Plan comptable'!$H:$H,0)),"compte hors plan",IF(AND($A1642&lt;&gt;"",YEAR($A1642)&lt;&gt;Exercice),"hors exercice","")))))</f>
      </c>
    </row>
    <row r="1643">
      <c r="A1643" s="13"/>
      <c r="B1643" s="10"/>
      <c r="C1643" s="9"/>
      <c r="D1643" s="20"/>
      <c r="E1643" s="9">
        <f>IF($D1643="","",IFERROR(VLOOKUP($D1643,'Plan comptable'!$H:$I,2,FALSE),"compte hors plan"))</f>
      </c>
      <c r="F1643" s="9"/>
      <c r="G1643" s="10"/>
      <c r="H1643" s="11"/>
      <c r="I1643" s="11"/>
      <c r="J1643" s="10">
        <f>IF($D1643="","",IF(AND($H1643&lt;&gt;"",$I1643&lt;&gt;""),"débit ET crédit",IF(AND($H1643="",$I1643=""),"montant manquant",IF(ISNA(MATCH($D1643,'Plan comptable'!$H:$H,0)),"compte hors plan",IF(AND($A1643&lt;&gt;"",YEAR($A1643)&lt;&gt;Exercice),"hors exercice","")))))</f>
      </c>
    </row>
    <row r="1644">
      <c r="A1644" s="13"/>
      <c r="B1644" s="10"/>
      <c r="C1644" s="9"/>
      <c r="D1644" s="20"/>
      <c r="E1644" s="9">
        <f>IF($D1644="","",IFERROR(VLOOKUP($D1644,'Plan comptable'!$H:$I,2,FALSE),"compte hors plan"))</f>
      </c>
      <c r="F1644" s="9"/>
      <c r="G1644" s="10"/>
      <c r="H1644" s="11"/>
      <c r="I1644" s="11"/>
      <c r="J1644" s="10">
        <f>IF($D1644="","",IF(AND($H1644&lt;&gt;"",$I1644&lt;&gt;""),"débit ET crédit",IF(AND($H1644="",$I1644=""),"montant manquant",IF(ISNA(MATCH($D1644,'Plan comptable'!$H:$H,0)),"compte hors plan",IF(AND($A1644&lt;&gt;"",YEAR($A1644)&lt;&gt;Exercice),"hors exercice","")))))</f>
      </c>
    </row>
    <row r="1645">
      <c r="A1645" s="13"/>
      <c r="B1645" s="10"/>
      <c r="C1645" s="9"/>
      <c r="D1645" s="20"/>
      <c r="E1645" s="9">
        <f>IF($D1645="","",IFERROR(VLOOKUP($D1645,'Plan comptable'!$H:$I,2,FALSE),"compte hors plan"))</f>
      </c>
      <c r="F1645" s="9"/>
      <c r="G1645" s="10"/>
      <c r="H1645" s="11"/>
      <c r="I1645" s="11"/>
      <c r="J1645" s="10">
        <f>IF($D1645="","",IF(AND($H1645&lt;&gt;"",$I1645&lt;&gt;""),"débit ET crédit",IF(AND($H1645="",$I1645=""),"montant manquant",IF(ISNA(MATCH($D1645,'Plan comptable'!$H:$H,0)),"compte hors plan",IF(AND($A1645&lt;&gt;"",YEAR($A1645)&lt;&gt;Exercice),"hors exercice","")))))</f>
      </c>
    </row>
    <row r="1646">
      <c r="A1646" s="13"/>
      <c r="B1646" s="10"/>
      <c r="C1646" s="9"/>
      <c r="D1646" s="20"/>
      <c r="E1646" s="9">
        <f>IF($D1646="","",IFERROR(VLOOKUP($D1646,'Plan comptable'!$H:$I,2,FALSE),"compte hors plan"))</f>
      </c>
      <c r="F1646" s="9"/>
      <c r="G1646" s="10"/>
      <c r="H1646" s="11"/>
      <c r="I1646" s="11"/>
      <c r="J1646" s="10">
        <f>IF($D1646="","",IF(AND($H1646&lt;&gt;"",$I1646&lt;&gt;""),"débit ET crédit",IF(AND($H1646="",$I1646=""),"montant manquant",IF(ISNA(MATCH($D1646,'Plan comptable'!$H:$H,0)),"compte hors plan",IF(AND($A1646&lt;&gt;"",YEAR($A1646)&lt;&gt;Exercice),"hors exercice","")))))</f>
      </c>
    </row>
    <row r="1647">
      <c r="A1647" s="13"/>
      <c r="B1647" s="10"/>
      <c r="C1647" s="9"/>
      <c r="D1647" s="20"/>
      <c r="E1647" s="9">
        <f>IF($D1647="","",IFERROR(VLOOKUP($D1647,'Plan comptable'!$H:$I,2,FALSE),"compte hors plan"))</f>
      </c>
      <c r="F1647" s="9"/>
      <c r="G1647" s="10"/>
      <c r="H1647" s="11"/>
      <c r="I1647" s="11"/>
      <c r="J1647" s="10">
        <f>IF($D1647="","",IF(AND($H1647&lt;&gt;"",$I1647&lt;&gt;""),"débit ET crédit",IF(AND($H1647="",$I1647=""),"montant manquant",IF(ISNA(MATCH($D1647,'Plan comptable'!$H:$H,0)),"compte hors plan",IF(AND($A1647&lt;&gt;"",YEAR($A1647)&lt;&gt;Exercice),"hors exercice","")))))</f>
      </c>
    </row>
    <row r="1648">
      <c r="A1648" s="13"/>
      <c r="B1648" s="10"/>
      <c r="C1648" s="9"/>
      <c r="D1648" s="20"/>
      <c r="E1648" s="9">
        <f>IF($D1648="","",IFERROR(VLOOKUP($D1648,'Plan comptable'!$H:$I,2,FALSE),"compte hors plan"))</f>
      </c>
      <c r="F1648" s="9"/>
      <c r="G1648" s="10"/>
      <c r="H1648" s="11"/>
      <c r="I1648" s="11"/>
      <c r="J1648" s="10">
        <f>IF($D1648="","",IF(AND($H1648&lt;&gt;"",$I1648&lt;&gt;""),"débit ET crédit",IF(AND($H1648="",$I1648=""),"montant manquant",IF(ISNA(MATCH($D1648,'Plan comptable'!$H:$H,0)),"compte hors plan",IF(AND($A1648&lt;&gt;"",YEAR($A1648)&lt;&gt;Exercice),"hors exercice","")))))</f>
      </c>
    </row>
    <row r="1649">
      <c r="A1649" s="13"/>
      <c r="B1649" s="10"/>
      <c r="C1649" s="9"/>
      <c r="D1649" s="20"/>
      <c r="E1649" s="9">
        <f>IF($D1649="","",IFERROR(VLOOKUP($D1649,'Plan comptable'!$H:$I,2,FALSE),"compte hors plan"))</f>
      </c>
      <c r="F1649" s="9"/>
      <c r="G1649" s="10"/>
      <c r="H1649" s="11"/>
      <c r="I1649" s="11"/>
      <c r="J1649" s="10">
        <f>IF($D1649="","",IF(AND($H1649&lt;&gt;"",$I1649&lt;&gt;""),"débit ET crédit",IF(AND($H1649="",$I1649=""),"montant manquant",IF(ISNA(MATCH($D1649,'Plan comptable'!$H:$H,0)),"compte hors plan",IF(AND($A1649&lt;&gt;"",YEAR($A1649)&lt;&gt;Exercice),"hors exercice","")))))</f>
      </c>
    </row>
    <row r="1650">
      <c r="A1650" s="13"/>
      <c r="B1650" s="10"/>
      <c r="C1650" s="9"/>
      <c r="D1650" s="20"/>
      <c r="E1650" s="9">
        <f>IF($D1650="","",IFERROR(VLOOKUP($D1650,'Plan comptable'!$H:$I,2,FALSE),"compte hors plan"))</f>
      </c>
      <c r="F1650" s="9"/>
      <c r="G1650" s="10"/>
      <c r="H1650" s="11"/>
      <c r="I1650" s="11"/>
      <c r="J1650" s="10">
        <f>IF($D1650="","",IF(AND($H1650&lt;&gt;"",$I1650&lt;&gt;""),"débit ET crédit",IF(AND($H1650="",$I1650=""),"montant manquant",IF(ISNA(MATCH($D1650,'Plan comptable'!$H:$H,0)),"compte hors plan",IF(AND($A1650&lt;&gt;"",YEAR($A1650)&lt;&gt;Exercice),"hors exercice","")))))</f>
      </c>
    </row>
    <row r="1651">
      <c r="A1651" s="13"/>
      <c r="B1651" s="10"/>
      <c r="C1651" s="9"/>
      <c r="D1651" s="20"/>
      <c r="E1651" s="9">
        <f>IF($D1651="","",IFERROR(VLOOKUP($D1651,'Plan comptable'!$H:$I,2,FALSE),"compte hors plan"))</f>
      </c>
      <c r="F1651" s="9"/>
      <c r="G1651" s="10"/>
      <c r="H1651" s="11"/>
      <c r="I1651" s="11"/>
      <c r="J1651" s="10">
        <f>IF($D1651="","",IF(AND($H1651&lt;&gt;"",$I1651&lt;&gt;""),"débit ET crédit",IF(AND($H1651="",$I1651=""),"montant manquant",IF(ISNA(MATCH($D1651,'Plan comptable'!$H:$H,0)),"compte hors plan",IF(AND($A1651&lt;&gt;"",YEAR($A1651)&lt;&gt;Exercice),"hors exercice","")))))</f>
      </c>
    </row>
    <row r="1652">
      <c r="A1652" s="13"/>
      <c r="B1652" s="10"/>
      <c r="C1652" s="9"/>
      <c r="D1652" s="20"/>
      <c r="E1652" s="9">
        <f>IF($D1652="","",IFERROR(VLOOKUP($D1652,'Plan comptable'!$H:$I,2,FALSE),"compte hors plan"))</f>
      </c>
      <c r="F1652" s="9"/>
      <c r="G1652" s="10"/>
      <c r="H1652" s="11"/>
      <c r="I1652" s="11"/>
      <c r="J1652" s="10">
        <f>IF($D1652="","",IF(AND($H1652&lt;&gt;"",$I1652&lt;&gt;""),"débit ET crédit",IF(AND($H1652="",$I1652=""),"montant manquant",IF(ISNA(MATCH($D1652,'Plan comptable'!$H:$H,0)),"compte hors plan",IF(AND($A1652&lt;&gt;"",YEAR($A1652)&lt;&gt;Exercice),"hors exercice","")))))</f>
      </c>
    </row>
    <row r="1653">
      <c r="A1653" s="13"/>
      <c r="B1653" s="10"/>
      <c r="C1653" s="9"/>
      <c r="D1653" s="20"/>
      <c r="E1653" s="9">
        <f>IF($D1653="","",IFERROR(VLOOKUP($D1653,'Plan comptable'!$H:$I,2,FALSE),"compte hors plan"))</f>
      </c>
      <c r="F1653" s="9"/>
      <c r="G1653" s="10"/>
      <c r="H1653" s="11"/>
      <c r="I1653" s="11"/>
      <c r="J1653" s="10">
        <f>IF($D1653="","",IF(AND($H1653&lt;&gt;"",$I1653&lt;&gt;""),"débit ET crédit",IF(AND($H1653="",$I1653=""),"montant manquant",IF(ISNA(MATCH($D1653,'Plan comptable'!$H:$H,0)),"compte hors plan",IF(AND($A1653&lt;&gt;"",YEAR($A1653)&lt;&gt;Exercice),"hors exercice","")))))</f>
      </c>
    </row>
    <row r="1654">
      <c r="A1654" s="13"/>
      <c r="B1654" s="10"/>
      <c r="C1654" s="9"/>
      <c r="D1654" s="20"/>
      <c r="E1654" s="9">
        <f>IF($D1654="","",IFERROR(VLOOKUP($D1654,'Plan comptable'!$H:$I,2,FALSE),"compte hors plan"))</f>
      </c>
      <c r="F1654" s="9"/>
      <c r="G1654" s="10"/>
      <c r="H1654" s="11"/>
      <c r="I1654" s="11"/>
      <c r="J1654" s="10">
        <f>IF($D1654="","",IF(AND($H1654&lt;&gt;"",$I1654&lt;&gt;""),"débit ET crédit",IF(AND($H1654="",$I1654=""),"montant manquant",IF(ISNA(MATCH($D1654,'Plan comptable'!$H:$H,0)),"compte hors plan",IF(AND($A1654&lt;&gt;"",YEAR($A1654)&lt;&gt;Exercice),"hors exercice","")))))</f>
      </c>
    </row>
    <row r="1655">
      <c r="A1655" s="13"/>
      <c r="B1655" s="10"/>
      <c r="C1655" s="9"/>
      <c r="D1655" s="20"/>
      <c r="E1655" s="9">
        <f>IF($D1655="","",IFERROR(VLOOKUP($D1655,'Plan comptable'!$H:$I,2,FALSE),"compte hors plan"))</f>
      </c>
      <c r="F1655" s="9"/>
      <c r="G1655" s="10"/>
      <c r="H1655" s="11"/>
      <c r="I1655" s="11"/>
      <c r="J1655" s="10">
        <f>IF($D1655="","",IF(AND($H1655&lt;&gt;"",$I1655&lt;&gt;""),"débit ET crédit",IF(AND($H1655="",$I1655=""),"montant manquant",IF(ISNA(MATCH($D1655,'Plan comptable'!$H:$H,0)),"compte hors plan",IF(AND($A1655&lt;&gt;"",YEAR($A1655)&lt;&gt;Exercice),"hors exercice","")))))</f>
      </c>
    </row>
    <row r="1656">
      <c r="A1656" s="13"/>
      <c r="B1656" s="10"/>
      <c r="C1656" s="9"/>
      <c r="D1656" s="20"/>
      <c r="E1656" s="9">
        <f>IF($D1656="","",IFERROR(VLOOKUP($D1656,'Plan comptable'!$H:$I,2,FALSE),"compte hors plan"))</f>
      </c>
      <c r="F1656" s="9"/>
      <c r="G1656" s="10"/>
      <c r="H1656" s="11"/>
      <c r="I1656" s="11"/>
      <c r="J1656" s="10">
        <f>IF($D1656="","",IF(AND($H1656&lt;&gt;"",$I1656&lt;&gt;""),"débit ET crédit",IF(AND($H1656="",$I1656=""),"montant manquant",IF(ISNA(MATCH($D1656,'Plan comptable'!$H:$H,0)),"compte hors plan",IF(AND($A1656&lt;&gt;"",YEAR($A1656)&lt;&gt;Exercice),"hors exercice","")))))</f>
      </c>
    </row>
    <row r="1657">
      <c r="A1657" s="13"/>
      <c r="B1657" s="10"/>
      <c r="C1657" s="9"/>
      <c r="D1657" s="20"/>
      <c r="E1657" s="9">
        <f>IF($D1657="","",IFERROR(VLOOKUP($D1657,'Plan comptable'!$H:$I,2,FALSE),"compte hors plan"))</f>
      </c>
      <c r="F1657" s="9"/>
      <c r="G1657" s="10"/>
      <c r="H1657" s="11"/>
      <c r="I1657" s="11"/>
      <c r="J1657" s="10">
        <f>IF($D1657="","",IF(AND($H1657&lt;&gt;"",$I1657&lt;&gt;""),"débit ET crédit",IF(AND($H1657="",$I1657=""),"montant manquant",IF(ISNA(MATCH($D1657,'Plan comptable'!$H:$H,0)),"compte hors plan",IF(AND($A1657&lt;&gt;"",YEAR($A1657)&lt;&gt;Exercice),"hors exercice","")))))</f>
      </c>
    </row>
    <row r="1658">
      <c r="A1658" s="13"/>
      <c r="B1658" s="10"/>
      <c r="C1658" s="9"/>
      <c r="D1658" s="20"/>
      <c r="E1658" s="9">
        <f>IF($D1658="","",IFERROR(VLOOKUP($D1658,'Plan comptable'!$H:$I,2,FALSE),"compte hors plan"))</f>
      </c>
      <c r="F1658" s="9"/>
      <c r="G1658" s="10"/>
      <c r="H1658" s="11"/>
      <c r="I1658" s="11"/>
      <c r="J1658" s="10">
        <f>IF($D1658="","",IF(AND($H1658&lt;&gt;"",$I1658&lt;&gt;""),"débit ET crédit",IF(AND($H1658="",$I1658=""),"montant manquant",IF(ISNA(MATCH($D1658,'Plan comptable'!$H:$H,0)),"compte hors plan",IF(AND($A1658&lt;&gt;"",YEAR($A1658)&lt;&gt;Exercice),"hors exercice","")))))</f>
      </c>
    </row>
    <row r="1659">
      <c r="A1659" s="13"/>
      <c r="B1659" s="10"/>
      <c r="C1659" s="9"/>
      <c r="D1659" s="20"/>
      <c r="E1659" s="9">
        <f>IF($D1659="","",IFERROR(VLOOKUP($D1659,'Plan comptable'!$H:$I,2,FALSE),"compte hors plan"))</f>
      </c>
      <c r="F1659" s="9"/>
      <c r="G1659" s="10"/>
      <c r="H1659" s="11"/>
      <c r="I1659" s="11"/>
      <c r="J1659" s="10">
        <f>IF($D1659="","",IF(AND($H1659&lt;&gt;"",$I1659&lt;&gt;""),"débit ET crédit",IF(AND($H1659="",$I1659=""),"montant manquant",IF(ISNA(MATCH($D1659,'Plan comptable'!$H:$H,0)),"compte hors plan",IF(AND($A1659&lt;&gt;"",YEAR($A1659)&lt;&gt;Exercice),"hors exercice","")))))</f>
      </c>
    </row>
    <row r="1660">
      <c r="A1660" s="13"/>
      <c r="B1660" s="10"/>
      <c r="C1660" s="9"/>
      <c r="D1660" s="20"/>
      <c r="E1660" s="9">
        <f>IF($D1660="","",IFERROR(VLOOKUP($D1660,'Plan comptable'!$H:$I,2,FALSE),"compte hors plan"))</f>
      </c>
      <c r="F1660" s="9"/>
      <c r="G1660" s="10"/>
      <c r="H1660" s="11"/>
      <c r="I1660" s="11"/>
      <c r="J1660" s="10">
        <f>IF($D1660="","",IF(AND($H1660&lt;&gt;"",$I1660&lt;&gt;""),"débit ET crédit",IF(AND($H1660="",$I1660=""),"montant manquant",IF(ISNA(MATCH($D1660,'Plan comptable'!$H:$H,0)),"compte hors plan",IF(AND($A1660&lt;&gt;"",YEAR($A1660)&lt;&gt;Exercice),"hors exercice","")))))</f>
      </c>
    </row>
    <row r="1661">
      <c r="A1661" s="13"/>
      <c r="B1661" s="10"/>
      <c r="C1661" s="9"/>
      <c r="D1661" s="20"/>
      <c r="E1661" s="9">
        <f>IF($D1661="","",IFERROR(VLOOKUP($D1661,'Plan comptable'!$H:$I,2,FALSE),"compte hors plan"))</f>
      </c>
      <c r="F1661" s="9"/>
      <c r="G1661" s="10"/>
      <c r="H1661" s="11"/>
      <c r="I1661" s="11"/>
      <c r="J1661" s="10">
        <f>IF($D1661="","",IF(AND($H1661&lt;&gt;"",$I1661&lt;&gt;""),"débit ET crédit",IF(AND($H1661="",$I1661=""),"montant manquant",IF(ISNA(MATCH($D1661,'Plan comptable'!$H:$H,0)),"compte hors plan",IF(AND($A1661&lt;&gt;"",YEAR($A1661)&lt;&gt;Exercice),"hors exercice","")))))</f>
      </c>
    </row>
    <row r="1662">
      <c r="A1662" s="13"/>
      <c r="B1662" s="10"/>
      <c r="C1662" s="9"/>
      <c r="D1662" s="20"/>
      <c r="E1662" s="9">
        <f>IF($D1662="","",IFERROR(VLOOKUP($D1662,'Plan comptable'!$H:$I,2,FALSE),"compte hors plan"))</f>
      </c>
      <c r="F1662" s="9"/>
      <c r="G1662" s="10"/>
      <c r="H1662" s="11"/>
      <c r="I1662" s="11"/>
      <c r="J1662" s="10">
        <f>IF($D1662="","",IF(AND($H1662&lt;&gt;"",$I1662&lt;&gt;""),"débit ET crédit",IF(AND($H1662="",$I1662=""),"montant manquant",IF(ISNA(MATCH($D1662,'Plan comptable'!$H:$H,0)),"compte hors plan",IF(AND($A1662&lt;&gt;"",YEAR($A1662)&lt;&gt;Exercice),"hors exercice","")))))</f>
      </c>
    </row>
    <row r="1663">
      <c r="A1663" s="13"/>
      <c r="B1663" s="10"/>
      <c r="C1663" s="9"/>
      <c r="D1663" s="20"/>
      <c r="E1663" s="9">
        <f>IF($D1663="","",IFERROR(VLOOKUP($D1663,'Plan comptable'!$H:$I,2,FALSE),"compte hors plan"))</f>
      </c>
      <c r="F1663" s="9"/>
      <c r="G1663" s="10"/>
      <c r="H1663" s="11"/>
      <c r="I1663" s="11"/>
      <c r="J1663" s="10">
        <f>IF($D1663="","",IF(AND($H1663&lt;&gt;"",$I1663&lt;&gt;""),"débit ET crédit",IF(AND($H1663="",$I1663=""),"montant manquant",IF(ISNA(MATCH($D1663,'Plan comptable'!$H:$H,0)),"compte hors plan",IF(AND($A1663&lt;&gt;"",YEAR($A1663)&lt;&gt;Exercice),"hors exercice","")))))</f>
      </c>
    </row>
    <row r="1664">
      <c r="A1664" s="13"/>
      <c r="B1664" s="10"/>
      <c r="C1664" s="9"/>
      <c r="D1664" s="20"/>
      <c r="E1664" s="9">
        <f>IF($D1664="","",IFERROR(VLOOKUP($D1664,'Plan comptable'!$H:$I,2,FALSE),"compte hors plan"))</f>
      </c>
      <c r="F1664" s="9"/>
      <c r="G1664" s="10"/>
      <c r="H1664" s="11"/>
      <c r="I1664" s="11"/>
      <c r="J1664" s="10">
        <f>IF($D1664="","",IF(AND($H1664&lt;&gt;"",$I1664&lt;&gt;""),"débit ET crédit",IF(AND($H1664="",$I1664=""),"montant manquant",IF(ISNA(MATCH($D1664,'Plan comptable'!$H:$H,0)),"compte hors plan",IF(AND($A1664&lt;&gt;"",YEAR($A1664)&lt;&gt;Exercice),"hors exercice","")))))</f>
      </c>
    </row>
    <row r="1665">
      <c r="A1665" s="13"/>
      <c r="B1665" s="10"/>
      <c r="C1665" s="9"/>
      <c r="D1665" s="20"/>
      <c r="E1665" s="9">
        <f>IF($D1665="","",IFERROR(VLOOKUP($D1665,'Plan comptable'!$H:$I,2,FALSE),"compte hors plan"))</f>
      </c>
      <c r="F1665" s="9"/>
      <c r="G1665" s="10"/>
      <c r="H1665" s="11"/>
      <c r="I1665" s="11"/>
      <c r="J1665" s="10">
        <f>IF($D1665="","",IF(AND($H1665&lt;&gt;"",$I1665&lt;&gt;""),"débit ET crédit",IF(AND($H1665="",$I1665=""),"montant manquant",IF(ISNA(MATCH($D1665,'Plan comptable'!$H:$H,0)),"compte hors plan",IF(AND($A1665&lt;&gt;"",YEAR($A1665)&lt;&gt;Exercice),"hors exercice","")))))</f>
      </c>
    </row>
    <row r="1666">
      <c r="A1666" s="13"/>
      <c r="B1666" s="10"/>
      <c r="C1666" s="9"/>
      <c r="D1666" s="20"/>
      <c r="E1666" s="9">
        <f>IF($D1666="","",IFERROR(VLOOKUP($D1666,'Plan comptable'!$H:$I,2,FALSE),"compte hors plan"))</f>
      </c>
      <c r="F1666" s="9"/>
      <c r="G1666" s="10"/>
      <c r="H1666" s="11"/>
      <c r="I1666" s="11"/>
      <c r="J1666" s="10">
        <f>IF($D1666="","",IF(AND($H1666&lt;&gt;"",$I1666&lt;&gt;""),"débit ET crédit",IF(AND($H1666="",$I1666=""),"montant manquant",IF(ISNA(MATCH($D1666,'Plan comptable'!$H:$H,0)),"compte hors plan",IF(AND($A1666&lt;&gt;"",YEAR($A1666)&lt;&gt;Exercice),"hors exercice","")))))</f>
      </c>
    </row>
    <row r="1667">
      <c r="A1667" s="13"/>
      <c r="B1667" s="10"/>
      <c r="C1667" s="9"/>
      <c r="D1667" s="20"/>
      <c r="E1667" s="9">
        <f>IF($D1667="","",IFERROR(VLOOKUP($D1667,'Plan comptable'!$H:$I,2,FALSE),"compte hors plan"))</f>
      </c>
      <c r="F1667" s="9"/>
      <c r="G1667" s="10"/>
      <c r="H1667" s="11"/>
      <c r="I1667" s="11"/>
      <c r="J1667" s="10">
        <f>IF($D1667="","",IF(AND($H1667&lt;&gt;"",$I1667&lt;&gt;""),"débit ET crédit",IF(AND($H1667="",$I1667=""),"montant manquant",IF(ISNA(MATCH($D1667,'Plan comptable'!$H:$H,0)),"compte hors plan",IF(AND($A1667&lt;&gt;"",YEAR($A1667)&lt;&gt;Exercice),"hors exercice","")))))</f>
      </c>
    </row>
    <row r="1668">
      <c r="A1668" s="13"/>
      <c r="B1668" s="10"/>
      <c r="C1668" s="9"/>
      <c r="D1668" s="20"/>
      <c r="E1668" s="9">
        <f>IF($D1668="","",IFERROR(VLOOKUP($D1668,'Plan comptable'!$H:$I,2,FALSE),"compte hors plan"))</f>
      </c>
      <c r="F1668" s="9"/>
      <c r="G1668" s="10"/>
      <c r="H1668" s="11"/>
      <c r="I1668" s="11"/>
      <c r="J1668" s="10">
        <f>IF($D1668="","",IF(AND($H1668&lt;&gt;"",$I1668&lt;&gt;""),"débit ET crédit",IF(AND($H1668="",$I1668=""),"montant manquant",IF(ISNA(MATCH($D1668,'Plan comptable'!$H:$H,0)),"compte hors plan",IF(AND($A1668&lt;&gt;"",YEAR($A1668)&lt;&gt;Exercice),"hors exercice","")))))</f>
      </c>
    </row>
    <row r="1669">
      <c r="A1669" s="13"/>
      <c r="B1669" s="10"/>
      <c r="C1669" s="9"/>
      <c r="D1669" s="20"/>
      <c r="E1669" s="9">
        <f>IF($D1669="","",IFERROR(VLOOKUP($D1669,'Plan comptable'!$H:$I,2,FALSE),"compte hors plan"))</f>
      </c>
      <c r="F1669" s="9"/>
      <c r="G1669" s="10"/>
      <c r="H1669" s="11"/>
      <c r="I1669" s="11"/>
      <c r="J1669" s="10">
        <f>IF($D1669="","",IF(AND($H1669&lt;&gt;"",$I1669&lt;&gt;""),"débit ET crédit",IF(AND($H1669="",$I1669=""),"montant manquant",IF(ISNA(MATCH($D1669,'Plan comptable'!$H:$H,0)),"compte hors plan",IF(AND($A1669&lt;&gt;"",YEAR($A1669)&lt;&gt;Exercice),"hors exercice","")))))</f>
      </c>
    </row>
    <row r="1670">
      <c r="A1670" s="13"/>
      <c r="B1670" s="10"/>
      <c r="C1670" s="9"/>
      <c r="D1670" s="20"/>
      <c r="E1670" s="9">
        <f>IF($D1670="","",IFERROR(VLOOKUP($D1670,'Plan comptable'!$H:$I,2,FALSE),"compte hors plan"))</f>
      </c>
      <c r="F1670" s="9"/>
      <c r="G1670" s="10"/>
      <c r="H1670" s="11"/>
      <c r="I1670" s="11"/>
      <c r="J1670" s="10">
        <f>IF($D1670="","",IF(AND($H1670&lt;&gt;"",$I1670&lt;&gt;""),"débit ET crédit",IF(AND($H1670="",$I1670=""),"montant manquant",IF(ISNA(MATCH($D1670,'Plan comptable'!$H:$H,0)),"compte hors plan",IF(AND($A1670&lt;&gt;"",YEAR($A1670)&lt;&gt;Exercice),"hors exercice","")))))</f>
      </c>
    </row>
    <row r="1671">
      <c r="A1671" s="13"/>
      <c r="B1671" s="10"/>
      <c r="C1671" s="9"/>
      <c r="D1671" s="20"/>
      <c r="E1671" s="9">
        <f>IF($D1671="","",IFERROR(VLOOKUP($D1671,'Plan comptable'!$H:$I,2,FALSE),"compte hors plan"))</f>
      </c>
      <c r="F1671" s="9"/>
      <c r="G1671" s="10"/>
      <c r="H1671" s="11"/>
      <c r="I1671" s="11"/>
      <c r="J1671" s="10">
        <f>IF($D1671="","",IF(AND($H1671&lt;&gt;"",$I1671&lt;&gt;""),"débit ET crédit",IF(AND($H1671="",$I1671=""),"montant manquant",IF(ISNA(MATCH($D1671,'Plan comptable'!$H:$H,0)),"compte hors plan",IF(AND($A1671&lt;&gt;"",YEAR($A1671)&lt;&gt;Exercice),"hors exercice","")))))</f>
      </c>
    </row>
    <row r="1672">
      <c r="A1672" s="13"/>
      <c r="B1672" s="10"/>
      <c r="C1672" s="9"/>
      <c r="D1672" s="20"/>
      <c r="E1672" s="9">
        <f>IF($D1672="","",IFERROR(VLOOKUP($D1672,'Plan comptable'!$H:$I,2,FALSE),"compte hors plan"))</f>
      </c>
      <c r="F1672" s="9"/>
      <c r="G1672" s="10"/>
      <c r="H1672" s="11"/>
      <c r="I1672" s="11"/>
      <c r="J1672" s="10">
        <f>IF($D1672="","",IF(AND($H1672&lt;&gt;"",$I1672&lt;&gt;""),"débit ET crédit",IF(AND($H1672="",$I1672=""),"montant manquant",IF(ISNA(MATCH($D1672,'Plan comptable'!$H:$H,0)),"compte hors plan",IF(AND($A1672&lt;&gt;"",YEAR($A1672)&lt;&gt;Exercice),"hors exercice","")))))</f>
      </c>
    </row>
    <row r="1673">
      <c r="A1673" s="13"/>
      <c r="B1673" s="10"/>
      <c r="C1673" s="9"/>
      <c r="D1673" s="20"/>
      <c r="E1673" s="9">
        <f>IF($D1673="","",IFERROR(VLOOKUP($D1673,'Plan comptable'!$H:$I,2,FALSE),"compte hors plan"))</f>
      </c>
      <c r="F1673" s="9"/>
      <c r="G1673" s="10"/>
      <c r="H1673" s="11"/>
      <c r="I1673" s="11"/>
      <c r="J1673" s="10">
        <f>IF($D1673="","",IF(AND($H1673&lt;&gt;"",$I1673&lt;&gt;""),"débit ET crédit",IF(AND($H1673="",$I1673=""),"montant manquant",IF(ISNA(MATCH($D1673,'Plan comptable'!$H:$H,0)),"compte hors plan",IF(AND($A1673&lt;&gt;"",YEAR($A1673)&lt;&gt;Exercice),"hors exercice","")))))</f>
      </c>
    </row>
    <row r="1674">
      <c r="A1674" s="13"/>
      <c r="B1674" s="10"/>
      <c r="C1674" s="9"/>
      <c r="D1674" s="20"/>
      <c r="E1674" s="9">
        <f>IF($D1674="","",IFERROR(VLOOKUP($D1674,'Plan comptable'!$H:$I,2,FALSE),"compte hors plan"))</f>
      </c>
      <c r="F1674" s="9"/>
      <c r="G1674" s="10"/>
      <c r="H1674" s="11"/>
      <c r="I1674" s="11"/>
      <c r="J1674" s="10">
        <f>IF($D1674="","",IF(AND($H1674&lt;&gt;"",$I1674&lt;&gt;""),"débit ET crédit",IF(AND($H1674="",$I1674=""),"montant manquant",IF(ISNA(MATCH($D1674,'Plan comptable'!$H:$H,0)),"compte hors plan",IF(AND($A1674&lt;&gt;"",YEAR($A1674)&lt;&gt;Exercice),"hors exercice","")))))</f>
      </c>
    </row>
    <row r="1675">
      <c r="A1675" s="13"/>
      <c r="B1675" s="10"/>
      <c r="C1675" s="9"/>
      <c r="D1675" s="20"/>
      <c r="E1675" s="9">
        <f>IF($D1675="","",IFERROR(VLOOKUP($D1675,'Plan comptable'!$H:$I,2,FALSE),"compte hors plan"))</f>
      </c>
      <c r="F1675" s="9"/>
      <c r="G1675" s="10"/>
      <c r="H1675" s="11"/>
      <c r="I1675" s="11"/>
      <c r="J1675" s="10">
        <f>IF($D1675="","",IF(AND($H1675&lt;&gt;"",$I1675&lt;&gt;""),"débit ET crédit",IF(AND($H1675="",$I1675=""),"montant manquant",IF(ISNA(MATCH($D1675,'Plan comptable'!$H:$H,0)),"compte hors plan",IF(AND($A1675&lt;&gt;"",YEAR($A1675)&lt;&gt;Exercice),"hors exercice","")))))</f>
      </c>
    </row>
    <row r="1676">
      <c r="A1676" s="13"/>
      <c r="B1676" s="10"/>
      <c r="C1676" s="9"/>
      <c r="D1676" s="20"/>
      <c r="E1676" s="9">
        <f>IF($D1676="","",IFERROR(VLOOKUP($D1676,'Plan comptable'!$H:$I,2,FALSE),"compte hors plan"))</f>
      </c>
      <c r="F1676" s="9"/>
      <c r="G1676" s="10"/>
      <c r="H1676" s="11"/>
      <c r="I1676" s="11"/>
      <c r="J1676" s="10">
        <f>IF($D1676="","",IF(AND($H1676&lt;&gt;"",$I1676&lt;&gt;""),"débit ET crédit",IF(AND($H1676="",$I1676=""),"montant manquant",IF(ISNA(MATCH($D1676,'Plan comptable'!$H:$H,0)),"compte hors plan",IF(AND($A1676&lt;&gt;"",YEAR($A1676)&lt;&gt;Exercice),"hors exercice","")))))</f>
      </c>
    </row>
    <row r="1677">
      <c r="A1677" s="13"/>
      <c r="B1677" s="10"/>
      <c r="C1677" s="9"/>
      <c r="D1677" s="20"/>
      <c r="E1677" s="9">
        <f>IF($D1677="","",IFERROR(VLOOKUP($D1677,'Plan comptable'!$H:$I,2,FALSE),"compte hors plan"))</f>
      </c>
      <c r="F1677" s="9"/>
      <c r="G1677" s="10"/>
      <c r="H1677" s="11"/>
      <c r="I1677" s="11"/>
      <c r="J1677" s="10">
        <f>IF($D1677="","",IF(AND($H1677&lt;&gt;"",$I1677&lt;&gt;""),"débit ET crédit",IF(AND($H1677="",$I1677=""),"montant manquant",IF(ISNA(MATCH($D1677,'Plan comptable'!$H:$H,0)),"compte hors plan",IF(AND($A1677&lt;&gt;"",YEAR($A1677)&lt;&gt;Exercice),"hors exercice","")))))</f>
      </c>
    </row>
    <row r="1678">
      <c r="A1678" s="13"/>
      <c r="B1678" s="10"/>
      <c r="C1678" s="9"/>
      <c r="D1678" s="20"/>
      <c r="E1678" s="9">
        <f>IF($D1678="","",IFERROR(VLOOKUP($D1678,'Plan comptable'!$H:$I,2,FALSE),"compte hors plan"))</f>
      </c>
      <c r="F1678" s="9"/>
      <c r="G1678" s="10"/>
      <c r="H1678" s="11"/>
      <c r="I1678" s="11"/>
      <c r="J1678" s="10">
        <f>IF($D1678="","",IF(AND($H1678&lt;&gt;"",$I1678&lt;&gt;""),"débit ET crédit",IF(AND($H1678="",$I1678=""),"montant manquant",IF(ISNA(MATCH($D1678,'Plan comptable'!$H:$H,0)),"compte hors plan",IF(AND($A1678&lt;&gt;"",YEAR($A1678)&lt;&gt;Exercice),"hors exercice","")))))</f>
      </c>
    </row>
    <row r="1679">
      <c r="A1679" s="13"/>
      <c r="B1679" s="10"/>
      <c r="C1679" s="9"/>
      <c r="D1679" s="20"/>
      <c r="E1679" s="9">
        <f>IF($D1679="","",IFERROR(VLOOKUP($D1679,'Plan comptable'!$H:$I,2,FALSE),"compte hors plan"))</f>
      </c>
      <c r="F1679" s="9"/>
      <c r="G1679" s="10"/>
      <c r="H1679" s="11"/>
      <c r="I1679" s="11"/>
      <c r="J1679" s="10">
        <f>IF($D1679="","",IF(AND($H1679&lt;&gt;"",$I1679&lt;&gt;""),"débit ET crédit",IF(AND($H1679="",$I1679=""),"montant manquant",IF(ISNA(MATCH($D1679,'Plan comptable'!$H:$H,0)),"compte hors plan",IF(AND($A1679&lt;&gt;"",YEAR($A1679)&lt;&gt;Exercice),"hors exercice","")))))</f>
      </c>
    </row>
    <row r="1680">
      <c r="A1680" s="13"/>
      <c r="B1680" s="10"/>
      <c r="C1680" s="9"/>
      <c r="D1680" s="20"/>
      <c r="E1680" s="9">
        <f>IF($D1680="","",IFERROR(VLOOKUP($D1680,'Plan comptable'!$H:$I,2,FALSE),"compte hors plan"))</f>
      </c>
      <c r="F1680" s="9"/>
      <c r="G1680" s="10"/>
      <c r="H1680" s="11"/>
      <c r="I1680" s="11"/>
      <c r="J1680" s="10">
        <f>IF($D1680="","",IF(AND($H1680&lt;&gt;"",$I1680&lt;&gt;""),"débit ET crédit",IF(AND($H1680="",$I1680=""),"montant manquant",IF(ISNA(MATCH($D1680,'Plan comptable'!$H:$H,0)),"compte hors plan",IF(AND($A1680&lt;&gt;"",YEAR($A1680)&lt;&gt;Exercice),"hors exercice","")))))</f>
      </c>
    </row>
    <row r="1681">
      <c r="A1681" s="13"/>
      <c r="B1681" s="10"/>
      <c r="C1681" s="9"/>
      <c r="D1681" s="20"/>
      <c r="E1681" s="9">
        <f>IF($D1681="","",IFERROR(VLOOKUP($D1681,'Plan comptable'!$H:$I,2,FALSE),"compte hors plan"))</f>
      </c>
      <c r="F1681" s="9"/>
      <c r="G1681" s="10"/>
      <c r="H1681" s="11"/>
      <c r="I1681" s="11"/>
      <c r="J1681" s="10">
        <f>IF($D1681="","",IF(AND($H1681&lt;&gt;"",$I1681&lt;&gt;""),"débit ET crédit",IF(AND($H1681="",$I1681=""),"montant manquant",IF(ISNA(MATCH($D1681,'Plan comptable'!$H:$H,0)),"compte hors plan",IF(AND($A1681&lt;&gt;"",YEAR($A1681)&lt;&gt;Exercice),"hors exercice","")))))</f>
      </c>
    </row>
    <row r="1682">
      <c r="A1682" s="13"/>
      <c r="B1682" s="10"/>
      <c r="C1682" s="9"/>
      <c r="D1682" s="20"/>
      <c r="E1682" s="9">
        <f>IF($D1682="","",IFERROR(VLOOKUP($D1682,'Plan comptable'!$H:$I,2,FALSE),"compte hors plan"))</f>
      </c>
      <c r="F1682" s="9"/>
      <c r="G1682" s="10"/>
      <c r="H1682" s="11"/>
      <c r="I1682" s="11"/>
      <c r="J1682" s="10">
        <f>IF($D1682="","",IF(AND($H1682&lt;&gt;"",$I1682&lt;&gt;""),"débit ET crédit",IF(AND($H1682="",$I1682=""),"montant manquant",IF(ISNA(MATCH($D1682,'Plan comptable'!$H:$H,0)),"compte hors plan",IF(AND($A1682&lt;&gt;"",YEAR($A1682)&lt;&gt;Exercice),"hors exercice","")))))</f>
      </c>
    </row>
    <row r="1683">
      <c r="A1683" s="13"/>
      <c r="B1683" s="10"/>
      <c r="C1683" s="9"/>
      <c r="D1683" s="20"/>
      <c r="E1683" s="9">
        <f>IF($D1683="","",IFERROR(VLOOKUP($D1683,'Plan comptable'!$H:$I,2,FALSE),"compte hors plan"))</f>
      </c>
      <c r="F1683" s="9"/>
      <c r="G1683" s="10"/>
      <c r="H1683" s="11"/>
      <c r="I1683" s="11"/>
      <c r="J1683" s="10">
        <f>IF($D1683="","",IF(AND($H1683&lt;&gt;"",$I1683&lt;&gt;""),"débit ET crédit",IF(AND($H1683="",$I1683=""),"montant manquant",IF(ISNA(MATCH($D1683,'Plan comptable'!$H:$H,0)),"compte hors plan",IF(AND($A1683&lt;&gt;"",YEAR($A1683)&lt;&gt;Exercice),"hors exercice","")))))</f>
      </c>
    </row>
    <row r="1684">
      <c r="A1684" s="13"/>
      <c r="B1684" s="10"/>
      <c r="C1684" s="9"/>
      <c r="D1684" s="20"/>
      <c r="E1684" s="9">
        <f>IF($D1684="","",IFERROR(VLOOKUP($D1684,'Plan comptable'!$H:$I,2,FALSE),"compte hors plan"))</f>
      </c>
      <c r="F1684" s="9"/>
      <c r="G1684" s="10"/>
      <c r="H1684" s="11"/>
      <c r="I1684" s="11"/>
      <c r="J1684" s="10">
        <f>IF($D1684="","",IF(AND($H1684&lt;&gt;"",$I1684&lt;&gt;""),"débit ET crédit",IF(AND($H1684="",$I1684=""),"montant manquant",IF(ISNA(MATCH($D1684,'Plan comptable'!$H:$H,0)),"compte hors plan",IF(AND($A1684&lt;&gt;"",YEAR($A1684)&lt;&gt;Exercice),"hors exercice","")))))</f>
      </c>
    </row>
    <row r="1685">
      <c r="A1685" s="13"/>
      <c r="B1685" s="10"/>
      <c r="C1685" s="9"/>
      <c r="D1685" s="20"/>
      <c r="E1685" s="9">
        <f>IF($D1685="","",IFERROR(VLOOKUP($D1685,'Plan comptable'!$H:$I,2,FALSE),"compte hors plan"))</f>
      </c>
      <c r="F1685" s="9"/>
      <c r="G1685" s="10"/>
      <c r="H1685" s="11"/>
      <c r="I1685" s="11"/>
      <c r="J1685" s="10">
        <f>IF($D1685="","",IF(AND($H1685&lt;&gt;"",$I1685&lt;&gt;""),"débit ET crédit",IF(AND($H1685="",$I1685=""),"montant manquant",IF(ISNA(MATCH($D1685,'Plan comptable'!$H:$H,0)),"compte hors plan",IF(AND($A1685&lt;&gt;"",YEAR($A1685)&lt;&gt;Exercice),"hors exercice","")))))</f>
      </c>
    </row>
    <row r="1686">
      <c r="A1686" s="13"/>
      <c r="B1686" s="10"/>
      <c r="C1686" s="9"/>
      <c r="D1686" s="20"/>
      <c r="E1686" s="9">
        <f>IF($D1686="","",IFERROR(VLOOKUP($D1686,'Plan comptable'!$H:$I,2,FALSE),"compte hors plan"))</f>
      </c>
      <c r="F1686" s="9"/>
      <c r="G1686" s="10"/>
      <c r="H1686" s="11"/>
      <c r="I1686" s="11"/>
      <c r="J1686" s="10">
        <f>IF($D1686="","",IF(AND($H1686&lt;&gt;"",$I1686&lt;&gt;""),"débit ET crédit",IF(AND($H1686="",$I1686=""),"montant manquant",IF(ISNA(MATCH($D1686,'Plan comptable'!$H:$H,0)),"compte hors plan",IF(AND($A1686&lt;&gt;"",YEAR($A1686)&lt;&gt;Exercice),"hors exercice","")))))</f>
      </c>
    </row>
    <row r="1687">
      <c r="A1687" s="13"/>
      <c r="B1687" s="10"/>
      <c r="C1687" s="9"/>
      <c r="D1687" s="20"/>
      <c r="E1687" s="9">
        <f>IF($D1687="","",IFERROR(VLOOKUP($D1687,'Plan comptable'!$H:$I,2,FALSE),"compte hors plan"))</f>
      </c>
      <c r="F1687" s="9"/>
      <c r="G1687" s="10"/>
      <c r="H1687" s="11"/>
      <c r="I1687" s="11"/>
      <c r="J1687" s="10">
        <f>IF($D1687="","",IF(AND($H1687&lt;&gt;"",$I1687&lt;&gt;""),"débit ET crédit",IF(AND($H1687="",$I1687=""),"montant manquant",IF(ISNA(MATCH($D1687,'Plan comptable'!$H:$H,0)),"compte hors plan",IF(AND($A1687&lt;&gt;"",YEAR($A1687)&lt;&gt;Exercice),"hors exercice","")))))</f>
      </c>
    </row>
    <row r="1688">
      <c r="A1688" s="13"/>
      <c r="B1688" s="10"/>
      <c r="C1688" s="9"/>
      <c r="D1688" s="20"/>
      <c r="E1688" s="9">
        <f>IF($D1688="","",IFERROR(VLOOKUP($D1688,'Plan comptable'!$H:$I,2,FALSE),"compte hors plan"))</f>
      </c>
      <c r="F1688" s="9"/>
      <c r="G1688" s="10"/>
      <c r="H1688" s="11"/>
      <c r="I1688" s="11"/>
      <c r="J1688" s="10">
        <f>IF($D1688="","",IF(AND($H1688&lt;&gt;"",$I1688&lt;&gt;""),"débit ET crédit",IF(AND($H1688="",$I1688=""),"montant manquant",IF(ISNA(MATCH($D1688,'Plan comptable'!$H:$H,0)),"compte hors plan",IF(AND($A1688&lt;&gt;"",YEAR($A1688)&lt;&gt;Exercice),"hors exercice","")))))</f>
      </c>
    </row>
    <row r="1689">
      <c r="A1689" s="13"/>
      <c r="B1689" s="10"/>
      <c r="C1689" s="9"/>
      <c r="D1689" s="20"/>
      <c r="E1689" s="9">
        <f>IF($D1689="","",IFERROR(VLOOKUP($D1689,'Plan comptable'!$H:$I,2,FALSE),"compte hors plan"))</f>
      </c>
      <c r="F1689" s="9"/>
      <c r="G1689" s="10"/>
      <c r="H1689" s="11"/>
      <c r="I1689" s="11"/>
      <c r="J1689" s="10">
        <f>IF($D1689="","",IF(AND($H1689&lt;&gt;"",$I1689&lt;&gt;""),"débit ET crédit",IF(AND($H1689="",$I1689=""),"montant manquant",IF(ISNA(MATCH($D1689,'Plan comptable'!$H:$H,0)),"compte hors plan",IF(AND($A1689&lt;&gt;"",YEAR($A1689)&lt;&gt;Exercice),"hors exercice","")))))</f>
      </c>
    </row>
    <row r="1690">
      <c r="A1690" s="13"/>
      <c r="B1690" s="10"/>
      <c r="C1690" s="9"/>
      <c r="D1690" s="20"/>
      <c r="E1690" s="9">
        <f>IF($D1690="","",IFERROR(VLOOKUP($D1690,'Plan comptable'!$H:$I,2,FALSE),"compte hors plan"))</f>
      </c>
      <c r="F1690" s="9"/>
      <c r="G1690" s="10"/>
      <c r="H1690" s="11"/>
      <c r="I1690" s="11"/>
      <c r="J1690" s="10">
        <f>IF($D1690="","",IF(AND($H1690&lt;&gt;"",$I1690&lt;&gt;""),"débit ET crédit",IF(AND($H1690="",$I1690=""),"montant manquant",IF(ISNA(MATCH($D1690,'Plan comptable'!$H:$H,0)),"compte hors plan",IF(AND($A1690&lt;&gt;"",YEAR($A1690)&lt;&gt;Exercice),"hors exercice","")))))</f>
      </c>
    </row>
    <row r="1691">
      <c r="A1691" s="13"/>
      <c r="B1691" s="10"/>
      <c r="C1691" s="9"/>
      <c r="D1691" s="20"/>
      <c r="E1691" s="9">
        <f>IF($D1691="","",IFERROR(VLOOKUP($D1691,'Plan comptable'!$H:$I,2,FALSE),"compte hors plan"))</f>
      </c>
      <c r="F1691" s="9"/>
      <c r="G1691" s="10"/>
      <c r="H1691" s="11"/>
      <c r="I1691" s="11"/>
      <c r="J1691" s="10">
        <f>IF($D1691="","",IF(AND($H1691&lt;&gt;"",$I1691&lt;&gt;""),"débit ET crédit",IF(AND($H1691="",$I1691=""),"montant manquant",IF(ISNA(MATCH($D1691,'Plan comptable'!$H:$H,0)),"compte hors plan",IF(AND($A1691&lt;&gt;"",YEAR($A1691)&lt;&gt;Exercice),"hors exercice","")))))</f>
      </c>
    </row>
    <row r="1692">
      <c r="A1692" s="13"/>
      <c r="B1692" s="10"/>
      <c r="C1692" s="9"/>
      <c r="D1692" s="20"/>
      <c r="E1692" s="9">
        <f>IF($D1692="","",IFERROR(VLOOKUP($D1692,'Plan comptable'!$H:$I,2,FALSE),"compte hors plan"))</f>
      </c>
      <c r="F1692" s="9"/>
      <c r="G1692" s="10"/>
      <c r="H1692" s="11"/>
      <c r="I1692" s="11"/>
      <c r="J1692" s="10">
        <f>IF($D1692="","",IF(AND($H1692&lt;&gt;"",$I1692&lt;&gt;""),"débit ET crédit",IF(AND($H1692="",$I1692=""),"montant manquant",IF(ISNA(MATCH($D1692,'Plan comptable'!$H:$H,0)),"compte hors plan",IF(AND($A1692&lt;&gt;"",YEAR($A1692)&lt;&gt;Exercice),"hors exercice","")))))</f>
      </c>
    </row>
    <row r="1693">
      <c r="A1693" s="13"/>
      <c r="B1693" s="10"/>
      <c r="C1693" s="9"/>
      <c r="D1693" s="20"/>
      <c r="E1693" s="9">
        <f>IF($D1693="","",IFERROR(VLOOKUP($D1693,'Plan comptable'!$H:$I,2,FALSE),"compte hors plan"))</f>
      </c>
      <c r="F1693" s="9"/>
      <c r="G1693" s="10"/>
      <c r="H1693" s="11"/>
      <c r="I1693" s="11"/>
      <c r="J1693" s="10">
        <f>IF($D1693="","",IF(AND($H1693&lt;&gt;"",$I1693&lt;&gt;""),"débit ET crédit",IF(AND($H1693="",$I1693=""),"montant manquant",IF(ISNA(MATCH($D1693,'Plan comptable'!$H:$H,0)),"compte hors plan",IF(AND($A1693&lt;&gt;"",YEAR($A1693)&lt;&gt;Exercice),"hors exercice","")))))</f>
      </c>
    </row>
    <row r="1694">
      <c r="A1694" s="13"/>
      <c r="B1694" s="10"/>
      <c r="C1694" s="9"/>
      <c r="D1694" s="20"/>
      <c r="E1694" s="9">
        <f>IF($D1694="","",IFERROR(VLOOKUP($D1694,'Plan comptable'!$H:$I,2,FALSE),"compte hors plan"))</f>
      </c>
      <c r="F1694" s="9"/>
      <c r="G1694" s="10"/>
      <c r="H1694" s="11"/>
      <c r="I1694" s="11"/>
      <c r="J1694" s="10">
        <f>IF($D1694="","",IF(AND($H1694&lt;&gt;"",$I1694&lt;&gt;""),"débit ET crédit",IF(AND($H1694="",$I1694=""),"montant manquant",IF(ISNA(MATCH($D1694,'Plan comptable'!$H:$H,0)),"compte hors plan",IF(AND($A1694&lt;&gt;"",YEAR($A1694)&lt;&gt;Exercice),"hors exercice","")))))</f>
      </c>
    </row>
    <row r="1695">
      <c r="A1695" s="13"/>
      <c r="B1695" s="10"/>
      <c r="C1695" s="9"/>
      <c r="D1695" s="20"/>
      <c r="E1695" s="9">
        <f>IF($D1695="","",IFERROR(VLOOKUP($D1695,'Plan comptable'!$H:$I,2,FALSE),"compte hors plan"))</f>
      </c>
      <c r="F1695" s="9"/>
      <c r="G1695" s="10"/>
      <c r="H1695" s="11"/>
      <c r="I1695" s="11"/>
      <c r="J1695" s="10">
        <f>IF($D1695="","",IF(AND($H1695&lt;&gt;"",$I1695&lt;&gt;""),"débit ET crédit",IF(AND($H1695="",$I1695=""),"montant manquant",IF(ISNA(MATCH($D1695,'Plan comptable'!$H:$H,0)),"compte hors plan",IF(AND($A1695&lt;&gt;"",YEAR($A1695)&lt;&gt;Exercice),"hors exercice","")))))</f>
      </c>
    </row>
    <row r="1696">
      <c r="A1696" s="13"/>
      <c r="B1696" s="10"/>
      <c r="C1696" s="9"/>
      <c r="D1696" s="20"/>
      <c r="E1696" s="9">
        <f>IF($D1696="","",IFERROR(VLOOKUP($D1696,'Plan comptable'!$H:$I,2,FALSE),"compte hors plan"))</f>
      </c>
      <c r="F1696" s="9"/>
      <c r="G1696" s="10"/>
      <c r="H1696" s="11"/>
      <c r="I1696" s="11"/>
      <c r="J1696" s="10">
        <f>IF($D1696="","",IF(AND($H1696&lt;&gt;"",$I1696&lt;&gt;""),"débit ET crédit",IF(AND($H1696="",$I1696=""),"montant manquant",IF(ISNA(MATCH($D1696,'Plan comptable'!$H:$H,0)),"compte hors plan",IF(AND($A1696&lt;&gt;"",YEAR($A1696)&lt;&gt;Exercice),"hors exercice","")))))</f>
      </c>
    </row>
    <row r="1697">
      <c r="A1697" s="13"/>
      <c r="B1697" s="10"/>
      <c r="C1697" s="9"/>
      <c r="D1697" s="20"/>
      <c r="E1697" s="9">
        <f>IF($D1697="","",IFERROR(VLOOKUP($D1697,'Plan comptable'!$H:$I,2,FALSE),"compte hors plan"))</f>
      </c>
      <c r="F1697" s="9"/>
      <c r="G1697" s="10"/>
      <c r="H1697" s="11"/>
      <c r="I1697" s="11"/>
      <c r="J1697" s="10">
        <f>IF($D1697="","",IF(AND($H1697&lt;&gt;"",$I1697&lt;&gt;""),"débit ET crédit",IF(AND($H1697="",$I1697=""),"montant manquant",IF(ISNA(MATCH($D1697,'Plan comptable'!$H:$H,0)),"compte hors plan",IF(AND($A1697&lt;&gt;"",YEAR($A1697)&lt;&gt;Exercice),"hors exercice","")))))</f>
      </c>
    </row>
    <row r="1698">
      <c r="A1698" s="13"/>
      <c r="B1698" s="10"/>
      <c r="C1698" s="9"/>
      <c r="D1698" s="20"/>
      <c r="E1698" s="9">
        <f>IF($D1698="","",IFERROR(VLOOKUP($D1698,'Plan comptable'!$H:$I,2,FALSE),"compte hors plan"))</f>
      </c>
      <c r="F1698" s="9"/>
      <c r="G1698" s="10"/>
      <c r="H1698" s="11"/>
      <c r="I1698" s="11"/>
      <c r="J1698" s="10">
        <f>IF($D1698="","",IF(AND($H1698&lt;&gt;"",$I1698&lt;&gt;""),"débit ET crédit",IF(AND($H1698="",$I1698=""),"montant manquant",IF(ISNA(MATCH($D1698,'Plan comptable'!$H:$H,0)),"compte hors plan",IF(AND($A1698&lt;&gt;"",YEAR($A1698)&lt;&gt;Exercice),"hors exercice","")))))</f>
      </c>
    </row>
    <row r="1699">
      <c r="A1699" s="13"/>
      <c r="B1699" s="10"/>
      <c r="C1699" s="9"/>
      <c r="D1699" s="20"/>
      <c r="E1699" s="9">
        <f>IF($D1699="","",IFERROR(VLOOKUP($D1699,'Plan comptable'!$H:$I,2,FALSE),"compte hors plan"))</f>
      </c>
      <c r="F1699" s="9"/>
      <c r="G1699" s="10"/>
      <c r="H1699" s="11"/>
      <c r="I1699" s="11"/>
      <c r="J1699" s="10">
        <f>IF($D1699="","",IF(AND($H1699&lt;&gt;"",$I1699&lt;&gt;""),"débit ET crédit",IF(AND($H1699="",$I1699=""),"montant manquant",IF(ISNA(MATCH($D1699,'Plan comptable'!$H:$H,0)),"compte hors plan",IF(AND($A1699&lt;&gt;"",YEAR($A1699)&lt;&gt;Exercice),"hors exercice","")))))</f>
      </c>
    </row>
    <row r="1700">
      <c r="A1700" s="13"/>
      <c r="B1700" s="10"/>
      <c r="C1700" s="9"/>
      <c r="D1700" s="20"/>
      <c r="E1700" s="9">
        <f>IF($D1700="","",IFERROR(VLOOKUP($D1700,'Plan comptable'!$H:$I,2,FALSE),"compte hors plan"))</f>
      </c>
      <c r="F1700" s="9"/>
      <c r="G1700" s="10"/>
      <c r="H1700" s="11"/>
      <c r="I1700" s="11"/>
      <c r="J1700" s="10">
        <f>IF($D1700="","",IF(AND($H1700&lt;&gt;"",$I1700&lt;&gt;""),"débit ET crédit",IF(AND($H1700="",$I1700=""),"montant manquant",IF(ISNA(MATCH($D1700,'Plan comptable'!$H:$H,0)),"compte hors plan",IF(AND($A1700&lt;&gt;"",YEAR($A1700)&lt;&gt;Exercice),"hors exercice","")))))</f>
      </c>
    </row>
    <row r="1701">
      <c r="A1701" s="13"/>
      <c r="B1701" s="10"/>
      <c r="C1701" s="9"/>
      <c r="D1701" s="20"/>
      <c r="E1701" s="9">
        <f>IF($D1701="","",IFERROR(VLOOKUP($D1701,'Plan comptable'!$H:$I,2,FALSE),"compte hors plan"))</f>
      </c>
      <c r="F1701" s="9"/>
      <c r="G1701" s="10"/>
      <c r="H1701" s="11"/>
      <c r="I1701" s="11"/>
      <c r="J1701" s="10">
        <f>IF($D1701="","",IF(AND($H1701&lt;&gt;"",$I1701&lt;&gt;""),"débit ET crédit",IF(AND($H1701="",$I1701=""),"montant manquant",IF(ISNA(MATCH($D1701,'Plan comptable'!$H:$H,0)),"compte hors plan",IF(AND($A1701&lt;&gt;"",YEAR($A1701)&lt;&gt;Exercice),"hors exercice","")))))</f>
      </c>
    </row>
    <row r="1702">
      <c r="A1702" s="13"/>
      <c r="B1702" s="10"/>
      <c r="C1702" s="9"/>
      <c r="D1702" s="20"/>
      <c r="E1702" s="9">
        <f>IF($D1702="","",IFERROR(VLOOKUP($D1702,'Plan comptable'!$H:$I,2,FALSE),"compte hors plan"))</f>
      </c>
      <c r="F1702" s="9"/>
      <c r="G1702" s="10"/>
      <c r="H1702" s="11"/>
      <c r="I1702" s="11"/>
      <c r="J1702" s="10">
        <f>IF($D1702="","",IF(AND($H1702&lt;&gt;"",$I1702&lt;&gt;""),"débit ET crédit",IF(AND($H1702="",$I1702=""),"montant manquant",IF(ISNA(MATCH($D1702,'Plan comptable'!$H:$H,0)),"compte hors plan",IF(AND($A1702&lt;&gt;"",YEAR($A1702)&lt;&gt;Exercice),"hors exercice","")))))</f>
      </c>
    </row>
    <row r="1703">
      <c r="A1703" s="13"/>
      <c r="B1703" s="10"/>
      <c r="C1703" s="9"/>
      <c r="D1703" s="20"/>
      <c r="E1703" s="9">
        <f>IF($D1703="","",IFERROR(VLOOKUP($D1703,'Plan comptable'!$H:$I,2,FALSE),"compte hors plan"))</f>
      </c>
      <c r="F1703" s="9"/>
      <c r="G1703" s="10"/>
      <c r="H1703" s="11"/>
      <c r="I1703" s="11"/>
      <c r="J1703" s="10">
        <f>IF($D1703="","",IF(AND($H1703&lt;&gt;"",$I1703&lt;&gt;""),"débit ET crédit",IF(AND($H1703="",$I1703=""),"montant manquant",IF(ISNA(MATCH($D1703,'Plan comptable'!$H:$H,0)),"compte hors plan",IF(AND($A1703&lt;&gt;"",YEAR($A1703)&lt;&gt;Exercice),"hors exercice","")))))</f>
      </c>
    </row>
    <row r="1704">
      <c r="A1704" s="13"/>
      <c r="B1704" s="10"/>
      <c r="C1704" s="9"/>
      <c r="D1704" s="20"/>
      <c r="E1704" s="9">
        <f>IF($D1704="","",IFERROR(VLOOKUP($D1704,'Plan comptable'!$H:$I,2,FALSE),"compte hors plan"))</f>
      </c>
      <c r="F1704" s="9"/>
      <c r="G1704" s="10"/>
      <c r="H1704" s="11"/>
      <c r="I1704" s="11"/>
      <c r="J1704" s="10">
        <f>IF($D1704="","",IF(AND($H1704&lt;&gt;"",$I1704&lt;&gt;""),"débit ET crédit",IF(AND($H1704="",$I1704=""),"montant manquant",IF(ISNA(MATCH($D1704,'Plan comptable'!$H:$H,0)),"compte hors plan",IF(AND($A1704&lt;&gt;"",YEAR($A1704)&lt;&gt;Exercice),"hors exercice","")))))</f>
      </c>
    </row>
    <row r="1705">
      <c r="A1705" s="13"/>
      <c r="B1705" s="10"/>
      <c r="C1705" s="9"/>
      <c r="D1705" s="20"/>
      <c r="E1705" s="9">
        <f>IF($D1705="","",IFERROR(VLOOKUP($D1705,'Plan comptable'!$H:$I,2,FALSE),"compte hors plan"))</f>
      </c>
      <c r="F1705" s="9"/>
      <c r="G1705" s="10"/>
      <c r="H1705" s="11"/>
      <c r="I1705" s="11"/>
      <c r="J1705" s="10">
        <f>IF($D1705="","",IF(AND($H1705&lt;&gt;"",$I1705&lt;&gt;""),"débit ET crédit",IF(AND($H1705="",$I1705=""),"montant manquant",IF(ISNA(MATCH($D1705,'Plan comptable'!$H:$H,0)),"compte hors plan",IF(AND($A1705&lt;&gt;"",YEAR($A1705)&lt;&gt;Exercice),"hors exercice","")))))</f>
      </c>
    </row>
    <row r="1706">
      <c r="A1706" s="13"/>
      <c r="B1706" s="10"/>
      <c r="C1706" s="9"/>
      <c r="D1706" s="20"/>
      <c r="E1706" s="9">
        <f>IF($D1706="","",IFERROR(VLOOKUP($D1706,'Plan comptable'!$H:$I,2,FALSE),"compte hors plan"))</f>
      </c>
      <c r="F1706" s="9"/>
      <c r="G1706" s="10"/>
      <c r="H1706" s="11"/>
      <c r="I1706" s="11"/>
      <c r="J1706" s="10">
        <f>IF($D1706="","",IF(AND($H1706&lt;&gt;"",$I1706&lt;&gt;""),"débit ET crédit",IF(AND($H1706="",$I1706=""),"montant manquant",IF(ISNA(MATCH($D1706,'Plan comptable'!$H:$H,0)),"compte hors plan",IF(AND($A1706&lt;&gt;"",YEAR($A1706)&lt;&gt;Exercice),"hors exercice","")))))</f>
      </c>
    </row>
    <row r="1707">
      <c r="A1707" s="13"/>
      <c r="B1707" s="10"/>
      <c r="C1707" s="9"/>
      <c r="D1707" s="20"/>
      <c r="E1707" s="9">
        <f>IF($D1707="","",IFERROR(VLOOKUP($D1707,'Plan comptable'!$H:$I,2,FALSE),"compte hors plan"))</f>
      </c>
      <c r="F1707" s="9"/>
      <c r="G1707" s="10"/>
      <c r="H1707" s="11"/>
      <c r="I1707" s="11"/>
      <c r="J1707" s="10">
        <f>IF($D1707="","",IF(AND($H1707&lt;&gt;"",$I1707&lt;&gt;""),"débit ET crédit",IF(AND($H1707="",$I1707=""),"montant manquant",IF(ISNA(MATCH($D1707,'Plan comptable'!$H:$H,0)),"compte hors plan",IF(AND($A1707&lt;&gt;"",YEAR($A1707)&lt;&gt;Exercice),"hors exercice","")))))</f>
      </c>
    </row>
    <row r="1708">
      <c r="A1708" s="13"/>
      <c r="B1708" s="10"/>
      <c r="C1708" s="9"/>
      <c r="D1708" s="20"/>
      <c r="E1708" s="9">
        <f>IF($D1708="","",IFERROR(VLOOKUP($D1708,'Plan comptable'!$H:$I,2,FALSE),"compte hors plan"))</f>
      </c>
      <c r="F1708" s="9"/>
      <c r="G1708" s="10"/>
      <c r="H1708" s="11"/>
      <c r="I1708" s="11"/>
      <c r="J1708" s="10">
        <f>IF($D1708="","",IF(AND($H1708&lt;&gt;"",$I1708&lt;&gt;""),"débit ET crédit",IF(AND($H1708="",$I1708=""),"montant manquant",IF(ISNA(MATCH($D1708,'Plan comptable'!$H:$H,0)),"compte hors plan",IF(AND($A1708&lt;&gt;"",YEAR($A1708)&lt;&gt;Exercice),"hors exercice","")))))</f>
      </c>
    </row>
    <row r="1709">
      <c r="A1709" s="13"/>
      <c r="B1709" s="10"/>
      <c r="C1709" s="9"/>
      <c r="D1709" s="20"/>
      <c r="E1709" s="9">
        <f>IF($D1709="","",IFERROR(VLOOKUP($D1709,'Plan comptable'!$H:$I,2,FALSE),"compte hors plan"))</f>
      </c>
      <c r="F1709" s="9"/>
      <c r="G1709" s="10"/>
      <c r="H1709" s="11"/>
      <c r="I1709" s="11"/>
      <c r="J1709" s="10">
        <f>IF($D1709="","",IF(AND($H1709&lt;&gt;"",$I1709&lt;&gt;""),"débit ET crédit",IF(AND($H1709="",$I1709=""),"montant manquant",IF(ISNA(MATCH($D1709,'Plan comptable'!$H:$H,0)),"compte hors plan",IF(AND($A1709&lt;&gt;"",YEAR($A1709)&lt;&gt;Exercice),"hors exercice","")))))</f>
      </c>
    </row>
    <row r="1710">
      <c r="A1710" s="13"/>
      <c r="B1710" s="10"/>
      <c r="C1710" s="9"/>
      <c r="D1710" s="20"/>
      <c r="E1710" s="9">
        <f>IF($D1710="","",IFERROR(VLOOKUP($D1710,'Plan comptable'!$H:$I,2,FALSE),"compte hors plan"))</f>
      </c>
      <c r="F1710" s="9"/>
      <c r="G1710" s="10"/>
      <c r="H1710" s="11"/>
      <c r="I1710" s="11"/>
      <c r="J1710" s="10">
        <f>IF($D1710="","",IF(AND($H1710&lt;&gt;"",$I1710&lt;&gt;""),"débit ET crédit",IF(AND($H1710="",$I1710=""),"montant manquant",IF(ISNA(MATCH($D1710,'Plan comptable'!$H:$H,0)),"compte hors plan",IF(AND($A1710&lt;&gt;"",YEAR($A1710)&lt;&gt;Exercice),"hors exercice","")))))</f>
      </c>
    </row>
    <row r="1711">
      <c r="A1711" s="13"/>
      <c r="B1711" s="10"/>
      <c r="C1711" s="9"/>
      <c r="D1711" s="20"/>
      <c r="E1711" s="9">
        <f>IF($D1711="","",IFERROR(VLOOKUP($D1711,'Plan comptable'!$H:$I,2,FALSE),"compte hors plan"))</f>
      </c>
      <c r="F1711" s="9"/>
      <c r="G1711" s="10"/>
      <c r="H1711" s="11"/>
      <c r="I1711" s="11"/>
      <c r="J1711" s="10">
        <f>IF($D1711="","",IF(AND($H1711&lt;&gt;"",$I1711&lt;&gt;""),"débit ET crédit",IF(AND($H1711="",$I1711=""),"montant manquant",IF(ISNA(MATCH($D1711,'Plan comptable'!$H:$H,0)),"compte hors plan",IF(AND($A1711&lt;&gt;"",YEAR($A1711)&lt;&gt;Exercice),"hors exercice","")))))</f>
      </c>
    </row>
    <row r="1712">
      <c r="A1712" s="13"/>
      <c r="B1712" s="10"/>
      <c r="C1712" s="9"/>
      <c r="D1712" s="20"/>
      <c r="E1712" s="9">
        <f>IF($D1712="","",IFERROR(VLOOKUP($D1712,'Plan comptable'!$H:$I,2,FALSE),"compte hors plan"))</f>
      </c>
      <c r="F1712" s="9"/>
      <c r="G1712" s="10"/>
      <c r="H1712" s="11"/>
      <c r="I1712" s="11"/>
      <c r="J1712" s="10">
        <f>IF($D1712="","",IF(AND($H1712&lt;&gt;"",$I1712&lt;&gt;""),"débit ET crédit",IF(AND($H1712="",$I1712=""),"montant manquant",IF(ISNA(MATCH($D1712,'Plan comptable'!$H:$H,0)),"compte hors plan",IF(AND($A1712&lt;&gt;"",YEAR($A1712)&lt;&gt;Exercice),"hors exercice","")))))</f>
      </c>
    </row>
    <row r="1713">
      <c r="A1713" s="13"/>
      <c r="B1713" s="10"/>
      <c r="C1713" s="9"/>
      <c r="D1713" s="20"/>
      <c r="E1713" s="9">
        <f>IF($D1713="","",IFERROR(VLOOKUP($D1713,'Plan comptable'!$H:$I,2,FALSE),"compte hors plan"))</f>
      </c>
      <c r="F1713" s="9"/>
      <c r="G1713" s="10"/>
      <c r="H1713" s="11"/>
      <c r="I1713" s="11"/>
      <c r="J1713" s="10">
        <f>IF($D1713="","",IF(AND($H1713&lt;&gt;"",$I1713&lt;&gt;""),"débit ET crédit",IF(AND($H1713="",$I1713=""),"montant manquant",IF(ISNA(MATCH($D1713,'Plan comptable'!$H:$H,0)),"compte hors plan",IF(AND($A1713&lt;&gt;"",YEAR($A1713)&lt;&gt;Exercice),"hors exercice","")))))</f>
      </c>
    </row>
    <row r="1714">
      <c r="A1714" s="13"/>
      <c r="B1714" s="10"/>
      <c r="C1714" s="9"/>
      <c r="D1714" s="20"/>
      <c r="E1714" s="9">
        <f>IF($D1714="","",IFERROR(VLOOKUP($D1714,'Plan comptable'!$H:$I,2,FALSE),"compte hors plan"))</f>
      </c>
      <c r="F1714" s="9"/>
      <c r="G1714" s="10"/>
      <c r="H1714" s="11"/>
      <c r="I1714" s="11"/>
      <c r="J1714" s="10">
        <f>IF($D1714="","",IF(AND($H1714&lt;&gt;"",$I1714&lt;&gt;""),"débit ET crédit",IF(AND($H1714="",$I1714=""),"montant manquant",IF(ISNA(MATCH($D1714,'Plan comptable'!$H:$H,0)),"compte hors plan",IF(AND($A1714&lt;&gt;"",YEAR($A1714)&lt;&gt;Exercice),"hors exercice","")))))</f>
      </c>
    </row>
    <row r="1715">
      <c r="A1715" s="13"/>
      <c r="B1715" s="10"/>
      <c r="C1715" s="9"/>
      <c r="D1715" s="20"/>
      <c r="E1715" s="9">
        <f>IF($D1715="","",IFERROR(VLOOKUP($D1715,'Plan comptable'!$H:$I,2,FALSE),"compte hors plan"))</f>
      </c>
      <c r="F1715" s="9"/>
      <c r="G1715" s="10"/>
      <c r="H1715" s="11"/>
      <c r="I1715" s="11"/>
      <c r="J1715" s="10">
        <f>IF($D1715="","",IF(AND($H1715&lt;&gt;"",$I1715&lt;&gt;""),"débit ET crédit",IF(AND($H1715="",$I1715=""),"montant manquant",IF(ISNA(MATCH($D1715,'Plan comptable'!$H:$H,0)),"compte hors plan",IF(AND($A1715&lt;&gt;"",YEAR($A1715)&lt;&gt;Exercice),"hors exercice","")))))</f>
      </c>
    </row>
    <row r="1716">
      <c r="A1716" s="13"/>
      <c r="B1716" s="10"/>
      <c r="C1716" s="9"/>
      <c r="D1716" s="20"/>
      <c r="E1716" s="9">
        <f>IF($D1716="","",IFERROR(VLOOKUP($D1716,'Plan comptable'!$H:$I,2,FALSE),"compte hors plan"))</f>
      </c>
      <c r="F1716" s="9"/>
      <c r="G1716" s="10"/>
      <c r="H1716" s="11"/>
      <c r="I1716" s="11"/>
      <c r="J1716" s="10">
        <f>IF($D1716="","",IF(AND($H1716&lt;&gt;"",$I1716&lt;&gt;""),"débit ET crédit",IF(AND($H1716="",$I1716=""),"montant manquant",IF(ISNA(MATCH($D1716,'Plan comptable'!$H:$H,0)),"compte hors plan",IF(AND($A1716&lt;&gt;"",YEAR($A1716)&lt;&gt;Exercice),"hors exercice","")))))</f>
      </c>
    </row>
    <row r="1717">
      <c r="A1717" s="13"/>
      <c r="B1717" s="10"/>
      <c r="C1717" s="9"/>
      <c r="D1717" s="20"/>
      <c r="E1717" s="9">
        <f>IF($D1717="","",IFERROR(VLOOKUP($D1717,'Plan comptable'!$H:$I,2,FALSE),"compte hors plan"))</f>
      </c>
      <c r="F1717" s="9"/>
      <c r="G1717" s="10"/>
      <c r="H1717" s="11"/>
      <c r="I1717" s="11"/>
      <c r="J1717" s="10">
        <f>IF($D1717="","",IF(AND($H1717&lt;&gt;"",$I1717&lt;&gt;""),"débit ET crédit",IF(AND($H1717="",$I1717=""),"montant manquant",IF(ISNA(MATCH($D1717,'Plan comptable'!$H:$H,0)),"compte hors plan",IF(AND($A1717&lt;&gt;"",YEAR($A1717)&lt;&gt;Exercice),"hors exercice","")))))</f>
      </c>
    </row>
    <row r="1718">
      <c r="A1718" s="13"/>
      <c r="B1718" s="10"/>
      <c r="C1718" s="9"/>
      <c r="D1718" s="20"/>
      <c r="E1718" s="9">
        <f>IF($D1718="","",IFERROR(VLOOKUP($D1718,'Plan comptable'!$H:$I,2,FALSE),"compte hors plan"))</f>
      </c>
      <c r="F1718" s="9"/>
      <c r="G1718" s="10"/>
      <c r="H1718" s="11"/>
      <c r="I1718" s="11"/>
      <c r="J1718" s="10">
        <f>IF($D1718="","",IF(AND($H1718&lt;&gt;"",$I1718&lt;&gt;""),"débit ET crédit",IF(AND($H1718="",$I1718=""),"montant manquant",IF(ISNA(MATCH($D1718,'Plan comptable'!$H:$H,0)),"compte hors plan",IF(AND($A1718&lt;&gt;"",YEAR($A1718)&lt;&gt;Exercice),"hors exercice","")))))</f>
      </c>
    </row>
    <row r="1719">
      <c r="A1719" s="13"/>
      <c r="B1719" s="10"/>
      <c r="C1719" s="9"/>
      <c r="D1719" s="20"/>
      <c r="E1719" s="9">
        <f>IF($D1719="","",IFERROR(VLOOKUP($D1719,'Plan comptable'!$H:$I,2,FALSE),"compte hors plan"))</f>
      </c>
      <c r="F1719" s="9"/>
      <c r="G1719" s="10"/>
      <c r="H1719" s="11"/>
      <c r="I1719" s="11"/>
      <c r="J1719" s="10">
        <f>IF($D1719="","",IF(AND($H1719&lt;&gt;"",$I1719&lt;&gt;""),"débit ET crédit",IF(AND($H1719="",$I1719=""),"montant manquant",IF(ISNA(MATCH($D1719,'Plan comptable'!$H:$H,0)),"compte hors plan",IF(AND($A1719&lt;&gt;"",YEAR($A1719)&lt;&gt;Exercice),"hors exercice","")))))</f>
      </c>
    </row>
    <row r="1720">
      <c r="A1720" s="13"/>
      <c r="B1720" s="10"/>
      <c r="C1720" s="9"/>
      <c r="D1720" s="20"/>
      <c r="E1720" s="9">
        <f>IF($D1720="","",IFERROR(VLOOKUP($D1720,'Plan comptable'!$H:$I,2,FALSE),"compte hors plan"))</f>
      </c>
      <c r="F1720" s="9"/>
      <c r="G1720" s="10"/>
      <c r="H1720" s="11"/>
      <c r="I1720" s="11"/>
      <c r="J1720" s="10">
        <f>IF($D1720="","",IF(AND($H1720&lt;&gt;"",$I1720&lt;&gt;""),"débit ET crédit",IF(AND($H1720="",$I1720=""),"montant manquant",IF(ISNA(MATCH($D1720,'Plan comptable'!$H:$H,0)),"compte hors plan",IF(AND($A1720&lt;&gt;"",YEAR($A1720)&lt;&gt;Exercice),"hors exercice","")))))</f>
      </c>
    </row>
    <row r="1721">
      <c r="A1721" s="13"/>
      <c r="B1721" s="10"/>
      <c r="C1721" s="9"/>
      <c r="D1721" s="20"/>
      <c r="E1721" s="9">
        <f>IF($D1721="","",IFERROR(VLOOKUP($D1721,'Plan comptable'!$H:$I,2,FALSE),"compte hors plan"))</f>
      </c>
      <c r="F1721" s="9"/>
      <c r="G1721" s="10"/>
      <c r="H1721" s="11"/>
      <c r="I1721" s="11"/>
      <c r="J1721" s="10">
        <f>IF($D1721="","",IF(AND($H1721&lt;&gt;"",$I1721&lt;&gt;""),"débit ET crédit",IF(AND($H1721="",$I1721=""),"montant manquant",IF(ISNA(MATCH($D1721,'Plan comptable'!$H:$H,0)),"compte hors plan",IF(AND($A1721&lt;&gt;"",YEAR($A1721)&lt;&gt;Exercice),"hors exercice","")))))</f>
      </c>
    </row>
    <row r="1722">
      <c r="A1722" s="13"/>
      <c r="B1722" s="10"/>
      <c r="C1722" s="9"/>
      <c r="D1722" s="20"/>
      <c r="E1722" s="9">
        <f>IF($D1722="","",IFERROR(VLOOKUP($D1722,'Plan comptable'!$H:$I,2,FALSE),"compte hors plan"))</f>
      </c>
      <c r="F1722" s="9"/>
      <c r="G1722" s="10"/>
      <c r="H1722" s="11"/>
      <c r="I1722" s="11"/>
      <c r="J1722" s="10">
        <f>IF($D1722="","",IF(AND($H1722&lt;&gt;"",$I1722&lt;&gt;""),"débit ET crédit",IF(AND($H1722="",$I1722=""),"montant manquant",IF(ISNA(MATCH($D1722,'Plan comptable'!$H:$H,0)),"compte hors plan",IF(AND($A1722&lt;&gt;"",YEAR($A1722)&lt;&gt;Exercice),"hors exercice","")))))</f>
      </c>
    </row>
    <row r="1723">
      <c r="A1723" s="13"/>
      <c r="B1723" s="10"/>
      <c r="C1723" s="9"/>
      <c r="D1723" s="20"/>
      <c r="E1723" s="9">
        <f>IF($D1723="","",IFERROR(VLOOKUP($D1723,'Plan comptable'!$H:$I,2,FALSE),"compte hors plan"))</f>
      </c>
      <c r="F1723" s="9"/>
      <c r="G1723" s="10"/>
      <c r="H1723" s="11"/>
      <c r="I1723" s="11"/>
      <c r="J1723" s="10">
        <f>IF($D1723="","",IF(AND($H1723&lt;&gt;"",$I1723&lt;&gt;""),"débit ET crédit",IF(AND($H1723="",$I1723=""),"montant manquant",IF(ISNA(MATCH($D1723,'Plan comptable'!$H:$H,0)),"compte hors plan",IF(AND($A1723&lt;&gt;"",YEAR($A1723)&lt;&gt;Exercice),"hors exercice","")))))</f>
      </c>
    </row>
    <row r="1724">
      <c r="A1724" s="13"/>
      <c r="B1724" s="10"/>
      <c r="C1724" s="9"/>
      <c r="D1724" s="20"/>
      <c r="E1724" s="9">
        <f>IF($D1724="","",IFERROR(VLOOKUP($D1724,'Plan comptable'!$H:$I,2,FALSE),"compte hors plan"))</f>
      </c>
      <c r="F1724" s="9"/>
      <c r="G1724" s="10"/>
      <c r="H1724" s="11"/>
      <c r="I1724" s="11"/>
      <c r="J1724" s="10">
        <f>IF($D1724="","",IF(AND($H1724&lt;&gt;"",$I1724&lt;&gt;""),"débit ET crédit",IF(AND($H1724="",$I1724=""),"montant manquant",IF(ISNA(MATCH($D1724,'Plan comptable'!$H:$H,0)),"compte hors plan",IF(AND($A1724&lt;&gt;"",YEAR($A1724)&lt;&gt;Exercice),"hors exercice","")))))</f>
      </c>
    </row>
    <row r="1725">
      <c r="A1725" s="13"/>
      <c r="B1725" s="10"/>
      <c r="C1725" s="9"/>
      <c r="D1725" s="20"/>
      <c r="E1725" s="9">
        <f>IF($D1725="","",IFERROR(VLOOKUP($D1725,'Plan comptable'!$H:$I,2,FALSE),"compte hors plan"))</f>
      </c>
      <c r="F1725" s="9"/>
      <c r="G1725" s="10"/>
      <c r="H1725" s="11"/>
      <c r="I1725" s="11"/>
      <c r="J1725" s="10">
        <f>IF($D1725="","",IF(AND($H1725&lt;&gt;"",$I1725&lt;&gt;""),"débit ET crédit",IF(AND($H1725="",$I1725=""),"montant manquant",IF(ISNA(MATCH($D1725,'Plan comptable'!$H:$H,0)),"compte hors plan",IF(AND($A1725&lt;&gt;"",YEAR($A1725)&lt;&gt;Exercice),"hors exercice","")))))</f>
      </c>
    </row>
    <row r="1726">
      <c r="A1726" s="13"/>
      <c r="B1726" s="10"/>
      <c r="C1726" s="9"/>
      <c r="D1726" s="20"/>
      <c r="E1726" s="9">
        <f>IF($D1726="","",IFERROR(VLOOKUP($D1726,'Plan comptable'!$H:$I,2,FALSE),"compte hors plan"))</f>
      </c>
      <c r="F1726" s="9"/>
      <c r="G1726" s="10"/>
      <c r="H1726" s="11"/>
      <c r="I1726" s="11"/>
      <c r="J1726" s="10">
        <f>IF($D1726="","",IF(AND($H1726&lt;&gt;"",$I1726&lt;&gt;""),"débit ET crédit",IF(AND($H1726="",$I1726=""),"montant manquant",IF(ISNA(MATCH($D1726,'Plan comptable'!$H:$H,0)),"compte hors plan",IF(AND($A1726&lt;&gt;"",YEAR($A1726)&lt;&gt;Exercice),"hors exercice","")))))</f>
      </c>
    </row>
    <row r="1727">
      <c r="A1727" s="13"/>
      <c r="B1727" s="10"/>
      <c r="C1727" s="9"/>
      <c r="D1727" s="20"/>
      <c r="E1727" s="9">
        <f>IF($D1727="","",IFERROR(VLOOKUP($D1727,'Plan comptable'!$H:$I,2,FALSE),"compte hors plan"))</f>
      </c>
      <c r="F1727" s="9"/>
      <c r="G1727" s="10"/>
      <c r="H1727" s="11"/>
      <c r="I1727" s="11"/>
      <c r="J1727" s="10">
        <f>IF($D1727="","",IF(AND($H1727&lt;&gt;"",$I1727&lt;&gt;""),"débit ET crédit",IF(AND($H1727="",$I1727=""),"montant manquant",IF(ISNA(MATCH($D1727,'Plan comptable'!$H:$H,0)),"compte hors plan",IF(AND($A1727&lt;&gt;"",YEAR($A1727)&lt;&gt;Exercice),"hors exercice","")))))</f>
      </c>
    </row>
    <row r="1728">
      <c r="A1728" s="13"/>
      <c r="B1728" s="10"/>
      <c r="C1728" s="9"/>
      <c r="D1728" s="20"/>
      <c r="E1728" s="9">
        <f>IF($D1728="","",IFERROR(VLOOKUP($D1728,'Plan comptable'!$H:$I,2,FALSE),"compte hors plan"))</f>
      </c>
      <c r="F1728" s="9"/>
      <c r="G1728" s="10"/>
      <c r="H1728" s="11"/>
      <c r="I1728" s="11"/>
      <c r="J1728" s="10">
        <f>IF($D1728="","",IF(AND($H1728&lt;&gt;"",$I1728&lt;&gt;""),"débit ET crédit",IF(AND($H1728="",$I1728=""),"montant manquant",IF(ISNA(MATCH($D1728,'Plan comptable'!$H:$H,0)),"compte hors plan",IF(AND($A1728&lt;&gt;"",YEAR($A1728)&lt;&gt;Exercice),"hors exercice","")))))</f>
      </c>
    </row>
    <row r="1729">
      <c r="A1729" s="13"/>
      <c r="B1729" s="10"/>
      <c r="C1729" s="9"/>
      <c r="D1729" s="20"/>
      <c r="E1729" s="9">
        <f>IF($D1729="","",IFERROR(VLOOKUP($D1729,'Plan comptable'!$H:$I,2,FALSE),"compte hors plan"))</f>
      </c>
      <c r="F1729" s="9"/>
      <c r="G1729" s="10"/>
      <c r="H1729" s="11"/>
      <c r="I1729" s="11"/>
      <c r="J1729" s="10">
        <f>IF($D1729="","",IF(AND($H1729&lt;&gt;"",$I1729&lt;&gt;""),"débit ET crédit",IF(AND($H1729="",$I1729=""),"montant manquant",IF(ISNA(MATCH($D1729,'Plan comptable'!$H:$H,0)),"compte hors plan",IF(AND($A1729&lt;&gt;"",YEAR($A1729)&lt;&gt;Exercice),"hors exercice","")))))</f>
      </c>
    </row>
    <row r="1730">
      <c r="A1730" s="13"/>
      <c r="B1730" s="10"/>
      <c r="C1730" s="9"/>
      <c r="D1730" s="20"/>
      <c r="E1730" s="9">
        <f>IF($D1730="","",IFERROR(VLOOKUP($D1730,'Plan comptable'!$H:$I,2,FALSE),"compte hors plan"))</f>
      </c>
      <c r="F1730" s="9"/>
      <c r="G1730" s="10"/>
      <c r="H1730" s="11"/>
      <c r="I1730" s="11"/>
      <c r="J1730" s="10">
        <f>IF($D1730="","",IF(AND($H1730&lt;&gt;"",$I1730&lt;&gt;""),"débit ET crédit",IF(AND($H1730="",$I1730=""),"montant manquant",IF(ISNA(MATCH($D1730,'Plan comptable'!$H:$H,0)),"compte hors plan",IF(AND($A1730&lt;&gt;"",YEAR($A1730)&lt;&gt;Exercice),"hors exercice","")))))</f>
      </c>
    </row>
    <row r="1731">
      <c r="A1731" s="13"/>
      <c r="B1731" s="10"/>
      <c r="C1731" s="9"/>
      <c r="D1731" s="20"/>
      <c r="E1731" s="9">
        <f>IF($D1731="","",IFERROR(VLOOKUP($D1731,'Plan comptable'!$H:$I,2,FALSE),"compte hors plan"))</f>
      </c>
      <c r="F1731" s="9"/>
      <c r="G1731" s="10"/>
      <c r="H1731" s="11"/>
      <c r="I1731" s="11"/>
      <c r="J1731" s="10">
        <f>IF($D1731="","",IF(AND($H1731&lt;&gt;"",$I1731&lt;&gt;""),"débit ET crédit",IF(AND($H1731="",$I1731=""),"montant manquant",IF(ISNA(MATCH($D1731,'Plan comptable'!$H:$H,0)),"compte hors plan",IF(AND($A1731&lt;&gt;"",YEAR($A1731)&lt;&gt;Exercice),"hors exercice","")))))</f>
      </c>
    </row>
    <row r="1732">
      <c r="A1732" s="13"/>
      <c r="B1732" s="10"/>
      <c r="C1732" s="9"/>
      <c r="D1732" s="20"/>
      <c r="E1732" s="9">
        <f>IF($D1732="","",IFERROR(VLOOKUP($D1732,'Plan comptable'!$H:$I,2,FALSE),"compte hors plan"))</f>
      </c>
      <c r="F1732" s="9"/>
      <c r="G1732" s="10"/>
      <c r="H1732" s="11"/>
      <c r="I1732" s="11"/>
      <c r="J1732" s="10">
        <f>IF($D1732="","",IF(AND($H1732&lt;&gt;"",$I1732&lt;&gt;""),"débit ET crédit",IF(AND($H1732="",$I1732=""),"montant manquant",IF(ISNA(MATCH($D1732,'Plan comptable'!$H:$H,0)),"compte hors plan",IF(AND($A1732&lt;&gt;"",YEAR($A1732)&lt;&gt;Exercice),"hors exercice","")))))</f>
      </c>
    </row>
    <row r="1733">
      <c r="A1733" s="13"/>
      <c r="B1733" s="10"/>
      <c r="C1733" s="9"/>
      <c r="D1733" s="20"/>
      <c r="E1733" s="9">
        <f>IF($D1733="","",IFERROR(VLOOKUP($D1733,'Plan comptable'!$H:$I,2,FALSE),"compte hors plan"))</f>
      </c>
      <c r="F1733" s="9"/>
      <c r="G1733" s="10"/>
      <c r="H1733" s="11"/>
      <c r="I1733" s="11"/>
      <c r="J1733" s="10">
        <f>IF($D1733="","",IF(AND($H1733&lt;&gt;"",$I1733&lt;&gt;""),"débit ET crédit",IF(AND($H1733="",$I1733=""),"montant manquant",IF(ISNA(MATCH($D1733,'Plan comptable'!$H:$H,0)),"compte hors plan",IF(AND($A1733&lt;&gt;"",YEAR($A1733)&lt;&gt;Exercice),"hors exercice","")))))</f>
      </c>
    </row>
    <row r="1734">
      <c r="A1734" s="13"/>
      <c r="B1734" s="10"/>
      <c r="C1734" s="9"/>
      <c r="D1734" s="20"/>
      <c r="E1734" s="9">
        <f>IF($D1734="","",IFERROR(VLOOKUP($D1734,'Plan comptable'!$H:$I,2,FALSE),"compte hors plan"))</f>
      </c>
      <c r="F1734" s="9"/>
      <c r="G1734" s="10"/>
      <c r="H1734" s="11"/>
      <c r="I1734" s="11"/>
      <c r="J1734" s="10">
        <f>IF($D1734="","",IF(AND($H1734&lt;&gt;"",$I1734&lt;&gt;""),"débit ET crédit",IF(AND($H1734="",$I1734=""),"montant manquant",IF(ISNA(MATCH($D1734,'Plan comptable'!$H:$H,0)),"compte hors plan",IF(AND($A1734&lt;&gt;"",YEAR($A1734)&lt;&gt;Exercice),"hors exercice","")))))</f>
      </c>
    </row>
    <row r="1735">
      <c r="A1735" s="13"/>
      <c r="B1735" s="10"/>
      <c r="C1735" s="9"/>
      <c r="D1735" s="20"/>
      <c r="E1735" s="9">
        <f>IF($D1735="","",IFERROR(VLOOKUP($D1735,'Plan comptable'!$H:$I,2,FALSE),"compte hors plan"))</f>
      </c>
      <c r="F1735" s="9"/>
      <c r="G1735" s="10"/>
      <c r="H1735" s="11"/>
      <c r="I1735" s="11"/>
      <c r="J1735" s="10">
        <f>IF($D1735="","",IF(AND($H1735&lt;&gt;"",$I1735&lt;&gt;""),"débit ET crédit",IF(AND($H1735="",$I1735=""),"montant manquant",IF(ISNA(MATCH($D1735,'Plan comptable'!$H:$H,0)),"compte hors plan",IF(AND($A1735&lt;&gt;"",YEAR($A1735)&lt;&gt;Exercice),"hors exercice","")))))</f>
      </c>
    </row>
    <row r="1736">
      <c r="A1736" s="13"/>
      <c r="B1736" s="10"/>
      <c r="C1736" s="9"/>
      <c r="D1736" s="20"/>
      <c r="E1736" s="9">
        <f>IF($D1736="","",IFERROR(VLOOKUP($D1736,'Plan comptable'!$H:$I,2,FALSE),"compte hors plan"))</f>
      </c>
      <c r="F1736" s="9"/>
      <c r="G1736" s="10"/>
      <c r="H1736" s="11"/>
      <c r="I1736" s="11"/>
      <c r="J1736" s="10">
        <f>IF($D1736="","",IF(AND($H1736&lt;&gt;"",$I1736&lt;&gt;""),"débit ET crédit",IF(AND($H1736="",$I1736=""),"montant manquant",IF(ISNA(MATCH($D1736,'Plan comptable'!$H:$H,0)),"compte hors plan",IF(AND($A1736&lt;&gt;"",YEAR($A1736)&lt;&gt;Exercice),"hors exercice","")))))</f>
      </c>
    </row>
    <row r="1737">
      <c r="A1737" s="13"/>
      <c r="B1737" s="10"/>
      <c r="C1737" s="9"/>
      <c r="D1737" s="20"/>
      <c r="E1737" s="9">
        <f>IF($D1737="","",IFERROR(VLOOKUP($D1737,'Plan comptable'!$H:$I,2,FALSE),"compte hors plan"))</f>
      </c>
      <c r="F1737" s="9"/>
      <c r="G1737" s="10"/>
      <c r="H1737" s="11"/>
      <c r="I1737" s="11"/>
      <c r="J1737" s="10">
        <f>IF($D1737="","",IF(AND($H1737&lt;&gt;"",$I1737&lt;&gt;""),"débit ET crédit",IF(AND($H1737="",$I1737=""),"montant manquant",IF(ISNA(MATCH($D1737,'Plan comptable'!$H:$H,0)),"compte hors plan",IF(AND($A1737&lt;&gt;"",YEAR($A1737)&lt;&gt;Exercice),"hors exercice","")))))</f>
      </c>
    </row>
    <row r="1738">
      <c r="A1738" s="13"/>
      <c r="B1738" s="10"/>
      <c r="C1738" s="9"/>
      <c r="D1738" s="20"/>
      <c r="E1738" s="9">
        <f>IF($D1738="","",IFERROR(VLOOKUP($D1738,'Plan comptable'!$H:$I,2,FALSE),"compte hors plan"))</f>
      </c>
      <c r="F1738" s="9"/>
      <c r="G1738" s="10"/>
      <c r="H1738" s="11"/>
      <c r="I1738" s="11"/>
      <c r="J1738" s="10">
        <f>IF($D1738="","",IF(AND($H1738&lt;&gt;"",$I1738&lt;&gt;""),"débit ET crédit",IF(AND($H1738="",$I1738=""),"montant manquant",IF(ISNA(MATCH($D1738,'Plan comptable'!$H:$H,0)),"compte hors plan",IF(AND($A1738&lt;&gt;"",YEAR($A1738)&lt;&gt;Exercice),"hors exercice","")))))</f>
      </c>
    </row>
    <row r="1739">
      <c r="A1739" s="13"/>
      <c r="B1739" s="10"/>
      <c r="C1739" s="9"/>
      <c r="D1739" s="20"/>
      <c r="E1739" s="9">
        <f>IF($D1739="","",IFERROR(VLOOKUP($D1739,'Plan comptable'!$H:$I,2,FALSE),"compte hors plan"))</f>
      </c>
      <c r="F1739" s="9"/>
      <c r="G1739" s="10"/>
      <c r="H1739" s="11"/>
      <c r="I1739" s="11"/>
      <c r="J1739" s="10">
        <f>IF($D1739="","",IF(AND($H1739&lt;&gt;"",$I1739&lt;&gt;""),"débit ET crédit",IF(AND($H1739="",$I1739=""),"montant manquant",IF(ISNA(MATCH($D1739,'Plan comptable'!$H:$H,0)),"compte hors plan",IF(AND($A1739&lt;&gt;"",YEAR($A1739)&lt;&gt;Exercice),"hors exercice","")))))</f>
      </c>
    </row>
    <row r="1740">
      <c r="A1740" s="13"/>
      <c r="B1740" s="10"/>
      <c r="C1740" s="9"/>
      <c r="D1740" s="20"/>
      <c r="E1740" s="9">
        <f>IF($D1740="","",IFERROR(VLOOKUP($D1740,'Plan comptable'!$H:$I,2,FALSE),"compte hors plan"))</f>
      </c>
      <c r="F1740" s="9"/>
      <c r="G1740" s="10"/>
      <c r="H1740" s="11"/>
      <c r="I1740" s="11"/>
      <c r="J1740" s="10">
        <f>IF($D1740="","",IF(AND($H1740&lt;&gt;"",$I1740&lt;&gt;""),"débit ET crédit",IF(AND($H1740="",$I1740=""),"montant manquant",IF(ISNA(MATCH($D1740,'Plan comptable'!$H:$H,0)),"compte hors plan",IF(AND($A1740&lt;&gt;"",YEAR($A1740)&lt;&gt;Exercice),"hors exercice","")))))</f>
      </c>
    </row>
    <row r="1741">
      <c r="A1741" s="13"/>
      <c r="B1741" s="10"/>
      <c r="C1741" s="9"/>
      <c r="D1741" s="20"/>
      <c r="E1741" s="9">
        <f>IF($D1741="","",IFERROR(VLOOKUP($D1741,'Plan comptable'!$H:$I,2,FALSE),"compte hors plan"))</f>
      </c>
      <c r="F1741" s="9"/>
      <c r="G1741" s="10"/>
      <c r="H1741" s="11"/>
      <c r="I1741" s="11"/>
      <c r="J1741" s="10">
        <f>IF($D1741="","",IF(AND($H1741&lt;&gt;"",$I1741&lt;&gt;""),"débit ET crédit",IF(AND($H1741="",$I1741=""),"montant manquant",IF(ISNA(MATCH($D1741,'Plan comptable'!$H:$H,0)),"compte hors plan",IF(AND($A1741&lt;&gt;"",YEAR($A1741)&lt;&gt;Exercice),"hors exercice","")))))</f>
      </c>
    </row>
    <row r="1742">
      <c r="A1742" s="13"/>
      <c r="B1742" s="10"/>
      <c r="C1742" s="9"/>
      <c r="D1742" s="20"/>
      <c r="E1742" s="9">
        <f>IF($D1742="","",IFERROR(VLOOKUP($D1742,'Plan comptable'!$H:$I,2,FALSE),"compte hors plan"))</f>
      </c>
      <c r="F1742" s="9"/>
      <c r="G1742" s="10"/>
      <c r="H1742" s="11"/>
      <c r="I1742" s="11"/>
      <c r="J1742" s="10">
        <f>IF($D1742="","",IF(AND($H1742&lt;&gt;"",$I1742&lt;&gt;""),"débit ET crédit",IF(AND($H1742="",$I1742=""),"montant manquant",IF(ISNA(MATCH($D1742,'Plan comptable'!$H:$H,0)),"compte hors plan",IF(AND($A1742&lt;&gt;"",YEAR($A1742)&lt;&gt;Exercice),"hors exercice","")))))</f>
      </c>
    </row>
    <row r="1743">
      <c r="A1743" s="13"/>
      <c r="B1743" s="10"/>
      <c r="C1743" s="9"/>
      <c r="D1743" s="20"/>
      <c r="E1743" s="9">
        <f>IF($D1743="","",IFERROR(VLOOKUP($D1743,'Plan comptable'!$H:$I,2,FALSE),"compte hors plan"))</f>
      </c>
      <c r="F1743" s="9"/>
      <c r="G1743" s="10"/>
      <c r="H1743" s="11"/>
      <c r="I1743" s="11"/>
      <c r="J1743" s="10">
        <f>IF($D1743="","",IF(AND($H1743&lt;&gt;"",$I1743&lt;&gt;""),"débit ET crédit",IF(AND($H1743="",$I1743=""),"montant manquant",IF(ISNA(MATCH($D1743,'Plan comptable'!$H:$H,0)),"compte hors plan",IF(AND($A1743&lt;&gt;"",YEAR($A1743)&lt;&gt;Exercice),"hors exercice","")))))</f>
      </c>
    </row>
    <row r="1744">
      <c r="A1744" s="13"/>
      <c r="B1744" s="10"/>
      <c r="C1744" s="9"/>
      <c r="D1744" s="20"/>
      <c r="E1744" s="9">
        <f>IF($D1744="","",IFERROR(VLOOKUP($D1744,'Plan comptable'!$H:$I,2,FALSE),"compte hors plan"))</f>
      </c>
      <c r="F1744" s="9"/>
      <c r="G1744" s="10"/>
      <c r="H1744" s="11"/>
      <c r="I1744" s="11"/>
      <c r="J1744" s="10">
        <f>IF($D1744="","",IF(AND($H1744&lt;&gt;"",$I1744&lt;&gt;""),"débit ET crédit",IF(AND($H1744="",$I1744=""),"montant manquant",IF(ISNA(MATCH($D1744,'Plan comptable'!$H:$H,0)),"compte hors plan",IF(AND($A1744&lt;&gt;"",YEAR($A1744)&lt;&gt;Exercice),"hors exercice","")))))</f>
      </c>
    </row>
    <row r="1745">
      <c r="A1745" s="13"/>
      <c r="B1745" s="10"/>
      <c r="C1745" s="9"/>
      <c r="D1745" s="20"/>
      <c r="E1745" s="9">
        <f>IF($D1745="","",IFERROR(VLOOKUP($D1745,'Plan comptable'!$H:$I,2,FALSE),"compte hors plan"))</f>
      </c>
      <c r="F1745" s="9"/>
      <c r="G1745" s="10"/>
      <c r="H1745" s="11"/>
      <c r="I1745" s="11"/>
      <c r="J1745" s="10">
        <f>IF($D1745="","",IF(AND($H1745&lt;&gt;"",$I1745&lt;&gt;""),"débit ET crédit",IF(AND($H1745="",$I1745=""),"montant manquant",IF(ISNA(MATCH($D1745,'Plan comptable'!$H:$H,0)),"compte hors plan",IF(AND($A1745&lt;&gt;"",YEAR($A1745)&lt;&gt;Exercice),"hors exercice","")))))</f>
      </c>
    </row>
    <row r="1746">
      <c r="A1746" s="13"/>
      <c r="B1746" s="10"/>
      <c r="C1746" s="9"/>
      <c r="D1746" s="20"/>
      <c r="E1746" s="9">
        <f>IF($D1746="","",IFERROR(VLOOKUP($D1746,'Plan comptable'!$H:$I,2,FALSE),"compte hors plan"))</f>
      </c>
      <c r="F1746" s="9"/>
      <c r="G1746" s="10"/>
      <c r="H1746" s="11"/>
      <c r="I1746" s="11"/>
      <c r="J1746" s="10">
        <f>IF($D1746="","",IF(AND($H1746&lt;&gt;"",$I1746&lt;&gt;""),"débit ET crédit",IF(AND($H1746="",$I1746=""),"montant manquant",IF(ISNA(MATCH($D1746,'Plan comptable'!$H:$H,0)),"compte hors plan",IF(AND($A1746&lt;&gt;"",YEAR($A1746)&lt;&gt;Exercice),"hors exercice","")))))</f>
      </c>
    </row>
    <row r="1747">
      <c r="A1747" s="13"/>
      <c r="B1747" s="10"/>
      <c r="C1747" s="9"/>
      <c r="D1747" s="20"/>
      <c r="E1747" s="9">
        <f>IF($D1747="","",IFERROR(VLOOKUP($D1747,'Plan comptable'!$H:$I,2,FALSE),"compte hors plan"))</f>
      </c>
      <c r="F1747" s="9"/>
      <c r="G1747" s="10"/>
      <c r="H1747" s="11"/>
      <c r="I1747" s="11"/>
      <c r="J1747" s="10">
        <f>IF($D1747="","",IF(AND($H1747&lt;&gt;"",$I1747&lt;&gt;""),"débit ET crédit",IF(AND($H1747="",$I1747=""),"montant manquant",IF(ISNA(MATCH($D1747,'Plan comptable'!$H:$H,0)),"compte hors plan",IF(AND($A1747&lt;&gt;"",YEAR($A1747)&lt;&gt;Exercice),"hors exercice","")))))</f>
      </c>
    </row>
    <row r="1748">
      <c r="A1748" s="13"/>
      <c r="B1748" s="10"/>
      <c r="C1748" s="9"/>
      <c r="D1748" s="20"/>
      <c r="E1748" s="9">
        <f>IF($D1748="","",IFERROR(VLOOKUP($D1748,'Plan comptable'!$H:$I,2,FALSE),"compte hors plan"))</f>
      </c>
      <c r="F1748" s="9"/>
      <c r="G1748" s="10"/>
      <c r="H1748" s="11"/>
      <c r="I1748" s="11"/>
      <c r="J1748" s="10">
        <f>IF($D1748="","",IF(AND($H1748&lt;&gt;"",$I1748&lt;&gt;""),"débit ET crédit",IF(AND($H1748="",$I1748=""),"montant manquant",IF(ISNA(MATCH($D1748,'Plan comptable'!$H:$H,0)),"compte hors plan",IF(AND($A1748&lt;&gt;"",YEAR($A1748)&lt;&gt;Exercice),"hors exercice","")))))</f>
      </c>
    </row>
    <row r="1749">
      <c r="A1749" s="13"/>
      <c r="B1749" s="10"/>
      <c r="C1749" s="9"/>
      <c r="D1749" s="20"/>
      <c r="E1749" s="9">
        <f>IF($D1749="","",IFERROR(VLOOKUP($D1749,'Plan comptable'!$H:$I,2,FALSE),"compte hors plan"))</f>
      </c>
      <c r="F1749" s="9"/>
      <c r="G1749" s="10"/>
      <c r="H1749" s="11"/>
      <c r="I1749" s="11"/>
      <c r="J1749" s="10">
        <f>IF($D1749="","",IF(AND($H1749&lt;&gt;"",$I1749&lt;&gt;""),"débit ET crédit",IF(AND($H1749="",$I1749=""),"montant manquant",IF(ISNA(MATCH($D1749,'Plan comptable'!$H:$H,0)),"compte hors plan",IF(AND($A1749&lt;&gt;"",YEAR($A1749)&lt;&gt;Exercice),"hors exercice","")))))</f>
      </c>
    </row>
    <row r="1750">
      <c r="A1750" s="13"/>
      <c r="B1750" s="10"/>
      <c r="C1750" s="9"/>
      <c r="D1750" s="20"/>
      <c r="E1750" s="9">
        <f>IF($D1750="","",IFERROR(VLOOKUP($D1750,'Plan comptable'!$H:$I,2,FALSE),"compte hors plan"))</f>
      </c>
      <c r="F1750" s="9"/>
      <c r="G1750" s="10"/>
      <c r="H1750" s="11"/>
      <c r="I1750" s="11"/>
      <c r="J1750" s="10">
        <f>IF($D1750="","",IF(AND($H1750&lt;&gt;"",$I1750&lt;&gt;""),"débit ET crédit",IF(AND($H1750="",$I1750=""),"montant manquant",IF(ISNA(MATCH($D1750,'Plan comptable'!$H:$H,0)),"compte hors plan",IF(AND($A1750&lt;&gt;"",YEAR($A1750)&lt;&gt;Exercice),"hors exercice","")))))</f>
      </c>
    </row>
    <row r="1751">
      <c r="A1751" s="13"/>
      <c r="B1751" s="10"/>
      <c r="C1751" s="9"/>
      <c r="D1751" s="20"/>
      <c r="E1751" s="9">
        <f>IF($D1751="","",IFERROR(VLOOKUP($D1751,'Plan comptable'!$H:$I,2,FALSE),"compte hors plan"))</f>
      </c>
      <c r="F1751" s="9"/>
      <c r="G1751" s="10"/>
      <c r="H1751" s="11"/>
      <c r="I1751" s="11"/>
      <c r="J1751" s="10">
        <f>IF($D1751="","",IF(AND($H1751&lt;&gt;"",$I1751&lt;&gt;""),"débit ET crédit",IF(AND($H1751="",$I1751=""),"montant manquant",IF(ISNA(MATCH($D1751,'Plan comptable'!$H:$H,0)),"compte hors plan",IF(AND($A1751&lt;&gt;"",YEAR($A1751)&lt;&gt;Exercice),"hors exercice","")))))</f>
      </c>
    </row>
    <row r="1752">
      <c r="A1752" s="13"/>
      <c r="B1752" s="10"/>
      <c r="C1752" s="9"/>
      <c r="D1752" s="20"/>
      <c r="E1752" s="9">
        <f>IF($D1752="","",IFERROR(VLOOKUP($D1752,'Plan comptable'!$H:$I,2,FALSE),"compte hors plan"))</f>
      </c>
      <c r="F1752" s="9"/>
      <c r="G1752" s="10"/>
      <c r="H1752" s="11"/>
      <c r="I1752" s="11"/>
      <c r="J1752" s="10">
        <f>IF($D1752="","",IF(AND($H1752&lt;&gt;"",$I1752&lt;&gt;""),"débit ET crédit",IF(AND($H1752="",$I1752=""),"montant manquant",IF(ISNA(MATCH($D1752,'Plan comptable'!$H:$H,0)),"compte hors plan",IF(AND($A1752&lt;&gt;"",YEAR($A1752)&lt;&gt;Exercice),"hors exercice","")))))</f>
      </c>
    </row>
    <row r="1753">
      <c r="A1753" s="13"/>
      <c r="B1753" s="10"/>
      <c r="C1753" s="9"/>
      <c r="D1753" s="20"/>
      <c r="E1753" s="9">
        <f>IF($D1753="","",IFERROR(VLOOKUP($D1753,'Plan comptable'!$H:$I,2,FALSE),"compte hors plan"))</f>
      </c>
      <c r="F1753" s="9"/>
      <c r="G1753" s="10"/>
      <c r="H1753" s="11"/>
      <c r="I1753" s="11"/>
      <c r="J1753" s="10">
        <f>IF($D1753="","",IF(AND($H1753&lt;&gt;"",$I1753&lt;&gt;""),"débit ET crédit",IF(AND($H1753="",$I1753=""),"montant manquant",IF(ISNA(MATCH($D1753,'Plan comptable'!$H:$H,0)),"compte hors plan",IF(AND($A1753&lt;&gt;"",YEAR($A1753)&lt;&gt;Exercice),"hors exercice","")))))</f>
      </c>
    </row>
    <row r="1754">
      <c r="A1754" s="13"/>
      <c r="B1754" s="10"/>
      <c r="C1754" s="9"/>
      <c r="D1754" s="20"/>
      <c r="E1754" s="9">
        <f>IF($D1754="","",IFERROR(VLOOKUP($D1754,'Plan comptable'!$H:$I,2,FALSE),"compte hors plan"))</f>
      </c>
      <c r="F1754" s="9"/>
      <c r="G1754" s="10"/>
      <c r="H1754" s="11"/>
      <c r="I1754" s="11"/>
      <c r="J1754" s="10">
        <f>IF($D1754="","",IF(AND($H1754&lt;&gt;"",$I1754&lt;&gt;""),"débit ET crédit",IF(AND($H1754="",$I1754=""),"montant manquant",IF(ISNA(MATCH($D1754,'Plan comptable'!$H:$H,0)),"compte hors plan",IF(AND($A1754&lt;&gt;"",YEAR($A1754)&lt;&gt;Exercice),"hors exercice","")))))</f>
      </c>
    </row>
    <row r="1755">
      <c r="A1755" s="13"/>
      <c r="B1755" s="10"/>
      <c r="C1755" s="9"/>
      <c r="D1755" s="20"/>
      <c r="E1755" s="9">
        <f>IF($D1755="","",IFERROR(VLOOKUP($D1755,'Plan comptable'!$H:$I,2,FALSE),"compte hors plan"))</f>
      </c>
      <c r="F1755" s="9"/>
      <c r="G1755" s="10"/>
      <c r="H1755" s="11"/>
      <c r="I1755" s="11"/>
      <c r="J1755" s="10">
        <f>IF($D1755="","",IF(AND($H1755&lt;&gt;"",$I1755&lt;&gt;""),"débit ET crédit",IF(AND($H1755="",$I1755=""),"montant manquant",IF(ISNA(MATCH($D1755,'Plan comptable'!$H:$H,0)),"compte hors plan",IF(AND($A1755&lt;&gt;"",YEAR($A1755)&lt;&gt;Exercice),"hors exercice","")))))</f>
      </c>
    </row>
    <row r="1756">
      <c r="A1756" s="13"/>
      <c r="B1756" s="10"/>
      <c r="C1756" s="9"/>
      <c r="D1756" s="20"/>
      <c r="E1756" s="9">
        <f>IF($D1756="","",IFERROR(VLOOKUP($D1756,'Plan comptable'!$H:$I,2,FALSE),"compte hors plan"))</f>
      </c>
      <c r="F1756" s="9"/>
      <c r="G1756" s="10"/>
      <c r="H1756" s="11"/>
      <c r="I1756" s="11"/>
      <c r="J1756" s="10">
        <f>IF($D1756="","",IF(AND($H1756&lt;&gt;"",$I1756&lt;&gt;""),"débit ET crédit",IF(AND($H1756="",$I1756=""),"montant manquant",IF(ISNA(MATCH($D1756,'Plan comptable'!$H:$H,0)),"compte hors plan",IF(AND($A1756&lt;&gt;"",YEAR($A1756)&lt;&gt;Exercice),"hors exercice","")))))</f>
      </c>
    </row>
    <row r="1757">
      <c r="A1757" s="13"/>
      <c r="B1757" s="10"/>
      <c r="C1757" s="9"/>
      <c r="D1757" s="20"/>
      <c r="E1757" s="9">
        <f>IF($D1757="","",IFERROR(VLOOKUP($D1757,'Plan comptable'!$H:$I,2,FALSE),"compte hors plan"))</f>
      </c>
      <c r="F1757" s="9"/>
      <c r="G1757" s="10"/>
      <c r="H1757" s="11"/>
      <c r="I1757" s="11"/>
      <c r="J1757" s="10">
        <f>IF($D1757="","",IF(AND($H1757&lt;&gt;"",$I1757&lt;&gt;""),"débit ET crédit",IF(AND($H1757="",$I1757=""),"montant manquant",IF(ISNA(MATCH($D1757,'Plan comptable'!$H:$H,0)),"compte hors plan",IF(AND($A1757&lt;&gt;"",YEAR($A1757)&lt;&gt;Exercice),"hors exercice","")))))</f>
      </c>
    </row>
    <row r="1758">
      <c r="A1758" s="13"/>
      <c r="B1758" s="10"/>
      <c r="C1758" s="9"/>
      <c r="D1758" s="20"/>
      <c r="E1758" s="9">
        <f>IF($D1758="","",IFERROR(VLOOKUP($D1758,'Plan comptable'!$H:$I,2,FALSE),"compte hors plan"))</f>
      </c>
      <c r="F1758" s="9"/>
      <c r="G1758" s="10"/>
      <c r="H1758" s="11"/>
      <c r="I1758" s="11"/>
      <c r="J1758" s="10">
        <f>IF($D1758="","",IF(AND($H1758&lt;&gt;"",$I1758&lt;&gt;""),"débit ET crédit",IF(AND($H1758="",$I1758=""),"montant manquant",IF(ISNA(MATCH($D1758,'Plan comptable'!$H:$H,0)),"compte hors plan",IF(AND($A1758&lt;&gt;"",YEAR($A1758)&lt;&gt;Exercice),"hors exercice","")))))</f>
      </c>
    </row>
    <row r="1759">
      <c r="A1759" s="13"/>
      <c r="B1759" s="10"/>
      <c r="C1759" s="9"/>
      <c r="D1759" s="20"/>
      <c r="E1759" s="9">
        <f>IF($D1759="","",IFERROR(VLOOKUP($D1759,'Plan comptable'!$H:$I,2,FALSE),"compte hors plan"))</f>
      </c>
      <c r="F1759" s="9"/>
      <c r="G1759" s="10"/>
      <c r="H1759" s="11"/>
      <c r="I1759" s="11"/>
      <c r="J1759" s="10">
        <f>IF($D1759="","",IF(AND($H1759&lt;&gt;"",$I1759&lt;&gt;""),"débit ET crédit",IF(AND($H1759="",$I1759=""),"montant manquant",IF(ISNA(MATCH($D1759,'Plan comptable'!$H:$H,0)),"compte hors plan",IF(AND($A1759&lt;&gt;"",YEAR($A1759)&lt;&gt;Exercice),"hors exercice","")))))</f>
      </c>
    </row>
    <row r="1760">
      <c r="A1760" s="13"/>
      <c r="B1760" s="10"/>
      <c r="C1760" s="9"/>
      <c r="D1760" s="20"/>
      <c r="E1760" s="9">
        <f>IF($D1760="","",IFERROR(VLOOKUP($D1760,'Plan comptable'!$H:$I,2,FALSE),"compte hors plan"))</f>
      </c>
      <c r="F1760" s="9"/>
      <c r="G1760" s="10"/>
      <c r="H1760" s="11"/>
      <c r="I1760" s="11"/>
      <c r="J1760" s="10">
        <f>IF($D1760="","",IF(AND($H1760&lt;&gt;"",$I1760&lt;&gt;""),"débit ET crédit",IF(AND($H1760="",$I1760=""),"montant manquant",IF(ISNA(MATCH($D1760,'Plan comptable'!$H:$H,0)),"compte hors plan",IF(AND($A1760&lt;&gt;"",YEAR($A1760)&lt;&gt;Exercice),"hors exercice","")))))</f>
      </c>
    </row>
    <row r="1761">
      <c r="A1761" s="13"/>
      <c r="B1761" s="10"/>
      <c r="C1761" s="9"/>
      <c r="D1761" s="20"/>
      <c r="E1761" s="9">
        <f>IF($D1761="","",IFERROR(VLOOKUP($D1761,'Plan comptable'!$H:$I,2,FALSE),"compte hors plan"))</f>
      </c>
      <c r="F1761" s="9"/>
      <c r="G1761" s="10"/>
      <c r="H1761" s="11"/>
      <c r="I1761" s="11"/>
      <c r="J1761" s="10">
        <f>IF($D1761="","",IF(AND($H1761&lt;&gt;"",$I1761&lt;&gt;""),"débit ET crédit",IF(AND($H1761="",$I1761=""),"montant manquant",IF(ISNA(MATCH($D1761,'Plan comptable'!$H:$H,0)),"compte hors plan",IF(AND($A1761&lt;&gt;"",YEAR($A1761)&lt;&gt;Exercice),"hors exercice","")))))</f>
      </c>
    </row>
    <row r="1762">
      <c r="A1762" s="13"/>
      <c r="B1762" s="10"/>
      <c r="C1762" s="9"/>
      <c r="D1762" s="20"/>
      <c r="E1762" s="9">
        <f>IF($D1762="","",IFERROR(VLOOKUP($D1762,'Plan comptable'!$H:$I,2,FALSE),"compte hors plan"))</f>
      </c>
      <c r="F1762" s="9"/>
      <c r="G1762" s="10"/>
      <c r="H1762" s="11"/>
      <c r="I1762" s="11"/>
      <c r="J1762" s="10">
        <f>IF($D1762="","",IF(AND($H1762&lt;&gt;"",$I1762&lt;&gt;""),"débit ET crédit",IF(AND($H1762="",$I1762=""),"montant manquant",IF(ISNA(MATCH($D1762,'Plan comptable'!$H:$H,0)),"compte hors plan",IF(AND($A1762&lt;&gt;"",YEAR($A1762)&lt;&gt;Exercice),"hors exercice","")))))</f>
      </c>
    </row>
    <row r="1763">
      <c r="A1763" s="13"/>
      <c r="B1763" s="10"/>
      <c r="C1763" s="9"/>
      <c r="D1763" s="20"/>
      <c r="E1763" s="9">
        <f>IF($D1763="","",IFERROR(VLOOKUP($D1763,'Plan comptable'!$H:$I,2,FALSE),"compte hors plan"))</f>
      </c>
      <c r="F1763" s="9"/>
      <c r="G1763" s="10"/>
      <c r="H1763" s="11"/>
      <c r="I1763" s="11"/>
      <c r="J1763" s="10">
        <f>IF($D1763="","",IF(AND($H1763&lt;&gt;"",$I1763&lt;&gt;""),"débit ET crédit",IF(AND($H1763="",$I1763=""),"montant manquant",IF(ISNA(MATCH($D1763,'Plan comptable'!$H:$H,0)),"compte hors plan",IF(AND($A1763&lt;&gt;"",YEAR($A1763)&lt;&gt;Exercice),"hors exercice","")))))</f>
      </c>
    </row>
    <row r="1764">
      <c r="A1764" s="13"/>
      <c r="B1764" s="10"/>
      <c r="C1764" s="9"/>
      <c r="D1764" s="20"/>
      <c r="E1764" s="9">
        <f>IF($D1764="","",IFERROR(VLOOKUP($D1764,'Plan comptable'!$H:$I,2,FALSE),"compte hors plan"))</f>
      </c>
      <c r="F1764" s="9"/>
      <c r="G1764" s="10"/>
      <c r="H1764" s="11"/>
      <c r="I1764" s="11"/>
      <c r="J1764" s="10">
        <f>IF($D1764="","",IF(AND($H1764&lt;&gt;"",$I1764&lt;&gt;""),"débit ET crédit",IF(AND($H1764="",$I1764=""),"montant manquant",IF(ISNA(MATCH($D1764,'Plan comptable'!$H:$H,0)),"compte hors plan",IF(AND($A1764&lt;&gt;"",YEAR($A1764)&lt;&gt;Exercice),"hors exercice","")))))</f>
      </c>
    </row>
    <row r="1765">
      <c r="A1765" s="13"/>
      <c r="B1765" s="10"/>
      <c r="C1765" s="9"/>
      <c r="D1765" s="20"/>
      <c r="E1765" s="9">
        <f>IF($D1765="","",IFERROR(VLOOKUP($D1765,'Plan comptable'!$H:$I,2,FALSE),"compte hors plan"))</f>
      </c>
      <c r="F1765" s="9"/>
      <c r="G1765" s="10"/>
      <c r="H1765" s="11"/>
      <c r="I1765" s="11"/>
      <c r="J1765" s="10">
        <f>IF($D1765="","",IF(AND($H1765&lt;&gt;"",$I1765&lt;&gt;""),"débit ET crédit",IF(AND($H1765="",$I1765=""),"montant manquant",IF(ISNA(MATCH($D1765,'Plan comptable'!$H:$H,0)),"compte hors plan",IF(AND($A1765&lt;&gt;"",YEAR($A1765)&lt;&gt;Exercice),"hors exercice","")))))</f>
      </c>
    </row>
    <row r="1766">
      <c r="A1766" s="13"/>
      <c r="B1766" s="10"/>
      <c r="C1766" s="9"/>
      <c r="D1766" s="20"/>
      <c r="E1766" s="9">
        <f>IF($D1766="","",IFERROR(VLOOKUP($D1766,'Plan comptable'!$H:$I,2,FALSE),"compte hors plan"))</f>
      </c>
      <c r="F1766" s="9"/>
      <c r="G1766" s="10"/>
      <c r="H1766" s="11"/>
      <c r="I1766" s="11"/>
      <c r="J1766" s="10">
        <f>IF($D1766="","",IF(AND($H1766&lt;&gt;"",$I1766&lt;&gt;""),"débit ET crédit",IF(AND($H1766="",$I1766=""),"montant manquant",IF(ISNA(MATCH($D1766,'Plan comptable'!$H:$H,0)),"compte hors plan",IF(AND($A1766&lt;&gt;"",YEAR($A1766)&lt;&gt;Exercice),"hors exercice","")))))</f>
      </c>
    </row>
    <row r="1767">
      <c r="A1767" s="13"/>
      <c r="B1767" s="10"/>
      <c r="C1767" s="9"/>
      <c r="D1767" s="20"/>
      <c r="E1767" s="9">
        <f>IF($D1767="","",IFERROR(VLOOKUP($D1767,'Plan comptable'!$H:$I,2,FALSE),"compte hors plan"))</f>
      </c>
      <c r="F1767" s="9"/>
      <c r="G1767" s="10"/>
      <c r="H1767" s="11"/>
      <c r="I1767" s="11"/>
      <c r="J1767" s="10">
        <f>IF($D1767="","",IF(AND($H1767&lt;&gt;"",$I1767&lt;&gt;""),"débit ET crédit",IF(AND($H1767="",$I1767=""),"montant manquant",IF(ISNA(MATCH($D1767,'Plan comptable'!$H:$H,0)),"compte hors plan",IF(AND($A1767&lt;&gt;"",YEAR($A1767)&lt;&gt;Exercice),"hors exercice","")))))</f>
      </c>
    </row>
    <row r="1768">
      <c r="A1768" s="13"/>
      <c r="B1768" s="10"/>
      <c r="C1768" s="9"/>
      <c r="D1768" s="20"/>
      <c r="E1768" s="9">
        <f>IF($D1768="","",IFERROR(VLOOKUP($D1768,'Plan comptable'!$H:$I,2,FALSE),"compte hors plan"))</f>
      </c>
      <c r="F1768" s="9"/>
      <c r="G1768" s="10"/>
      <c r="H1768" s="11"/>
      <c r="I1768" s="11"/>
      <c r="J1768" s="10">
        <f>IF($D1768="","",IF(AND($H1768&lt;&gt;"",$I1768&lt;&gt;""),"débit ET crédit",IF(AND($H1768="",$I1768=""),"montant manquant",IF(ISNA(MATCH($D1768,'Plan comptable'!$H:$H,0)),"compte hors plan",IF(AND($A1768&lt;&gt;"",YEAR($A1768)&lt;&gt;Exercice),"hors exercice","")))))</f>
      </c>
    </row>
    <row r="1769">
      <c r="A1769" s="13"/>
      <c r="B1769" s="10"/>
      <c r="C1769" s="9"/>
      <c r="D1769" s="20"/>
      <c r="E1769" s="9">
        <f>IF($D1769="","",IFERROR(VLOOKUP($D1769,'Plan comptable'!$H:$I,2,FALSE),"compte hors plan"))</f>
      </c>
      <c r="F1769" s="9"/>
      <c r="G1769" s="10"/>
      <c r="H1769" s="11"/>
      <c r="I1769" s="11"/>
      <c r="J1769" s="10">
        <f>IF($D1769="","",IF(AND($H1769&lt;&gt;"",$I1769&lt;&gt;""),"débit ET crédit",IF(AND($H1769="",$I1769=""),"montant manquant",IF(ISNA(MATCH($D1769,'Plan comptable'!$H:$H,0)),"compte hors plan",IF(AND($A1769&lt;&gt;"",YEAR($A1769)&lt;&gt;Exercice),"hors exercice","")))))</f>
      </c>
    </row>
    <row r="1770">
      <c r="A1770" s="13"/>
      <c r="B1770" s="10"/>
      <c r="C1770" s="9"/>
      <c r="D1770" s="20"/>
      <c r="E1770" s="9">
        <f>IF($D1770="","",IFERROR(VLOOKUP($D1770,'Plan comptable'!$H:$I,2,FALSE),"compte hors plan"))</f>
      </c>
      <c r="F1770" s="9"/>
      <c r="G1770" s="10"/>
      <c r="H1770" s="11"/>
      <c r="I1770" s="11"/>
      <c r="J1770" s="10">
        <f>IF($D1770="","",IF(AND($H1770&lt;&gt;"",$I1770&lt;&gt;""),"débit ET crédit",IF(AND($H1770="",$I1770=""),"montant manquant",IF(ISNA(MATCH($D1770,'Plan comptable'!$H:$H,0)),"compte hors plan",IF(AND($A1770&lt;&gt;"",YEAR($A1770)&lt;&gt;Exercice),"hors exercice","")))))</f>
      </c>
    </row>
    <row r="1771">
      <c r="A1771" s="13"/>
      <c r="B1771" s="10"/>
      <c r="C1771" s="9"/>
      <c r="D1771" s="20"/>
      <c r="E1771" s="9">
        <f>IF($D1771="","",IFERROR(VLOOKUP($D1771,'Plan comptable'!$H:$I,2,FALSE),"compte hors plan"))</f>
      </c>
      <c r="F1771" s="9"/>
      <c r="G1771" s="10"/>
      <c r="H1771" s="11"/>
      <c r="I1771" s="11"/>
      <c r="J1771" s="10">
        <f>IF($D1771="","",IF(AND($H1771&lt;&gt;"",$I1771&lt;&gt;""),"débit ET crédit",IF(AND($H1771="",$I1771=""),"montant manquant",IF(ISNA(MATCH($D1771,'Plan comptable'!$H:$H,0)),"compte hors plan",IF(AND($A1771&lt;&gt;"",YEAR($A1771)&lt;&gt;Exercice),"hors exercice","")))))</f>
      </c>
    </row>
    <row r="1772">
      <c r="A1772" s="13"/>
      <c r="B1772" s="10"/>
      <c r="C1772" s="9"/>
      <c r="D1772" s="20"/>
      <c r="E1772" s="9">
        <f>IF($D1772="","",IFERROR(VLOOKUP($D1772,'Plan comptable'!$H:$I,2,FALSE),"compte hors plan"))</f>
      </c>
      <c r="F1772" s="9"/>
      <c r="G1772" s="10"/>
      <c r="H1772" s="11"/>
      <c r="I1772" s="11"/>
      <c r="J1772" s="10">
        <f>IF($D1772="","",IF(AND($H1772&lt;&gt;"",$I1772&lt;&gt;""),"débit ET crédit",IF(AND($H1772="",$I1772=""),"montant manquant",IF(ISNA(MATCH($D1772,'Plan comptable'!$H:$H,0)),"compte hors plan",IF(AND($A1772&lt;&gt;"",YEAR($A1772)&lt;&gt;Exercice),"hors exercice","")))))</f>
      </c>
    </row>
    <row r="1773">
      <c r="A1773" s="13"/>
      <c r="B1773" s="10"/>
      <c r="C1773" s="9"/>
      <c r="D1773" s="20"/>
      <c r="E1773" s="9">
        <f>IF($D1773="","",IFERROR(VLOOKUP($D1773,'Plan comptable'!$H:$I,2,FALSE),"compte hors plan"))</f>
      </c>
      <c r="F1773" s="9"/>
      <c r="G1773" s="10"/>
      <c r="H1773" s="11"/>
      <c r="I1773" s="11"/>
      <c r="J1773" s="10">
        <f>IF($D1773="","",IF(AND($H1773&lt;&gt;"",$I1773&lt;&gt;""),"débit ET crédit",IF(AND($H1773="",$I1773=""),"montant manquant",IF(ISNA(MATCH($D1773,'Plan comptable'!$H:$H,0)),"compte hors plan",IF(AND($A1773&lt;&gt;"",YEAR($A1773)&lt;&gt;Exercice),"hors exercice","")))))</f>
      </c>
    </row>
    <row r="1774">
      <c r="A1774" s="13"/>
      <c r="B1774" s="10"/>
      <c r="C1774" s="9"/>
      <c r="D1774" s="20"/>
      <c r="E1774" s="9">
        <f>IF($D1774="","",IFERROR(VLOOKUP($D1774,'Plan comptable'!$H:$I,2,FALSE),"compte hors plan"))</f>
      </c>
      <c r="F1774" s="9"/>
      <c r="G1774" s="10"/>
      <c r="H1774" s="11"/>
      <c r="I1774" s="11"/>
      <c r="J1774" s="10">
        <f>IF($D1774="","",IF(AND($H1774&lt;&gt;"",$I1774&lt;&gt;""),"débit ET crédit",IF(AND($H1774="",$I1774=""),"montant manquant",IF(ISNA(MATCH($D1774,'Plan comptable'!$H:$H,0)),"compte hors plan",IF(AND($A1774&lt;&gt;"",YEAR($A1774)&lt;&gt;Exercice),"hors exercice","")))))</f>
      </c>
    </row>
    <row r="1775">
      <c r="A1775" s="13"/>
      <c r="B1775" s="10"/>
      <c r="C1775" s="9"/>
      <c r="D1775" s="20"/>
      <c r="E1775" s="9">
        <f>IF($D1775="","",IFERROR(VLOOKUP($D1775,'Plan comptable'!$H:$I,2,FALSE),"compte hors plan"))</f>
      </c>
      <c r="F1775" s="9"/>
      <c r="G1775" s="10"/>
      <c r="H1775" s="11"/>
      <c r="I1775" s="11"/>
      <c r="J1775" s="10">
        <f>IF($D1775="","",IF(AND($H1775&lt;&gt;"",$I1775&lt;&gt;""),"débit ET crédit",IF(AND($H1775="",$I1775=""),"montant manquant",IF(ISNA(MATCH($D1775,'Plan comptable'!$H:$H,0)),"compte hors plan",IF(AND($A1775&lt;&gt;"",YEAR($A1775)&lt;&gt;Exercice),"hors exercice","")))))</f>
      </c>
    </row>
    <row r="1776">
      <c r="A1776" s="13"/>
      <c r="B1776" s="10"/>
      <c r="C1776" s="9"/>
      <c r="D1776" s="20"/>
      <c r="E1776" s="9">
        <f>IF($D1776="","",IFERROR(VLOOKUP($D1776,'Plan comptable'!$H:$I,2,FALSE),"compte hors plan"))</f>
      </c>
      <c r="F1776" s="9"/>
      <c r="G1776" s="10"/>
      <c r="H1776" s="11"/>
      <c r="I1776" s="11"/>
      <c r="J1776" s="10">
        <f>IF($D1776="","",IF(AND($H1776&lt;&gt;"",$I1776&lt;&gt;""),"débit ET crédit",IF(AND($H1776="",$I1776=""),"montant manquant",IF(ISNA(MATCH($D1776,'Plan comptable'!$H:$H,0)),"compte hors plan",IF(AND($A1776&lt;&gt;"",YEAR($A1776)&lt;&gt;Exercice),"hors exercice","")))))</f>
      </c>
    </row>
    <row r="1777">
      <c r="A1777" s="13"/>
      <c r="B1777" s="10"/>
      <c r="C1777" s="9"/>
      <c r="D1777" s="20"/>
      <c r="E1777" s="9">
        <f>IF($D1777="","",IFERROR(VLOOKUP($D1777,'Plan comptable'!$H:$I,2,FALSE),"compte hors plan"))</f>
      </c>
      <c r="F1777" s="9"/>
      <c r="G1777" s="10"/>
      <c r="H1777" s="11"/>
      <c r="I1777" s="11"/>
      <c r="J1777" s="10">
        <f>IF($D1777="","",IF(AND($H1777&lt;&gt;"",$I1777&lt;&gt;""),"débit ET crédit",IF(AND($H1777="",$I1777=""),"montant manquant",IF(ISNA(MATCH($D1777,'Plan comptable'!$H:$H,0)),"compte hors plan",IF(AND($A1777&lt;&gt;"",YEAR($A1777)&lt;&gt;Exercice),"hors exercice","")))))</f>
      </c>
    </row>
    <row r="1778">
      <c r="A1778" s="13"/>
      <c r="B1778" s="10"/>
      <c r="C1778" s="9"/>
      <c r="D1778" s="20"/>
      <c r="E1778" s="9">
        <f>IF($D1778="","",IFERROR(VLOOKUP($D1778,'Plan comptable'!$H:$I,2,FALSE),"compte hors plan"))</f>
      </c>
      <c r="F1778" s="9"/>
      <c r="G1778" s="10"/>
      <c r="H1778" s="11"/>
      <c r="I1778" s="11"/>
      <c r="J1778" s="10">
        <f>IF($D1778="","",IF(AND($H1778&lt;&gt;"",$I1778&lt;&gt;""),"débit ET crédit",IF(AND($H1778="",$I1778=""),"montant manquant",IF(ISNA(MATCH($D1778,'Plan comptable'!$H:$H,0)),"compte hors plan",IF(AND($A1778&lt;&gt;"",YEAR($A1778)&lt;&gt;Exercice),"hors exercice","")))))</f>
      </c>
    </row>
    <row r="1779">
      <c r="A1779" s="13"/>
      <c r="B1779" s="10"/>
      <c r="C1779" s="9"/>
      <c r="D1779" s="20"/>
      <c r="E1779" s="9">
        <f>IF($D1779="","",IFERROR(VLOOKUP($D1779,'Plan comptable'!$H:$I,2,FALSE),"compte hors plan"))</f>
      </c>
      <c r="F1779" s="9"/>
      <c r="G1779" s="10"/>
      <c r="H1779" s="11"/>
      <c r="I1779" s="11"/>
      <c r="J1779" s="10">
        <f>IF($D1779="","",IF(AND($H1779&lt;&gt;"",$I1779&lt;&gt;""),"débit ET crédit",IF(AND($H1779="",$I1779=""),"montant manquant",IF(ISNA(MATCH($D1779,'Plan comptable'!$H:$H,0)),"compte hors plan",IF(AND($A1779&lt;&gt;"",YEAR($A1779)&lt;&gt;Exercice),"hors exercice","")))))</f>
      </c>
    </row>
    <row r="1780">
      <c r="A1780" s="13"/>
      <c r="B1780" s="10"/>
      <c r="C1780" s="9"/>
      <c r="D1780" s="20"/>
      <c r="E1780" s="9">
        <f>IF($D1780="","",IFERROR(VLOOKUP($D1780,'Plan comptable'!$H:$I,2,FALSE),"compte hors plan"))</f>
      </c>
      <c r="F1780" s="9"/>
      <c r="G1780" s="10"/>
      <c r="H1780" s="11"/>
      <c r="I1780" s="11"/>
      <c r="J1780" s="10">
        <f>IF($D1780="","",IF(AND($H1780&lt;&gt;"",$I1780&lt;&gt;""),"débit ET crédit",IF(AND($H1780="",$I1780=""),"montant manquant",IF(ISNA(MATCH($D1780,'Plan comptable'!$H:$H,0)),"compte hors plan",IF(AND($A1780&lt;&gt;"",YEAR($A1780)&lt;&gt;Exercice),"hors exercice","")))))</f>
      </c>
    </row>
    <row r="1781">
      <c r="A1781" s="13"/>
      <c r="B1781" s="10"/>
      <c r="C1781" s="9"/>
      <c r="D1781" s="20"/>
      <c r="E1781" s="9">
        <f>IF($D1781="","",IFERROR(VLOOKUP($D1781,'Plan comptable'!$H:$I,2,FALSE),"compte hors plan"))</f>
      </c>
      <c r="F1781" s="9"/>
      <c r="G1781" s="10"/>
      <c r="H1781" s="11"/>
      <c r="I1781" s="11"/>
      <c r="J1781" s="10">
        <f>IF($D1781="","",IF(AND($H1781&lt;&gt;"",$I1781&lt;&gt;""),"débit ET crédit",IF(AND($H1781="",$I1781=""),"montant manquant",IF(ISNA(MATCH($D1781,'Plan comptable'!$H:$H,0)),"compte hors plan",IF(AND($A1781&lt;&gt;"",YEAR($A1781)&lt;&gt;Exercice),"hors exercice","")))))</f>
      </c>
    </row>
    <row r="1782">
      <c r="A1782" s="13"/>
      <c r="B1782" s="10"/>
      <c r="C1782" s="9"/>
      <c r="D1782" s="20"/>
      <c r="E1782" s="9">
        <f>IF($D1782="","",IFERROR(VLOOKUP($D1782,'Plan comptable'!$H:$I,2,FALSE),"compte hors plan"))</f>
      </c>
      <c r="F1782" s="9"/>
      <c r="G1782" s="10"/>
      <c r="H1782" s="11"/>
      <c r="I1782" s="11"/>
      <c r="J1782" s="10">
        <f>IF($D1782="","",IF(AND($H1782&lt;&gt;"",$I1782&lt;&gt;""),"débit ET crédit",IF(AND($H1782="",$I1782=""),"montant manquant",IF(ISNA(MATCH($D1782,'Plan comptable'!$H:$H,0)),"compte hors plan",IF(AND($A1782&lt;&gt;"",YEAR($A1782)&lt;&gt;Exercice),"hors exercice","")))))</f>
      </c>
    </row>
    <row r="1783">
      <c r="A1783" s="13"/>
      <c r="B1783" s="10"/>
      <c r="C1783" s="9"/>
      <c r="D1783" s="20"/>
      <c r="E1783" s="9">
        <f>IF($D1783="","",IFERROR(VLOOKUP($D1783,'Plan comptable'!$H:$I,2,FALSE),"compte hors plan"))</f>
      </c>
      <c r="F1783" s="9"/>
      <c r="G1783" s="10"/>
      <c r="H1783" s="11"/>
      <c r="I1783" s="11"/>
      <c r="J1783" s="10">
        <f>IF($D1783="","",IF(AND($H1783&lt;&gt;"",$I1783&lt;&gt;""),"débit ET crédit",IF(AND($H1783="",$I1783=""),"montant manquant",IF(ISNA(MATCH($D1783,'Plan comptable'!$H:$H,0)),"compte hors plan",IF(AND($A1783&lt;&gt;"",YEAR($A1783)&lt;&gt;Exercice),"hors exercice","")))))</f>
      </c>
    </row>
    <row r="1784">
      <c r="A1784" s="13"/>
      <c r="B1784" s="10"/>
      <c r="C1784" s="9"/>
      <c r="D1784" s="20"/>
      <c r="E1784" s="9">
        <f>IF($D1784="","",IFERROR(VLOOKUP($D1784,'Plan comptable'!$H:$I,2,FALSE),"compte hors plan"))</f>
      </c>
      <c r="F1784" s="9"/>
      <c r="G1784" s="10"/>
      <c r="H1784" s="11"/>
      <c r="I1784" s="11"/>
      <c r="J1784" s="10">
        <f>IF($D1784="","",IF(AND($H1784&lt;&gt;"",$I1784&lt;&gt;""),"débit ET crédit",IF(AND($H1784="",$I1784=""),"montant manquant",IF(ISNA(MATCH($D1784,'Plan comptable'!$H:$H,0)),"compte hors plan",IF(AND($A1784&lt;&gt;"",YEAR($A1784)&lt;&gt;Exercice),"hors exercice","")))))</f>
      </c>
    </row>
    <row r="1785">
      <c r="A1785" s="13"/>
      <c r="B1785" s="10"/>
      <c r="C1785" s="9"/>
      <c r="D1785" s="20"/>
      <c r="E1785" s="9">
        <f>IF($D1785="","",IFERROR(VLOOKUP($D1785,'Plan comptable'!$H:$I,2,FALSE),"compte hors plan"))</f>
      </c>
      <c r="F1785" s="9"/>
      <c r="G1785" s="10"/>
      <c r="H1785" s="11"/>
      <c r="I1785" s="11"/>
      <c r="J1785" s="10">
        <f>IF($D1785="","",IF(AND($H1785&lt;&gt;"",$I1785&lt;&gt;""),"débit ET crédit",IF(AND($H1785="",$I1785=""),"montant manquant",IF(ISNA(MATCH($D1785,'Plan comptable'!$H:$H,0)),"compte hors plan",IF(AND($A1785&lt;&gt;"",YEAR($A1785)&lt;&gt;Exercice),"hors exercice","")))))</f>
      </c>
    </row>
    <row r="1786">
      <c r="A1786" s="13"/>
      <c r="B1786" s="10"/>
      <c r="C1786" s="9"/>
      <c r="D1786" s="20"/>
      <c r="E1786" s="9">
        <f>IF($D1786="","",IFERROR(VLOOKUP($D1786,'Plan comptable'!$H:$I,2,FALSE),"compte hors plan"))</f>
      </c>
      <c r="F1786" s="9"/>
      <c r="G1786" s="10"/>
      <c r="H1786" s="11"/>
      <c r="I1786" s="11"/>
      <c r="J1786" s="10">
        <f>IF($D1786="","",IF(AND($H1786&lt;&gt;"",$I1786&lt;&gt;""),"débit ET crédit",IF(AND($H1786="",$I1786=""),"montant manquant",IF(ISNA(MATCH($D1786,'Plan comptable'!$H:$H,0)),"compte hors plan",IF(AND($A1786&lt;&gt;"",YEAR($A1786)&lt;&gt;Exercice),"hors exercice","")))))</f>
      </c>
    </row>
    <row r="1787">
      <c r="A1787" s="13"/>
      <c r="B1787" s="10"/>
      <c r="C1787" s="9"/>
      <c r="D1787" s="20"/>
      <c r="E1787" s="9">
        <f>IF($D1787="","",IFERROR(VLOOKUP($D1787,'Plan comptable'!$H:$I,2,FALSE),"compte hors plan"))</f>
      </c>
      <c r="F1787" s="9"/>
      <c r="G1787" s="10"/>
      <c r="H1787" s="11"/>
      <c r="I1787" s="11"/>
      <c r="J1787" s="10">
        <f>IF($D1787="","",IF(AND($H1787&lt;&gt;"",$I1787&lt;&gt;""),"débit ET crédit",IF(AND($H1787="",$I1787=""),"montant manquant",IF(ISNA(MATCH($D1787,'Plan comptable'!$H:$H,0)),"compte hors plan",IF(AND($A1787&lt;&gt;"",YEAR($A1787)&lt;&gt;Exercice),"hors exercice","")))))</f>
      </c>
    </row>
    <row r="1788">
      <c r="A1788" s="13"/>
      <c r="B1788" s="10"/>
      <c r="C1788" s="9"/>
      <c r="D1788" s="20"/>
      <c r="E1788" s="9">
        <f>IF($D1788="","",IFERROR(VLOOKUP($D1788,'Plan comptable'!$H:$I,2,FALSE),"compte hors plan"))</f>
      </c>
      <c r="F1788" s="9"/>
      <c r="G1788" s="10"/>
      <c r="H1788" s="11"/>
      <c r="I1788" s="11"/>
      <c r="J1788" s="10">
        <f>IF($D1788="","",IF(AND($H1788&lt;&gt;"",$I1788&lt;&gt;""),"débit ET crédit",IF(AND($H1788="",$I1788=""),"montant manquant",IF(ISNA(MATCH($D1788,'Plan comptable'!$H:$H,0)),"compte hors plan",IF(AND($A1788&lt;&gt;"",YEAR($A1788)&lt;&gt;Exercice),"hors exercice","")))))</f>
      </c>
    </row>
    <row r="1789">
      <c r="A1789" s="13"/>
      <c r="B1789" s="10"/>
      <c r="C1789" s="9"/>
      <c r="D1789" s="20"/>
      <c r="E1789" s="9">
        <f>IF($D1789="","",IFERROR(VLOOKUP($D1789,'Plan comptable'!$H:$I,2,FALSE),"compte hors plan"))</f>
      </c>
      <c r="F1789" s="9"/>
      <c r="G1789" s="10"/>
      <c r="H1789" s="11"/>
      <c r="I1789" s="11"/>
      <c r="J1789" s="10">
        <f>IF($D1789="","",IF(AND($H1789&lt;&gt;"",$I1789&lt;&gt;""),"débit ET crédit",IF(AND($H1789="",$I1789=""),"montant manquant",IF(ISNA(MATCH($D1789,'Plan comptable'!$H:$H,0)),"compte hors plan",IF(AND($A1789&lt;&gt;"",YEAR($A1789)&lt;&gt;Exercice),"hors exercice","")))))</f>
      </c>
    </row>
    <row r="1790">
      <c r="A1790" s="13"/>
      <c r="B1790" s="10"/>
      <c r="C1790" s="9"/>
      <c r="D1790" s="20"/>
      <c r="E1790" s="9">
        <f>IF($D1790="","",IFERROR(VLOOKUP($D1790,'Plan comptable'!$H:$I,2,FALSE),"compte hors plan"))</f>
      </c>
      <c r="F1790" s="9"/>
      <c r="G1790" s="10"/>
      <c r="H1790" s="11"/>
      <c r="I1790" s="11"/>
      <c r="J1790" s="10">
        <f>IF($D1790="","",IF(AND($H1790&lt;&gt;"",$I1790&lt;&gt;""),"débit ET crédit",IF(AND($H1790="",$I1790=""),"montant manquant",IF(ISNA(MATCH($D1790,'Plan comptable'!$H:$H,0)),"compte hors plan",IF(AND($A1790&lt;&gt;"",YEAR($A1790)&lt;&gt;Exercice),"hors exercice","")))))</f>
      </c>
    </row>
    <row r="1791">
      <c r="A1791" s="13"/>
      <c r="B1791" s="10"/>
      <c r="C1791" s="9"/>
      <c r="D1791" s="20"/>
      <c r="E1791" s="9">
        <f>IF($D1791="","",IFERROR(VLOOKUP($D1791,'Plan comptable'!$H:$I,2,FALSE),"compte hors plan"))</f>
      </c>
      <c r="F1791" s="9"/>
      <c r="G1791" s="10"/>
      <c r="H1791" s="11"/>
      <c r="I1791" s="11"/>
      <c r="J1791" s="10">
        <f>IF($D1791="","",IF(AND($H1791&lt;&gt;"",$I1791&lt;&gt;""),"débit ET crédit",IF(AND($H1791="",$I1791=""),"montant manquant",IF(ISNA(MATCH($D1791,'Plan comptable'!$H:$H,0)),"compte hors plan",IF(AND($A1791&lt;&gt;"",YEAR($A1791)&lt;&gt;Exercice),"hors exercice","")))))</f>
      </c>
    </row>
    <row r="1792">
      <c r="A1792" s="13"/>
      <c r="B1792" s="10"/>
      <c r="C1792" s="9"/>
      <c r="D1792" s="20"/>
      <c r="E1792" s="9">
        <f>IF($D1792="","",IFERROR(VLOOKUP($D1792,'Plan comptable'!$H:$I,2,FALSE),"compte hors plan"))</f>
      </c>
      <c r="F1792" s="9"/>
      <c r="G1792" s="10"/>
      <c r="H1792" s="11"/>
      <c r="I1792" s="11"/>
      <c r="J1792" s="10">
        <f>IF($D1792="","",IF(AND($H1792&lt;&gt;"",$I1792&lt;&gt;""),"débit ET crédit",IF(AND($H1792="",$I1792=""),"montant manquant",IF(ISNA(MATCH($D1792,'Plan comptable'!$H:$H,0)),"compte hors plan",IF(AND($A1792&lt;&gt;"",YEAR($A1792)&lt;&gt;Exercice),"hors exercice","")))))</f>
      </c>
    </row>
    <row r="1793">
      <c r="A1793" s="13"/>
      <c r="B1793" s="10"/>
      <c r="C1793" s="9"/>
      <c r="D1793" s="20"/>
      <c r="E1793" s="9">
        <f>IF($D1793="","",IFERROR(VLOOKUP($D1793,'Plan comptable'!$H:$I,2,FALSE),"compte hors plan"))</f>
      </c>
      <c r="F1793" s="9"/>
      <c r="G1793" s="10"/>
      <c r="H1793" s="11"/>
      <c r="I1793" s="11"/>
      <c r="J1793" s="10">
        <f>IF($D1793="","",IF(AND($H1793&lt;&gt;"",$I1793&lt;&gt;""),"débit ET crédit",IF(AND($H1793="",$I1793=""),"montant manquant",IF(ISNA(MATCH($D1793,'Plan comptable'!$H:$H,0)),"compte hors plan",IF(AND($A1793&lt;&gt;"",YEAR($A1793)&lt;&gt;Exercice),"hors exercice","")))))</f>
      </c>
    </row>
    <row r="1794">
      <c r="A1794" s="13"/>
      <c r="B1794" s="10"/>
      <c r="C1794" s="9"/>
      <c r="D1794" s="20"/>
      <c r="E1794" s="9">
        <f>IF($D1794="","",IFERROR(VLOOKUP($D1794,'Plan comptable'!$H:$I,2,FALSE),"compte hors plan"))</f>
      </c>
      <c r="F1794" s="9"/>
      <c r="G1794" s="10"/>
      <c r="H1794" s="11"/>
      <c r="I1794" s="11"/>
      <c r="J1794" s="10">
        <f>IF($D1794="","",IF(AND($H1794&lt;&gt;"",$I1794&lt;&gt;""),"débit ET crédit",IF(AND($H1794="",$I1794=""),"montant manquant",IF(ISNA(MATCH($D1794,'Plan comptable'!$H:$H,0)),"compte hors plan",IF(AND($A1794&lt;&gt;"",YEAR($A1794)&lt;&gt;Exercice),"hors exercice","")))))</f>
      </c>
    </row>
    <row r="1795">
      <c r="A1795" s="13"/>
      <c r="B1795" s="10"/>
      <c r="C1795" s="9"/>
      <c r="D1795" s="20"/>
      <c r="E1795" s="9">
        <f>IF($D1795="","",IFERROR(VLOOKUP($D1795,'Plan comptable'!$H:$I,2,FALSE),"compte hors plan"))</f>
      </c>
      <c r="F1795" s="9"/>
      <c r="G1795" s="10"/>
      <c r="H1795" s="11"/>
      <c r="I1795" s="11"/>
      <c r="J1795" s="10">
        <f>IF($D1795="","",IF(AND($H1795&lt;&gt;"",$I1795&lt;&gt;""),"débit ET crédit",IF(AND($H1795="",$I1795=""),"montant manquant",IF(ISNA(MATCH($D1795,'Plan comptable'!$H:$H,0)),"compte hors plan",IF(AND($A1795&lt;&gt;"",YEAR($A1795)&lt;&gt;Exercice),"hors exercice","")))))</f>
      </c>
    </row>
    <row r="1796">
      <c r="A1796" s="13"/>
      <c r="B1796" s="10"/>
      <c r="C1796" s="9"/>
      <c r="D1796" s="20"/>
      <c r="E1796" s="9">
        <f>IF($D1796="","",IFERROR(VLOOKUP($D1796,'Plan comptable'!$H:$I,2,FALSE),"compte hors plan"))</f>
      </c>
      <c r="F1796" s="9"/>
      <c r="G1796" s="10"/>
      <c r="H1796" s="11"/>
      <c r="I1796" s="11"/>
      <c r="J1796" s="10">
        <f>IF($D1796="","",IF(AND($H1796&lt;&gt;"",$I1796&lt;&gt;""),"débit ET crédit",IF(AND($H1796="",$I1796=""),"montant manquant",IF(ISNA(MATCH($D1796,'Plan comptable'!$H:$H,0)),"compte hors plan",IF(AND($A1796&lt;&gt;"",YEAR($A1796)&lt;&gt;Exercice),"hors exercice","")))))</f>
      </c>
    </row>
    <row r="1797">
      <c r="A1797" s="13"/>
      <c r="B1797" s="10"/>
      <c r="C1797" s="9"/>
      <c r="D1797" s="20"/>
      <c r="E1797" s="9">
        <f>IF($D1797="","",IFERROR(VLOOKUP($D1797,'Plan comptable'!$H:$I,2,FALSE),"compte hors plan"))</f>
      </c>
      <c r="F1797" s="9"/>
      <c r="G1797" s="10"/>
      <c r="H1797" s="11"/>
      <c r="I1797" s="11"/>
      <c r="J1797" s="10">
        <f>IF($D1797="","",IF(AND($H1797&lt;&gt;"",$I1797&lt;&gt;""),"débit ET crédit",IF(AND($H1797="",$I1797=""),"montant manquant",IF(ISNA(MATCH($D1797,'Plan comptable'!$H:$H,0)),"compte hors plan",IF(AND($A1797&lt;&gt;"",YEAR($A1797)&lt;&gt;Exercice),"hors exercice","")))))</f>
      </c>
    </row>
    <row r="1798">
      <c r="A1798" s="13"/>
      <c r="B1798" s="10"/>
      <c r="C1798" s="9"/>
      <c r="D1798" s="20"/>
      <c r="E1798" s="9">
        <f>IF($D1798="","",IFERROR(VLOOKUP($D1798,'Plan comptable'!$H:$I,2,FALSE),"compte hors plan"))</f>
      </c>
      <c r="F1798" s="9"/>
      <c r="G1798" s="10"/>
      <c r="H1798" s="11"/>
      <c r="I1798" s="11"/>
      <c r="J1798" s="10">
        <f>IF($D1798="","",IF(AND($H1798&lt;&gt;"",$I1798&lt;&gt;""),"débit ET crédit",IF(AND($H1798="",$I1798=""),"montant manquant",IF(ISNA(MATCH($D1798,'Plan comptable'!$H:$H,0)),"compte hors plan",IF(AND($A1798&lt;&gt;"",YEAR($A1798)&lt;&gt;Exercice),"hors exercice","")))))</f>
      </c>
    </row>
    <row r="1799">
      <c r="A1799" s="13"/>
      <c r="B1799" s="10"/>
      <c r="C1799" s="9"/>
      <c r="D1799" s="20"/>
      <c r="E1799" s="9">
        <f>IF($D1799="","",IFERROR(VLOOKUP($D1799,'Plan comptable'!$H:$I,2,FALSE),"compte hors plan"))</f>
      </c>
      <c r="F1799" s="9"/>
      <c r="G1799" s="10"/>
      <c r="H1799" s="11"/>
      <c r="I1799" s="11"/>
      <c r="J1799" s="10">
        <f>IF($D1799="","",IF(AND($H1799&lt;&gt;"",$I1799&lt;&gt;""),"débit ET crédit",IF(AND($H1799="",$I1799=""),"montant manquant",IF(ISNA(MATCH($D1799,'Plan comptable'!$H:$H,0)),"compte hors plan",IF(AND($A1799&lt;&gt;"",YEAR($A1799)&lt;&gt;Exercice),"hors exercice","")))))</f>
      </c>
    </row>
    <row r="1800">
      <c r="A1800" s="13"/>
      <c r="B1800" s="10"/>
      <c r="C1800" s="9"/>
      <c r="D1800" s="20"/>
      <c r="E1800" s="9">
        <f>IF($D1800="","",IFERROR(VLOOKUP($D1800,'Plan comptable'!$H:$I,2,FALSE),"compte hors plan"))</f>
      </c>
      <c r="F1800" s="9"/>
      <c r="G1800" s="10"/>
      <c r="H1800" s="11"/>
      <c r="I1800" s="11"/>
      <c r="J1800" s="10">
        <f>IF($D1800="","",IF(AND($H1800&lt;&gt;"",$I1800&lt;&gt;""),"débit ET crédit",IF(AND($H1800="",$I1800=""),"montant manquant",IF(ISNA(MATCH($D1800,'Plan comptable'!$H:$H,0)),"compte hors plan",IF(AND($A1800&lt;&gt;"",YEAR($A1800)&lt;&gt;Exercice),"hors exercice","")))))</f>
      </c>
    </row>
    <row r="1801">
      <c r="A1801" s="13"/>
      <c r="B1801" s="10"/>
      <c r="C1801" s="9"/>
      <c r="D1801" s="20"/>
      <c r="E1801" s="9">
        <f>IF($D1801="","",IFERROR(VLOOKUP($D1801,'Plan comptable'!$H:$I,2,FALSE),"compte hors plan"))</f>
      </c>
      <c r="F1801" s="9"/>
      <c r="G1801" s="10"/>
      <c r="H1801" s="11"/>
      <c r="I1801" s="11"/>
      <c r="J1801" s="10">
        <f>IF($D1801="","",IF(AND($H1801&lt;&gt;"",$I1801&lt;&gt;""),"débit ET crédit",IF(AND($H1801="",$I1801=""),"montant manquant",IF(ISNA(MATCH($D1801,'Plan comptable'!$H:$H,0)),"compte hors plan",IF(AND($A1801&lt;&gt;"",YEAR($A1801)&lt;&gt;Exercice),"hors exercice","")))))</f>
      </c>
    </row>
    <row r="1802">
      <c r="A1802" s="13"/>
      <c r="B1802" s="10"/>
      <c r="C1802" s="9"/>
      <c r="D1802" s="20"/>
      <c r="E1802" s="9">
        <f>IF($D1802="","",IFERROR(VLOOKUP($D1802,'Plan comptable'!$H:$I,2,FALSE),"compte hors plan"))</f>
      </c>
      <c r="F1802" s="9"/>
      <c r="G1802" s="10"/>
      <c r="H1802" s="11"/>
      <c r="I1802" s="11"/>
      <c r="J1802" s="10">
        <f>IF($D1802="","",IF(AND($H1802&lt;&gt;"",$I1802&lt;&gt;""),"débit ET crédit",IF(AND($H1802="",$I1802=""),"montant manquant",IF(ISNA(MATCH($D1802,'Plan comptable'!$H:$H,0)),"compte hors plan",IF(AND($A1802&lt;&gt;"",YEAR($A1802)&lt;&gt;Exercice),"hors exercice","")))))</f>
      </c>
    </row>
    <row r="1803">
      <c r="A1803" s="13"/>
      <c r="B1803" s="10"/>
      <c r="C1803" s="9"/>
      <c r="D1803" s="20"/>
      <c r="E1803" s="9">
        <f>IF($D1803="","",IFERROR(VLOOKUP($D1803,'Plan comptable'!$H:$I,2,FALSE),"compte hors plan"))</f>
      </c>
      <c r="F1803" s="9"/>
      <c r="G1803" s="10"/>
      <c r="H1803" s="11"/>
      <c r="I1803" s="11"/>
      <c r="J1803" s="10">
        <f>IF($D1803="","",IF(AND($H1803&lt;&gt;"",$I1803&lt;&gt;""),"débit ET crédit",IF(AND($H1803="",$I1803=""),"montant manquant",IF(ISNA(MATCH($D1803,'Plan comptable'!$H:$H,0)),"compte hors plan",IF(AND($A1803&lt;&gt;"",YEAR($A1803)&lt;&gt;Exercice),"hors exercice","")))))</f>
      </c>
    </row>
    <row r="1804">
      <c r="A1804" s="13"/>
      <c r="B1804" s="10"/>
      <c r="C1804" s="9"/>
      <c r="D1804" s="20"/>
      <c r="E1804" s="9">
        <f>IF($D1804="","",IFERROR(VLOOKUP($D1804,'Plan comptable'!$H:$I,2,FALSE),"compte hors plan"))</f>
      </c>
      <c r="F1804" s="9"/>
      <c r="G1804" s="10"/>
      <c r="H1804" s="11"/>
      <c r="I1804" s="11"/>
      <c r="J1804" s="10">
        <f>IF($D1804="","",IF(AND($H1804&lt;&gt;"",$I1804&lt;&gt;""),"débit ET crédit",IF(AND($H1804="",$I1804=""),"montant manquant",IF(ISNA(MATCH($D1804,'Plan comptable'!$H:$H,0)),"compte hors plan",IF(AND($A1804&lt;&gt;"",YEAR($A1804)&lt;&gt;Exercice),"hors exercice","")))))</f>
      </c>
    </row>
    <row r="1805">
      <c r="A1805" s="13"/>
      <c r="B1805" s="10"/>
      <c r="C1805" s="9"/>
      <c r="D1805" s="20"/>
      <c r="E1805" s="9">
        <f>IF($D1805="","",IFERROR(VLOOKUP($D1805,'Plan comptable'!$H:$I,2,FALSE),"compte hors plan"))</f>
      </c>
      <c r="F1805" s="9"/>
      <c r="G1805" s="10"/>
      <c r="H1805" s="11"/>
      <c r="I1805" s="11"/>
      <c r="J1805" s="10">
        <f>IF($D1805="","",IF(AND($H1805&lt;&gt;"",$I1805&lt;&gt;""),"débit ET crédit",IF(AND($H1805="",$I1805=""),"montant manquant",IF(ISNA(MATCH($D1805,'Plan comptable'!$H:$H,0)),"compte hors plan",IF(AND($A1805&lt;&gt;"",YEAR($A1805)&lt;&gt;Exercice),"hors exercice","")))))</f>
      </c>
    </row>
    <row r="1806">
      <c r="A1806" s="13"/>
      <c r="B1806" s="10"/>
      <c r="C1806" s="9"/>
      <c r="D1806" s="20"/>
      <c r="E1806" s="9">
        <f>IF($D1806="","",IFERROR(VLOOKUP($D1806,'Plan comptable'!$H:$I,2,FALSE),"compte hors plan"))</f>
      </c>
      <c r="F1806" s="9"/>
      <c r="G1806" s="10"/>
      <c r="H1806" s="11"/>
      <c r="I1806" s="11"/>
      <c r="J1806" s="10">
        <f>IF($D1806="","",IF(AND($H1806&lt;&gt;"",$I1806&lt;&gt;""),"débit ET crédit",IF(AND($H1806="",$I1806=""),"montant manquant",IF(ISNA(MATCH($D1806,'Plan comptable'!$H:$H,0)),"compte hors plan",IF(AND($A1806&lt;&gt;"",YEAR($A1806)&lt;&gt;Exercice),"hors exercice","")))))</f>
      </c>
    </row>
    <row r="1807">
      <c r="A1807" s="13"/>
      <c r="B1807" s="10"/>
      <c r="C1807" s="9"/>
      <c r="D1807" s="20"/>
      <c r="E1807" s="9">
        <f>IF($D1807="","",IFERROR(VLOOKUP($D1807,'Plan comptable'!$H:$I,2,FALSE),"compte hors plan"))</f>
      </c>
      <c r="F1807" s="9"/>
      <c r="G1807" s="10"/>
      <c r="H1807" s="11"/>
      <c r="I1807" s="11"/>
      <c r="J1807" s="10">
        <f>IF($D1807="","",IF(AND($H1807&lt;&gt;"",$I1807&lt;&gt;""),"débit ET crédit",IF(AND($H1807="",$I1807=""),"montant manquant",IF(ISNA(MATCH($D1807,'Plan comptable'!$H:$H,0)),"compte hors plan",IF(AND($A1807&lt;&gt;"",YEAR($A1807)&lt;&gt;Exercice),"hors exercice","")))))</f>
      </c>
    </row>
    <row r="1808">
      <c r="A1808" s="13"/>
      <c r="B1808" s="10"/>
      <c r="C1808" s="9"/>
      <c r="D1808" s="20"/>
      <c r="E1808" s="9">
        <f>IF($D1808="","",IFERROR(VLOOKUP($D1808,'Plan comptable'!$H:$I,2,FALSE),"compte hors plan"))</f>
      </c>
      <c r="F1808" s="9"/>
      <c r="G1808" s="10"/>
      <c r="H1808" s="11"/>
      <c r="I1808" s="11"/>
      <c r="J1808" s="10">
        <f>IF($D1808="","",IF(AND($H1808&lt;&gt;"",$I1808&lt;&gt;""),"débit ET crédit",IF(AND($H1808="",$I1808=""),"montant manquant",IF(ISNA(MATCH($D1808,'Plan comptable'!$H:$H,0)),"compte hors plan",IF(AND($A1808&lt;&gt;"",YEAR($A1808)&lt;&gt;Exercice),"hors exercice","")))))</f>
      </c>
    </row>
    <row r="1809">
      <c r="A1809" s="13"/>
      <c r="B1809" s="10"/>
      <c r="C1809" s="9"/>
      <c r="D1809" s="20"/>
      <c r="E1809" s="9">
        <f>IF($D1809="","",IFERROR(VLOOKUP($D1809,'Plan comptable'!$H:$I,2,FALSE),"compte hors plan"))</f>
      </c>
      <c r="F1809" s="9"/>
      <c r="G1809" s="10"/>
      <c r="H1809" s="11"/>
      <c r="I1809" s="11"/>
      <c r="J1809" s="10">
        <f>IF($D1809="","",IF(AND($H1809&lt;&gt;"",$I1809&lt;&gt;""),"débit ET crédit",IF(AND($H1809="",$I1809=""),"montant manquant",IF(ISNA(MATCH($D1809,'Plan comptable'!$H:$H,0)),"compte hors plan",IF(AND($A1809&lt;&gt;"",YEAR($A1809)&lt;&gt;Exercice),"hors exercice","")))))</f>
      </c>
    </row>
    <row r="1810">
      <c r="A1810" s="13"/>
      <c r="B1810" s="10"/>
      <c r="C1810" s="9"/>
      <c r="D1810" s="20"/>
      <c r="E1810" s="9">
        <f>IF($D1810="","",IFERROR(VLOOKUP($D1810,'Plan comptable'!$H:$I,2,FALSE),"compte hors plan"))</f>
      </c>
      <c r="F1810" s="9"/>
      <c r="G1810" s="10"/>
      <c r="H1810" s="11"/>
      <c r="I1810" s="11"/>
      <c r="J1810" s="10">
        <f>IF($D1810="","",IF(AND($H1810&lt;&gt;"",$I1810&lt;&gt;""),"débit ET crédit",IF(AND($H1810="",$I1810=""),"montant manquant",IF(ISNA(MATCH($D1810,'Plan comptable'!$H:$H,0)),"compte hors plan",IF(AND($A1810&lt;&gt;"",YEAR($A1810)&lt;&gt;Exercice),"hors exercice","")))))</f>
      </c>
    </row>
    <row r="1811">
      <c r="A1811" s="13"/>
      <c r="B1811" s="10"/>
      <c r="C1811" s="9"/>
      <c r="D1811" s="20"/>
      <c r="E1811" s="9">
        <f>IF($D1811="","",IFERROR(VLOOKUP($D1811,'Plan comptable'!$H:$I,2,FALSE),"compte hors plan"))</f>
      </c>
      <c r="F1811" s="9"/>
      <c r="G1811" s="10"/>
      <c r="H1811" s="11"/>
      <c r="I1811" s="11"/>
      <c r="J1811" s="10">
        <f>IF($D1811="","",IF(AND($H1811&lt;&gt;"",$I1811&lt;&gt;""),"débit ET crédit",IF(AND($H1811="",$I1811=""),"montant manquant",IF(ISNA(MATCH($D1811,'Plan comptable'!$H:$H,0)),"compte hors plan",IF(AND($A1811&lt;&gt;"",YEAR($A1811)&lt;&gt;Exercice),"hors exercice","")))))</f>
      </c>
    </row>
    <row r="1812">
      <c r="A1812" s="13"/>
      <c r="B1812" s="10"/>
      <c r="C1812" s="9"/>
      <c r="D1812" s="20"/>
      <c r="E1812" s="9">
        <f>IF($D1812="","",IFERROR(VLOOKUP($D1812,'Plan comptable'!$H:$I,2,FALSE),"compte hors plan"))</f>
      </c>
      <c r="F1812" s="9"/>
      <c r="G1812" s="10"/>
      <c r="H1812" s="11"/>
      <c r="I1812" s="11"/>
      <c r="J1812" s="10">
        <f>IF($D1812="","",IF(AND($H1812&lt;&gt;"",$I1812&lt;&gt;""),"débit ET crédit",IF(AND($H1812="",$I1812=""),"montant manquant",IF(ISNA(MATCH($D1812,'Plan comptable'!$H:$H,0)),"compte hors plan",IF(AND($A1812&lt;&gt;"",YEAR($A1812)&lt;&gt;Exercice),"hors exercice","")))))</f>
      </c>
    </row>
    <row r="1813">
      <c r="A1813" s="13"/>
      <c r="B1813" s="10"/>
      <c r="C1813" s="9"/>
      <c r="D1813" s="20"/>
      <c r="E1813" s="9">
        <f>IF($D1813="","",IFERROR(VLOOKUP($D1813,'Plan comptable'!$H:$I,2,FALSE),"compte hors plan"))</f>
      </c>
      <c r="F1813" s="9"/>
      <c r="G1813" s="10"/>
      <c r="H1813" s="11"/>
      <c r="I1813" s="11"/>
      <c r="J1813" s="10">
        <f>IF($D1813="","",IF(AND($H1813&lt;&gt;"",$I1813&lt;&gt;""),"débit ET crédit",IF(AND($H1813="",$I1813=""),"montant manquant",IF(ISNA(MATCH($D1813,'Plan comptable'!$H:$H,0)),"compte hors plan",IF(AND($A1813&lt;&gt;"",YEAR($A1813)&lt;&gt;Exercice),"hors exercice","")))))</f>
      </c>
    </row>
    <row r="1814">
      <c r="A1814" s="13"/>
      <c r="B1814" s="10"/>
      <c r="C1814" s="9"/>
      <c r="D1814" s="20"/>
      <c r="E1814" s="9">
        <f>IF($D1814="","",IFERROR(VLOOKUP($D1814,'Plan comptable'!$H:$I,2,FALSE),"compte hors plan"))</f>
      </c>
      <c r="F1814" s="9"/>
      <c r="G1814" s="10"/>
      <c r="H1814" s="11"/>
      <c r="I1814" s="11"/>
      <c r="J1814" s="10">
        <f>IF($D1814="","",IF(AND($H1814&lt;&gt;"",$I1814&lt;&gt;""),"débit ET crédit",IF(AND($H1814="",$I1814=""),"montant manquant",IF(ISNA(MATCH($D1814,'Plan comptable'!$H:$H,0)),"compte hors plan",IF(AND($A1814&lt;&gt;"",YEAR($A1814)&lt;&gt;Exercice),"hors exercice","")))))</f>
      </c>
    </row>
    <row r="1815">
      <c r="A1815" s="13"/>
      <c r="B1815" s="10"/>
      <c r="C1815" s="9"/>
      <c r="D1815" s="20"/>
      <c r="E1815" s="9">
        <f>IF($D1815="","",IFERROR(VLOOKUP($D1815,'Plan comptable'!$H:$I,2,FALSE),"compte hors plan"))</f>
      </c>
      <c r="F1815" s="9"/>
      <c r="G1815" s="10"/>
      <c r="H1815" s="11"/>
      <c r="I1815" s="11"/>
      <c r="J1815" s="10">
        <f>IF($D1815="","",IF(AND($H1815&lt;&gt;"",$I1815&lt;&gt;""),"débit ET crédit",IF(AND($H1815="",$I1815=""),"montant manquant",IF(ISNA(MATCH($D1815,'Plan comptable'!$H:$H,0)),"compte hors plan",IF(AND($A1815&lt;&gt;"",YEAR($A1815)&lt;&gt;Exercice),"hors exercice","")))))</f>
      </c>
    </row>
    <row r="1816">
      <c r="A1816" s="13"/>
      <c r="B1816" s="10"/>
      <c r="C1816" s="9"/>
      <c r="D1816" s="20"/>
      <c r="E1816" s="9">
        <f>IF($D1816="","",IFERROR(VLOOKUP($D1816,'Plan comptable'!$H:$I,2,FALSE),"compte hors plan"))</f>
      </c>
      <c r="F1816" s="9"/>
      <c r="G1816" s="10"/>
      <c r="H1816" s="11"/>
      <c r="I1816" s="11"/>
      <c r="J1816" s="10">
        <f>IF($D1816="","",IF(AND($H1816&lt;&gt;"",$I1816&lt;&gt;""),"débit ET crédit",IF(AND($H1816="",$I1816=""),"montant manquant",IF(ISNA(MATCH($D1816,'Plan comptable'!$H:$H,0)),"compte hors plan",IF(AND($A1816&lt;&gt;"",YEAR($A1816)&lt;&gt;Exercice),"hors exercice","")))))</f>
      </c>
    </row>
    <row r="1817">
      <c r="A1817" s="13"/>
      <c r="B1817" s="10"/>
      <c r="C1817" s="9"/>
      <c r="D1817" s="20"/>
      <c r="E1817" s="9">
        <f>IF($D1817="","",IFERROR(VLOOKUP($D1817,'Plan comptable'!$H:$I,2,FALSE),"compte hors plan"))</f>
      </c>
      <c r="F1817" s="9"/>
      <c r="G1817" s="10"/>
      <c r="H1817" s="11"/>
      <c r="I1817" s="11"/>
      <c r="J1817" s="10">
        <f>IF($D1817="","",IF(AND($H1817&lt;&gt;"",$I1817&lt;&gt;""),"débit ET crédit",IF(AND($H1817="",$I1817=""),"montant manquant",IF(ISNA(MATCH($D1817,'Plan comptable'!$H:$H,0)),"compte hors plan",IF(AND($A1817&lt;&gt;"",YEAR($A1817)&lt;&gt;Exercice),"hors exercice","")))))</f>
      </c>
    </row>
    <row r="1818">
      <c r="A1818" s="13"/>
      <c r="B1818" s="10"/>
      <c r="C1818" s="9"/>
      <c r="D1818" s="20"/>
      <c r="E1818" s="9">
        <f>IF($D1818="","",IFERROR(VLOOKUP($D1818,'Plan comptable'!$H:$I,2,FALSE),"compte hors plan"))</f>
      </c>
      <c r="F1818" s="9"/>
      <c r="G1818" s="10"/>
      <c r="H1818" s="11"/>
      <c r="I1818" s="11"/>
      <c r="J1818" s="10">
        <f>IF($D1818="","",IF(AND($H1818&lt;&gt;"",$I1818&lt;&gt;""),"débit ET crédit",IF(AND($H1818="",$I1818=""),"montant manquant",IF(ISNA(MATCH($D1818,'Plan comptable'!$H:$H,0)),"compte hors plan",IF(AND($A1818&lt;&gt;"",YEAR($A1818)&lt;&gt;Exercice),"hors exercice","")))))</f>
      </c>
    </row>
    <row r="1819">
      <c r="A1819" s="13"/>
      <c r="B1819" s="10"/>
      <c r="C1819" s="9"/>
      <c r="D1819" s="20"/>
      <c r="E1819" s="9">
        <f>IF($D1819="","",IFERROR(VLOOKUP($D1819,'Plan comptable'!$H:$I,2,FALSE),"compte hors plan"))</f>
      </c>
      <c r="F1819" s="9"/>
      <c r="G1819" s="10"/>
      <c r="H1819" s="11"/>
      <c r="I1819" s="11"/>
      <c r="J1819" s="10">
        <f>IF($D1819="","",IF(AND($H1819&lt;&gt;"",$I1819&lt;&gt;""),"débit ET crédit",IF(AND($H1819="",$I1819=""),"montant manquant",IF(ISNA(MATCH($D1819,'Plan comptable'!$H:$H,0)),"compte hors plan",IF(AND($A1819&lt;&gt;"",YEAR($A1819)&lt;&gt;Exercice),"hors exercice","")))))</f>
      </c>
    </row>
    <row r="1820">
      <c r="A1820" s="13"/>
      <c r="B1820" s="10"/>
      <c r="C1820" s="9"/>
      <c r="D1820" s="20"/>
      <c r="E1820" s="9">
        <f>IF($D1820="","",IFERROR(VLOOKUP($D1820,'Plan comptable'!$H:$I,2,FALSE),"compte hors plan"))</f>
      </c>
      <c r="F1820" s="9"/>
      <c r="G1820" s="10"/>
      <c r="H1820" s="11"/>
      <c r="I1820" s="11"/>
      <c r="J1820" s="10">
        <f>IF($D1820="","",IF(AND($H1820&lt;&gt;"",$I1820&lt;&gt;""),"débit ET crédit",IF(AND($H1820="",$I1820=""),"montant manquant",IF(ISNA(MATCH($D1820,'Plan comptable'!$H:$H,0)),"compte hors plan",IF(AND($A1820&lt;&gt;"",YEAR($A1820)&lt;&gt;Exercice),"hors exercice","")))))</f>
      </c>
    </row>
    <row r="1821">
      <c r="A1821" s="13"/>
      <c r="B1821" s="10"/>
      <c r="C1821" s="9"/>
      <c r="D1821" s="20"/>
      <c r="E1821" s="9">
        <f>IF($D1821="","",IFERROR(VLOOKUP($D1821,'Plan comptable'!$H:$I,2,FALSE),"compte hors plan"))</f>
      </c>
      <c r="F1821" s="9"/>
      <c r="G1821" s="10"/>
      <c r="H1821" s="11"/>
      <c r="I1821" s="11"/>
      <c r="J1821" s="10">
        <f>IF($D1821="","",IF(AND($H1821&lt;&gt;"",$I1821&lt;&gt;""),"débit ET crédit",IF(AND($H1821="",$I1821=""),"montant manquant",IF(ISNA(MATCH($D1821,'Plan comptable'!$H:$H,0)),"compte hors plan",IF(AND($A1821&lt;&gt;"",YEAR($A1821)&lt;&gt;Exercice),"hors exercice","")))))</f>
      </c>
    </row>
    <row r="1822">
      <c r="A1822" s="13"/>
      <c r="B1822" s="10"/>
      <c r="C1822" s="9"/>
      <c r="D1822" s="20"/>
      <c r="E1822" s="9">
        <f>IF($D1822="","",IFERROR(VLOOKUP($D1822,'Plan comptable'!$H:$I,2,FALSE),"compte hors plan"))</f>
      </c>
      <c r="F1822" s="9"/>
      <c r="G1822" s="10"/>
      <c r="H1822" s="11"/>
      <c r="I1822" s="11"/>
      <c r="J1822" s="10">
        <f>IF($D1822="","",IF(AND($H1822&lt;&gt;"",$I1822&lt;&gt;""),"débit ET crédit",IF(AND($H1822="",$I1822=""),"montant manquant",IF(ISNA(MATCH($D1822,'Plan comptable'!$H:$H,0)),"compte hors plan",IF(AND($A1822&lt;&gt;"",YEAR($A1822)&lt;&gt;Exercice),"hors exercice","")))))</f>
      </c>
    </row>
    <row r="1823">
      <c r="A1823" s="13"/>
      <c r="B1823" s="10"/>
      <c r="C1823" s="9"/>
      <c r="D1823" s="20"/>
      <c r="E1823" s="9">
        <f>IF($D1823="","",IFERROR(VLOOKUP($D1823,'Plan comptable'!$H:$I,2,FALSE),"compte hors plan"))</f>
      </c>
      <c r="F1823" s="9"/>
      <c r="G1823" s="10"/>
      <c r="H1823" s="11"/>
      <c r="I1823" s="11"/>
      <c r="J1823" s="10">
        <f>IF($D1823="","",IF(AND($H1823&lt;&gt;"",$I1823&lt;&gt;""),"débit ET crédit",IF(AND($H1823="",$I1823=""),"montant manquant",IF(ISNA(MATCH($D1823,'Plan comptable'!$H:$H,0)),"compte hors plan",IF(AND($A1823&lt;&gt;"",YEAR($A1823)&lt;&gt;Exercice),"hors exercice","")))))</f>
      </c>
    </row>
    <row r="1824">
      <c r="A1824" s="13"/>
      <c r="B1824" s="10"/>
      <c r="C1824" s="9"/>
      <c r="D1824" s="20"/>
      <c r="E1824" s="9">
        <f>IF($D1824="","",IFERROR(VLOOKUP($D1824,'Plan comptable'!$H:$I,2,FALSE),"compte hors plan"))</f>
      </c>
      <c r="F1824" s="9"/>
      <c r="G1824" s="10"/>
      <c r="H1824" s="11"/>
      <c r="I1824" s="11"/>
      <c r="J1824" s="10">
        <f>IF($D1824="","",IF(AND($H1824&lt;&gt;"",$I1824&lt;&gt;""),"débit ET crédit",IF(AND($H1824="",$I1824=""),"montant manquant",IF(ISNA(MATCH($D1824,'Plan comptable'!$H:$H,0)),"compte hors plan",IF(AND($A1824&lt;&gt;"",YEAR($A1824)&lt;&gt;Exercice),"hors exercice","")))))</f>
      </c>
    </row>
    <row r="1825">
      <c r="A1825" s="13"/>
      <c r="B1825" s="10"/>
      <c r="C1825" s="9"/>
      <c r="D1825" s="20"/>
      <c r="E1825" s="9">
        <f>IF($D1825="","",IFERROR(VLOOKUP($D1825,'Plan comptable'!$H:$I,2,FALSE),"compte hors plan"))</f>
      </c>
      <c r="F1825" s="9"/>
      <c r="G1825" s="10"/>
      <c r="H1825" s="11"/>
      <c r="I1825" s="11"/>
      <c r="J1825" s="10">
        <f>IF($D1825="","",IF(AND($H1825&lt;&gt;"",$I1825&lt;&gt;""),"débit ET crédit",IF(AND($H1825="",$I1825=""),"montant manquant",IF(ISNA(MATCH($D1825,'Plan comptable'!$H:$H,0)),"compte hors plan",IF(AND($A1825&lt;&gt;"",YEAR($A1825)&lt;&gt;Exercice),"hors exercice","")))))</f>
      </c>
    </row>
    <row r="1826">
      <c r="A1826" s="13"/>
      <c r="B1826" s="10"/>
      <c r="C1826" s="9"/>
      <c r="D1826" s="20"/>
      <c r="E1826" s="9">
        <f>IF($D1826="","",IFERROR(VLOOKUP($D1826,'Plan comptable'!$H:$I,2,FALSE),"compte hors plan"))</f>
      </c>
      <c r="F1826" s="9"/>
      <c r="G1826" s="10"/>
      <c r="H1826" s="11"/>
      <c r="I1826" s="11"/>
      <c r="J1826" s="10">
        <f>IF($D1826="","",IF(AND($H1826&lt;&gt;"",$I1826&lt;&gt;""),"débit ET crédit",IF(AND($H1826="",$I1826=""),"montant manquant",IF(ISNA(MATCH($D1826,'Plan comptable'!$H:$H,0)),"compte hors plan",IF(AND($A1826&lt;&gt;"",YEAR($A1826)&lt;&gt;Exercice),"hors exercice","")))))</f>
      </c>
    </row>
    <row r="1827">
      <c r="A1827" s="13"/>
      <c r="B1827" s="10"/>
      <c r="C1827" s="9"/>
      <c r="D1827" s="20"/>
      <c r="E1827" s="9">
        <f>IF($D1827="","",IFERROR(VLOOKUP($D1827,'Plan comptable'!$H:$I,2,FALSE),"compte hors plan"))</f>
      </c>
      <c r="F1827" s="9"/>
      <c r="G1827" s="10"/>
      <c r="H1827" s="11"/>
      <c r="I1827" s="11"/>
      <c r="J1827" s="10">
        <f>IF($D1827="","",IF(AND($H1827&lt;&gt;"",$I1827&lt;&gt;""),"débit ET crédit",IF(AND($H1827="",$I1827=""),"montant manquant",IF(ISNA(MATCH($D1827,'Plan comptable'!$H:$H,0)),"compte hors plan",IF(AND($A1827&lt;&gt;"",YEAR($A1827)&lt;&gt;Exercice),"hors exercice","")))))</f>
      </c>
    </row>
    <row r="1828">
      <c r="A1828" s="13"/>
      <c r="B1828" s="10"/>
      <c r="C1828" s="9"/>
      <c r="D1828" s="20"/>
      <c r="E1828" s="9">
        <f>IF($D1828="","",IFERROR(VLOOKUP($D1828,'Plan comptable'!$H:$I,2,FALSE),"compte hors plan"))</f>
      </c>
      <c r="F1828" s="9"/>
      <c r="G1828" s="10"/>
      <c r="H1828" s="11"/>
      <c r="I1828" s="11"/>
      <c r="J1828" s="10">
        <f>IF($D1828="","",IF(AND($H1828&lt;&gt;"",$I1828&lt;&gt;""),"débit ET crédit",IF(AND($H1828="",$I1828=""),"montant manquant",IF(ISNA(MATCH($D1828,'Plan comptable'!$H:$H,0)),"compte hors plan",IF(AND($A1828&lt;&gt;"",YEAR($A1828)&lt;&gt;Exercice),"hors exercice","")))))</f>
      </c>
    </row>
    <row r="1829">
      <c r="A1829" s="13"/>
      <c r="B1829" s="10"/>
      <c r="C1829" s="9"/>
      <c r="D1829" s="20"/>
      <c r="E1829" s="9">
        <f>IF($D1829="","",IFERROR(VLOOKUP($D1829,'Plan comptable'!$H:$I,2,FALSE),"compte hors plan"))</f>
      </c>
      <c r="F1829" s="9"/>
      <c r="G1829" s="10"/>
      <c r="H1829" s="11"/>
      <c r="I1829" s="11"/>
      <c r="J1829" s="10">
        <f>IF($D1829="","",IF(AND($H1829&lt;&gt;"",$I1829&lt;&gt;""),"débit ET crédit",IF(AND($H1829="",$I1829=""),"montant manquant",IF(ISNA(MATCH($D1829,'Plan comptable'!$H:$H,0)),"compte hors plan",IF(AND($A1829&lt;&gt;"",YEAR($A1829)&lt;&gt;Exercice),"hors exercice","")))))</f>
      </c>
    </row>
    <row r="1830">
      <c r="A1830" s="13"/>
      <c r="B1830" s="10"/>
      <c r="C1830" s="9"/>
      <c r="D1830" s="20"/>
      <c r="E1830" s="9">
        <f>IF($D1830="","",IFERROR(VLOOKUP($D1830,'Plan comptable'!$H:$I,2,FALSE),"compte hors plan"))</f>
      </c>
      <c r="F1830" s="9"/>
      <c r="G1830" s="10"/>
      <c r="H1830" s="11"/>
      <c r="I1830" s="11"/>
      <c r="J1830" s="10">
        <f>IF($D1830="","",IF(AND($H1830&lt;&gt;"",$I1830&lt;&gt;""),"débit ET crédit",IF(AND($H1830="",$I1830=""),"montant manquant",IF(ISNA(MATCH($D1830,'Plan comptable'!$H:$H,0)),"compte hors plan",IF(AND($A1830&lt;&gt;"",YEAR($A1830)&lt;&gt;Exercice),"hors exercice","")))))</f>
      </c>
    </row>
    <row r="1831">
      <c r="A1831" s="13"/>
      <c r="B1831" s="10"/>
      <c r="C1831" s="9"/>
      <c r="D1831" s="20"/>
      <c r="E1831" s="9">
        <f>IF($D1831="","",IFERROR(VLOOKUP($D1831,'Plan comptable'!$H:$I,2,FALSE),"compte hors plan"))</f>
      </c>
      <c r="F1831" s="9"/>
      <c r="G1831" s="10"/>
      <c r="H1831" s="11"/>
      <c r="I1831" s="11"/>
      <c r="J1831" s="10">
        <f>IF($D1831="","",IF(AND($H1831&lt;&gt;"",$I1831&lt;&gt;""),"débit ET crédit",IF(AND($H1831="",$I1831=""),"montant manquant",IF(ISNA(MATCH($D1831,'Plan comptable'!$H:$H,0)),"compte hors plan",IF(AND($A1831&lt;&gt;"",YEAR($A1831)&lt;&gt;Exercice),"hors exercice","")))))</f>
      </c>
    </row>
    <row r="1832">
      <c r="A1832" s="13"/>
      <c r="B1832" s="10"/>
      <c r="C1832" s="9"/>
      <c r="D1832" s="20"/>
      <c r="E1832" s="9">
        <f>IF($D1832="","",IFERROR(VLOOKUP($D1832,'Plan comptable'!$H:$I,2,FALSE),"compte hors plan"))</f>
      </c>
      <c r="F1832" s="9"/>
      <c r="G1832" s="10"/>
      <c r="H1832" s="11"/>
      <c r="I1832" s="11"/>
      <c r="J1832" s="10">
        <f>IF($D1832="","",IF(AND($H1832&lt;&gt;"",$I1832&lt;&gt;""),"débit ET crédit",IF(AND($H1832="",$I1832=""),"montant manquant",IF(ISNA(MATCH($D1832,'Plan comptable'!$H:$H,0)),"compte hors plan",IF(AND($A1832&lt;&gt;"",YEAR($A1832)&lt;&gt;Exercice),"hors exercice","")))))</f>
      </c>
    </row>
    <row r="1833">
      <c r="A1833" s="13"/>
      <c r="B1833" s="10"/>
      <c r="C1833" s="9"/>
      <c r="D1833" s="20"/>
      <c r="E1833" s="9">
        <f>IF($D1833="","",IFERROR(VLOOKUP($D1833,'Plan comptable'!$H:$I,2,FALSE),"compte hors plan"))</f>
      </c>
      <c r="F1833" s="9"/>
      <c r="G1833" s="10"/>
      <c r="H1833" s="11"/>
      <c r="I1833" s="11"/>
      <c r="J1833" s="10">
        <f>IF($D1833="","",IF(AND($H1833&lt;&gt;"",$I1833&lt;&gt;""),"débit ET crédit",IF(AND($H1833="",$I1833=""),"montant manquant",IF(ISNA(MATCH($D1833,'Plan comptable'!$H:$H,0)),"compte hors plan",IF(AND($A1833&lt;&gt;"",YEAR($A1833)&lt;&gt;Exercice),"hors exercice","")))))</f>
      </c>
    </row>
    <row r="1834">
      <c r="A1834" s="13"/>
      <c r="B1834" s="10"/>
      <c r="C1834" s="9"/>
      <c r="D1834" s="20"/>
      <c r="E1834" s="9">
        <f>IF($D1834="","",IFERROR(VLOOKUP($D1834,'Plan comptable'!$H:$I,2,FALSE),"compte hors plan"))</f>
      </c>
      <c r="F1834" s="9"/>
      <c r="G1834" s="10"/>
      <c r="H1834" s="11"/>
      <c r="I1834" s="11"/>
      <c r="J1834" s="10">
        <f>IF($D1834="","",IF(AND($H1834&lt;&gt;"",$I1834&lt;&gt;""),"débit ET crédit",IF(AND($H1834="",$I1834=""),"montant manquant",IF(ISNA(MATCH($D1834,'Plan comptable'!$H:$H,0)),"compte hors plan",IF(AND($A1834&lt;&gt;"",YEAR($A1834)&lt;&gt;Exercice),"hors exercice","")))))</f>
      </c>
    </row>
    <row r="1835">
      <c r="A1835" s="13"/>
      <c r="B1835" s="10"/>
      <c r="C1835" s="9"/>
      <c r="D1835" s="20"/>
      <c r="E1835" s="9">
        <f>IF($D1835="","",IFERROR(VLOOKUP($D1835,'Plan comptable'!$H:$I,2,FALSE),"compte hors plan"))</f>
      </c>
      <c r="F1835" s="9"/>
      <c r="G1835" s="10"/>
      <c r="H1835" s="11"/>
      <c r="I1835" s="11"/>
      <c r="J1835" s="10">
        <f>IF($D1835="","",IF(AND($H1835&lt;&gt;"",$I1835&lt;&gt;""),"débit ET crédit",IF(AND($H1835="",$I1835=""),"montant manquant",IF(ISNA(MATCH($D1835,'Plan comptable'!$H:$H,0)),"compte hors plan",IF(AND($A1835&lt;&gt;"",YEAR($A1835)&lt;&gt;Exercice),"hors exercice","")))))</f>
      </c>
    </row>
    <row r="1836">
      <c r="A1836" s="13"/>
      <c r="B1836" s="10"/>
      <c r="C1836" s="9"/>
      <c r="D1836" s="20"/>
      <c r="E1836" s="9">
        <f>IF($D1836="","",IFERROR(VLOOKUP($D1836,'Plan comptable'!$H:$I,2,FALSE),"compte hors plan"))</f>
      </c>
      <c r="F1836" s="9"/>
      <c r="G1836" s="10"/>
      <c r="H1836" s="11"/>
      <c r="I1836" s="11"/>
      <c r="J1836" s="10">
        <f>IF($D1836="","",IF(AND($H1836&lt;&gt;"",$I1836&lt;&gt;""),"débit ET crédit",IF(AND($H1836="",$I1836=""),"montant manquant",IF(ISNA(MATCH($D1836,'Plan comptable'!$H:$H,0)),"compte hors plan",IF(AND($A1836&lt;&gt;"",YEAR($A1836)&lt;&gt;Exercice),"hors exercice","")))))</f>
      </c>
    </row>
    <row r="1837">
      <c r="A1837" s="13"/>
      <c r="B1837" s="10"/>
      <c r="C1837" s="9"/>
      <c r="D1837" s="20"/>
      <c r="E1837" s="9">
        <f>IF($D1837="","",IFERROR(VLOOKUP($D1837,'Plan comptable'!$H:$I,2,FALSE),"compte hors plan"))</f>
      </c>
      <c r="F1837" s="9"/>
      <c r="G1837" s="10"/>
      <c r="H1837" s="11"/>
      <c r="I1837" s="11"/>
      <c r="J1837" s="10">
        <f>IF($D1837="","",IF(AND($H1837&lt;&gt;"",$I1837&lt;&gt;""),"débit ET crédit",IF(AND($H1837="",$I1837=""),"montant manquant",IF(ISNA(MATCH($D1837,'Plan comptable'!$H:$H,0)),"compte hors plan",IF(AND($A1837&lt;&gt;"",YEAR($A1837)&lt;&gt;Exercice),"hors exercice","")))))</f>
      </c>
    </row>
    <row r="1838">
      <c r="A1838" s="13"/>
      <c r="B1838" s="10"/>
      <c r="C1838" s="9"/>
      <c r="D1838" s="20"/>
      <c r="E1838" s="9">
        <f>IF($D1838="","",IFERROR(VLOOKUP($D1838,'Plan comptable'!$H:$I,2,FALSE),"compte hors plan"))</f>
      </c>
      <c r="F1838" s="9"/>
      <c r="G1838" s="10"/>
      <c r="H1838" s="11"/>
      <c r="I1838" s="11"/>
      <c r="J1838" s="10">
        <f>IF($D1838="","",IF(AND($H1838&lt;&gt;"",$I1838&lt;&gt;""),"débit ET crédit",IF(AND($H1838="",$I1838=""),"montant manquant",IF(ISNA(MATCH($D1838,'Plan comptable'!$H:$H,0)),"compte hors plan",IF(AND($A1838&lt;&gt;"",YEAR($A1838)&lt;&gt;Exercice),"hors exercice","")))))</f>
      </c>
    </row>
    <row r="1839">
      <c r="A1839" s="13"/>
      <c r="B1839" s="10"/>
      <c r="C1839" s="9"/>
      <c r="D1839" s="20"/>
      <c r="E1839" s="9">
        <f>IF($D1839="","",IFERROR(VLOOKUP($D1839,'Plan comptable'!$H:$I,2,FALSE),"compte hors plan"))</f>
      </c>
      <c r="F1839" s="9"/>
      <c r="G1839" s="10"/>
      <c r="H1839" s="11"/>
      <c r="I1839" s="11"/>
      <c r="J1839" s="10">
        <f>IF($D1839="","",IF(AND($H1839&lt;&gt;"",$I1839&lt;&gt;""),"débit ET crédit",IF(AND($H1839="",$I1839=""),"montant manquant",IF(ISNA(MATCH($D1839,'Plan comptable'!$H:$H,0)),"compte hors plan",IF(AND($A1839&lt;&gt;"",YEAR($A1839)&lt;&gt;Exercice),"hors exercice","")))))</f>
      </c>
    </row>
    <row r="1840">
      <c r="A1840" s="13"/>
      <c r="B1840" s="10"/>
      <c r="C1840" s="9"/>
      <c r="D1840" s="20"/>
      <c r="E1840" s="9">
        <f>IF($D1840="","",IFERROR(VLOOKUP($D1840,'Plan comptable'!$H:$I,2,FALSE),"compte hors plan"))</f>
      </c>
      <c r="F1840" s="9"/>
      <c r="G1840" s="10"/>
      <c r="H1840" s="11"/>
      <c r="I1840" s="11"/>
      <c r="J1840" s="10">
        <f>IF($D1840="","",IF(AND($H1840&lt;&gt;"",$I1840&lt;&gt;""),"débit ET crédit",IF(AND($H1840="",$I1840=""),"montant manquant",IF(ISNA(MATCH($D1840,'Plan comptable'!$H:$H,0)),"compte hors plan",IF(AND($A1840&lt;&gt;"",YEAR($A1840)&lt;&gt;Exercice),"hors exercice","")))))</f>
      </c>
    </row>
    <row r="1841">
      <c r="A1841" s="13"/>
      <c r="B1841" s="10"/>
      <c r="C1841" s="9"/>
      <c r="D1841" s="20"/>
      <c r="E1841" s="9">
        <f>IF($D1841="","",IFERROR(VLOOKUP($D1841,'Plan comptable'!$H:$I,2,FALSE),"compte hors plan"))</f>
      </c>
      <c r="F1841" s="9"/>
      <c r="G1841" s="10"/>
      <c r="H1841" s="11"/>
      <c r="I1841" s="11"/>
      <c r="J1841" s="10">
        <f>IF($D1841="","",IF(AND($H1841&lt;&gt;"",$I1841&lt;&gt;""),"débit ET crédit",IF(AND($H1841="",$I1841=""),"montant manquant",IF(ISNA(MATCH($D1841,'Plan comptable'!$H:$H,0)),"compte hors plan",IF(AND($A1841&lt;&gt;"",YEAR($A1841)&lt;&gt;Exercice),"hors exercice","")))))</f>
      </c>
    </row>
    <row r="1842">
      <c r="A1842" s="13"/>
      <c r="B1842" s="10"/>
      <c r="C1842" s="9"/>
      <c r="D1842" s="20"/>
      <c r="E1842" s="9">
        <f>IF($D1842="","",IFERROR(VLOOKUP($D1842,'Plan comptable'!$H:$I,2,FALSE),"compte hors plan"))</f>
      </c>
      <c r="F1842" s="9"/>
      <c r="G1842" s="10"/>
      <c r="H1842" s="11"/>
      <c r="I1842" s="11"/>
      <c r="J1842" s="10">
        <f>IF($D1842="","",IF(AND($H1842&lt;&gt;"",$I1842&lt;&gt;""),"débit ET crédit",IF(AND($H1842="",$I1842=""),"montant manquant",IF(ISNA(MATCH($D1842,'Plan comptable'!$H:$H,0)),"compte hors plan",IF(AND($A1842&lt;&gt;"",YEAR($A1842)&lt;&gt;Exercice),"hors exercice","")))))</f>
      </c>
    </row>
    <row r="1843">
      <c r="A1843" s="13"/>
      <c r="B1843" s="10"/>
      <c r="C1843" s="9"/>
      <c r="D1843" s="20"/>
      <c r="E1843" s="9">
        <f>IF($D1843="","",IFERROR(VLOOKUP($D1843,'Plan comptable'!$H:$I,2,FALSE),"compte hors plan"))</f>
      </c>
      <c r="F1843" s="9"/>
      <c r="G1843" s="10"/>
      <c r="H1843" s="11"/>
      <c r="I1843" s="11"/>
      <c r="J1843" s="10">
        <f>IF($D1843="","",IF(AND($H1843&lt;&gt;"",$I1843&lt;&gt;""),"débit ET crédit",IF(AND($H1843="",$I1843=""),"montant manquant",IF(ISNA(MATCH($D1843,'Plan comptable'!$H:$H,0)),"compte hors plan",IF(AND($A1843&lt;&gt;"",YEAR($A1843)&lt;&gt;Exercice),"hors exercice","")))))</f>
      </c>
    </row>
    <row r="1844">
      <c r="A1844" s="13"/>
      <c r="B1844" s="10"/>
      <c r="C1844" s="9"/>
      <c r="D1844" s="20"/>
      <c r="E1844" s="9">
        <f>IF($D1844="","",IFERROR(VLOOKUP($D1844,'Plan comptable'!$H:$I,2,FALSE),"compte hors plan"))</f>
      </c>
      <c r="F1844" s="9"/>
      <c r="G1844" s="10"/>
      <c r="H1844" s="11"/>
      <c r="I1844" s="11"/>
      <c r="J1844" s="10">
        <f>IF($D1844="","",IF(AND($H1844&lt;&gt;"",$I1844&lt;&gt;""),"débit ET crédit",IF(AND($H1844="",$I1844=""),"montant manquant",IF(ISNA(MATCH($D1844,'Plan comptable'!$H:$H,0)),"compte hors plan",IF(AND($A1844&lt;&gt;"",YEAR($A1844)&lt;&gt;Exercice),"hors exercice","")))))</f>
      </c>
    </row>
    <row r="1845">
      <c r="A1845" s="13"/>
      <c r="B1845" s="10"/>
      <c r="C1845" s="9"/>
      <c r="D1845" s="20"/>
      <c r="E1845" s="9">
        <f>IF($D1845="","",IFERROR(VLOOKUP($D1845,'Plan comptable'!$H:$I,2,FALSE),"compte hors plan"))</f>
      </c>
      <c r="F1845" s="9"/>
      <c r="G1845" s="10"/>
      <c r="H1845" s="11"/>
      <c r="I1845" s="11"/>
      <c r="J1845" s="10">
        <f>IF($D1845="","",IF(AND($H1845&lt;&gt;"",$I1845&lt;&gt;""),"débit ET crédit",IF(AND($H1845="",$I1845=""),"montant manquant",IF(ISNA(MATCH($D1845,'Plan comptable'!$H:$H,0)),"compte hors plan",IF(AND($A1845&lt;&gt;"",YEAR($A1845)&lt;&gt;Exercice),"hors exercice","")))))</f>
      </c>
    </row>
    <row r="1846">
      <c r="A1846" s="13"/>
      <c r="B1846" s="10"/>
      <c r="C1846" s="9"/>
      <c r="D1846" s="20"/>
      <c r="E1846" s="9">
        <f>IF($D1846="","",IFERROR(VLOOKUP($D1846,'Plan comptable'!$H:$I,2,FALSE),"compte hors plan"))</f>
      </c>
      <c r="F1846" s="9"/>
      <c r="G1846" s="10"/>
      <c r="H1846" s="11"/>
      <c r="I1846" s="11"/>
      <c r="J1846" s="10">
        <f>IF($D1846="","",IF(AND($H1846&lt;&gt;"",$I1846&lt;&gt;""),"débit ET crédit",IF(AND($H1846="",$I1846=""),"montant manquant",IF(ISNA(MATCH($D1846,'Plan comptable'!$H:$H,0)),"compte hors plan",IF(AND($A1846&lt;&gt;"",YEAR($A1846)&lt;&gt;Exercice),"hors exercice","")))))</f>
      </c>
    </row>
    <row r="1847">
      <c r="A1847" s="13"/>
      <c r="B1847" s="10"/>
      <c r="C1847" s="9"/>
      <c r="D1847" s="20"/>
      <c r="E1847" s="9">
        <f>IF($D1847="","",IFERROR(VLOOKUP($D1847,'Plan comptable'!$H:$I,2,FALSE),"compte hors plan"))</f>
      </c>
      <c r="F1847" s="9"/>
      <c r="G1847" s="10"/>
      <c r="H1847" s="11"/>
      <c r="I1847" s="11"/>
      <c r="J1847" s="10">
        <f>IF($D1847="","",IF(AND($H1847&lt;&gt;"",$I1847&lt;&gt;""),"débit ET crédit",IF(AND($H1847="",$I1847=""),"montant manquant",IF(ISNA(MATCH($D1847,'Plan comptable'!$H:$H,0)),"compte hors plan",IF(AND($A1847&lt;&gt;"",YEAR($A1847)&lt;&gt;Exercice),"hors exercice","")))))</f>
      </c>
    </row>
    <row r="1848">
      <c r="A1848" s="13"/>
      <c r="B1848" s="10"/>
      <c r="C1848" s="9"/>
      <c r="D1848" s="20"/>
      <c r="E1848" s="9">
        <f>IF($D1848="","",IFERROR(VLOOKUP($D1848,'Plan comptable'!$H:$I,2,FALSE),"compte hors plan"))</f>
      </c>
      <c r="F1848" s="9"/>
      <c r="G1848" s="10"/>
      <c r="H1848" s="11"/>
      <c r="I1848" s="11"/>
      <c r="J1848" s="10">
        <f>IF($D1848="","",IF(AND($H1848&lt;&gt;"",$I1848&lt;&gt;""),"débit ET crédit",IF(AND($H1848="",$I1848=""),"montant manquant",IF(ISNA(MATCH($D1848,'Plan comptable'!$H:$H,0)),"compte hors plan",IF(AND($A1848&lt;&gt;"",YEAR($A1848)&lt;&gt;Exercice),"hors exercice","")))))</f>
      </c>
    </row>
    <row r="1849">
      <c r="A1849" s="13"/>
      <c r="B1849" s="10"/>
      <c r="C1849" s="9"/>
      <c r="D1849" s="20"/>
      <c r="E1849" s="9">
        <f>IF($D1849="","",IFERROR(VLOOKUP($D1849,'Plan comptable'!$H:$I,2,FALSE),"compte hors plan"))</f>
      </c>
      <c r="F1849" s="9"/>
      <c r="G1849" s="10"/>
      <c r="H1849" s="11"/>
      <c r="I1849" s="11"/>
      <c r="J1849" s="10">
        <f>IF($D1849="","",IF(AND($H1849&lt;&gt;"",$I1849&lt;&gt;""),"débit ET crédit",IF(AND($H1849="",$I1849=""),"montant manquant",IF(ISNA(MATCH($D1849,'Plan comptable'!$H:$H,0)),"compte hors plan",IF(AND($A1849&lt;&gt;"",YEAR($A1849)&lt;&gt;Exercice),"hors exercice","")))))</f>
      </c>
    </row>
    <row r="1850">
      <c r="A1850" s="13"/>
      <c r="B1850" s="10"/>
      <c r="C1850" s="9"/>
      <c r="D1850" s="20"/>
      <c r="E1850" s="9">
        <f>IF($D1850="","",IFERROR(VLOOKUP($D1850,'Plan comptable'!$H:$I,2,FALSE),"compte hors plan"))</f>
      </c>
      <c r="F1850" s="9"/>
      <c r="G1850" s="10"/>
      <c r="H1850" s="11"/>
      <c r="I1850" s="11"/>
      <c r="J1850" s="10">
        <f>IF($D1850="","",IF(AND($H1850&lt;&gt;"",$I1850&lt;&gt;""),"débit ET crédit",IF(AND($H1850="",$I1850=""),"montant manquant",IF(ISNA(MATCH($D1850,'Plan comptable'!$H:$H,0)),"compte hors plan",IF(AND($A1850&lt;&gt;"",YEAR($A1850)&lt;&gt;Exercice),"hors exercice","")))))</f>
      </c>
    </row>
    <row r="1851">
      <c r="A1851" s="13"/>
      <c r="B1851" s="10"/>
      <c r="C1851" s="9"/>
      <c r="D1851" s="20"/>
      <c r="E1851" s="9">
        <f>IF($D1851="","",IFERROR(VLOOKUP($D1851,'Plan comptable'!$H:$I,2,FALSE),"compte hors plan"))</f>
      </c>
      <c r="F1851" s="9"/>
      <c r="G1851" s="10"/>
      <c r="H1851" s="11"/>
      <c r="I1851" s="11"/>
      <c r="J1851" s="10">
        <f>IF($D1851="","",IF(AND($H1851&lt;&gt;"",$I1851&lt;&gt;""),"débit ET crédit",IF(AND($H1851="",$I1851=""),"montant manquant",IF(ISNA(MATCH($D1851,'Plan comptable'!$H:$H,0)),"compte hors plan",IF(AND($A1851&lt;&gt;"",YEAR($A1851)&lt;&gt;Exercice),"hors exercice","")))))</f>
      </c>
    </row>
    <row r="1852">
      <c r="A1852" s="13"/>
      <c r="B1852" s="10"/>
      <c r="C1852" s="9"/>
      <c r="D1852" s="20"/>
      <c r="E1852" s="9">
        <f>IF($D1852="","",IFERROR(VLOOKUP($D1852,'Plan comptable'!$H:$I,2,FALSE),"compte hors plan"))</f>
      </c>
      <c r="F1852" s="9"/>
      <c r="G1852" s="10"/>
      <c r="H1852" s="11"/>
      <c r="I1852" s="11"/>
      <c r="J1852" s="10">
        <f>IF($D1852="","",IF(AND($H1852&lt;&gt;"",$I1852&lt;&gt;""),"débit ET crédit",IF(AND($H1852="",$I1852=""),"montant manquant",IF(ISNA(MATCH($D1852,'Plan comptable'!$H:$H,0)),"compte hors plan",IF(AND($A1852&lt;&gt;"",YEAR($A1852)&lt;&gt;Exercice),"hors exercice","")))))</f>
      </c>
    </row>
    <row r="1853">
      <c r="A1853" s="13"/>
      <c r="B1853" s="10"/>
      <c r="C1853" s="9"/>
      <c r="D1853" s="20"/>
      <c r="E1853" s="9">
        <f>IF($D1853="","",IFERROR(VLOOKUP($D1853,'Plan comptable'!$H:$I,2,FALSE),"compte hors plan"))</f>
      </c>
      <c r="F1853" s="9"/>
      <c r="G1853" s="10"/>
      <c r="H1853" s="11"/>
      <c r="I1853" s="11"/>
      <c r="J1853" s="10">
        <f>IF($D1853="","",IF(AND($H1853&lt;&gt;"",$I1853&lt;&gt;""),"débit ET crédit",IF(AND($H1853="",$I1853=""),"montant manquant",IF(ISNA(MATCH($D1853,'Plan comptable'!$H:$H,0)),"compte hors plan",IF(AND($A1853&lt;&gt;"",YEAR($A1853)&lt;&gt;Exercice),"hors exercice","")))))</f>
      </c>
    </row>
    <row r="1854">
      <c r="A1854" s="13"/>
      <c r="B1854" s="10"/>
      <c r="C1854" s="9"/>
      <c r="D1854" s="20"/>
      <c r="E1854" s="9">
        <f>IF($D1854="","",IFERROR(VLOOKUP($D1854,'Plan comptable'!$H:$I,2,FALSE),"compte hors plan"))</f>
      </c>
      <c r="F1854" s="9"/>
      <c r="G1854" s="10"/>
      <c r="H1854" s="11"/>
      <c r="I1854" s="11"/>
      <c r="J1854" s="10">
        <f>IF($D1854="","",IF(AND($H1854&lt;&gt;"",$I1854&lt;&gt;""),"débit ET crédit",IF(AND($H1854="",$I1854=""),"montant manquant",IF(ISNA(MATCH($D1854,'Plan comptable'!$H:$H,0)),"compte hors plan",IF(AND($A1854&lt;&gt;"",YEAR($A1854)&lt;&gt;Exercice),"hors exercice","")))))</f>
      </c>
    </row>
    <row r="1855">
      <c r="A1855" s="13"/>
      <c r="B1855" s="10"/>
      <c r="C1855" s="9"/>
      <c r="D1855" s="20"/>
      <c r="E1855" s="9">
        <f>IF($D1855="","",IFERROR(VLOOKUP($D1855,'Plan comptable'!$H:$I,2,FALSE),"compte hors plan"))</f>
      </c>
      <c r="F1855" s="9"/>
      <c r="G1855" s="10"/>
      <c r="H1855" s="11"/>
      <c r="I1855" s="11"/>
      <c r="J1855" s="10">
        <f>IF($D1855="","",IF(AND($H1855&lt;&gt;"",$I1855&lt;&gt;""),"débit ET crédit",IF(AND($H1855="",$I1855=""),"montant manquant",IF(ISNA(MATCH($D1855,'Plan comptable'!$H:$H,0)),"compte hors plan",IF(AND($A1855&lt;&gt;"",YEAR($A1855)&lt;&gt;Exercice),"hors exercice","")))))</f>
      </c>
    </row>
    <row r="1856">
      <c r="A1856" s="13"/>
      <c r="B1856" s="10"/>
      <c r="C1856" s="9"/>
      <c r="D1856" s="20"/>
      <c r="E1856" s="9">
        <f>IF($D1856="","",IFERROR(VLOOKUP($D1856,'Plan comptable'!$H:$I,2,FALSE),"compte hors plan"))</f>
      </c>
      <c r="F1856" s="9"/>
      <c r="G1856" s="10"/>
      <c r="H1856" s="11"/>
      <c r="I1856" s="11"/>
      <c r="J1856" s="10">
        <f>IF($D1856="","",IF(AND($H1856&lt;&gt;"",$I1856&lt;&gt;""),"débit ET crédit",IF(AND($H1856="",$I1856=""),"montant manquant",IF(ISNA(MATCH($D1856,'Plan comptable'!$H:$H,0)),"compte hors plan",IF(AND($A1856&lt;&gt;"",YEAR($A1856)&lt;&gt;Exercice),"hors exercice","")))))</f>
      </c>
    </row>
    <row r="1857">
      <c r="A1857" s="13"/>
      <c r="B1857" s="10"/>
      <c r="C1857" s="9"/>
      <c r="D1857" s="20"/>
      <c r="E1857" s="9">
        <f>IF($D1857="","",IFERROR(VLOOKUP($D1857,'Plan comptable'!$H:$I,2,FALSE),"compte hors plan"))</f>
      </c>
      <c r="F1857" s="9"/>
      <c r="G1857" s="10"/>
      <c r="H1857" s="11"/>
      <c r="I1857" s="11"/>
      <c r="J1857" s="10">
        <f>IF($D1857="","",IF(AND($H1857&lt;&gt;"",$I1857&lt;&gt;""),"débit ET crédit",IF(AND($H1857="",$I1857=""),"montant manquant",IF(ISNA(MATCH($D1857,'Plan comptable'!$H:$H,0)),"compte hors plan",IF(AND($A1857&lt;&gt;"",YEAR($A1857)&lt;&gt;Exercice),"hors exercice","")))))</f>
      </c>
    </row>
    <row r="1858">
      <c r="A1858" s="13"/>
      <c r="B1858" s="10"/>
      <c r="C1858" s="9"/>
      <c r="D1858" s="20"/>
      <c r="E1858" s="9">
        <f>IF($D1858="","",IFERROR(VLOOKUP($D1858,'Plan comptable'!$H:$I,2,FALSE),"compte hors plan"))</f>
      </c>
      <c r="F1858" s="9"/>
      <c r="G1858" s="10"/>
      <c r="H1858" s="11"/>
      <c r="I1858" s="11"/>
      <c r="J1858" s="10">
        <f>IF($D1858="","",IF(AND($H1858&lt;&gt;"",$I1858&lt;&gt;""),"débit ET crédit",IF(AND($H1858="",$I1858=""),"montant manquant",IF(ISNA(MATCH($D1858,'Plan comptable'!$H:$H,0)),"compte hors plan",IF(AND($A1858&lt;&gt;"",YEAR($A1858)&lt;&gt;Exercice),"hors exercice","")))))</f>
      </c>
    </row>
    <row r="1859">
      <c r="A1859" s="13"/>
      <c r="B1859" s="10"/>
      <c r="C1859" s="9"/>
      <c r="D1859" s="20"/>
      <c r="E1859" s="9">
        <f>IF($D1859="","",IFERROR(VLOOKUP($D1859,'Plan comptable'!$H:$I,2,FALSE),"compte hors plan"))</f>
      </c>
      <c r="F1859" s="9"/>
      <c r="G1859" s="10"/>
      <c r="H1859" s="11"/>
      <c r="I1859" s="11"/>
      <c r="J1859" s="10">
        <f>IF($D1859="","",IF(AND($H1859&lt;&gt;"",$I1859&lt;&gt;""),"débit ET crédit",IF(AND($H1859="",$I1859=""),"montant manquant",IF(ISNA(MATCH($D1859,'Plan comptable'!$H:$H,0)),"compte hors plan",IF(AND($A1859&lt;&gt;"",YEAR($A1859)&lt;&gt;Exercice),"hors exercice","")))))</f>
      </c>
    </row>
    <row r="1860">
      <c r="A1860" s="13"/>
      <c r="B1860" s="10"/>
      <c r="C1860" s="9"/>
      <c r="D1860" s="20"/>
      <c r="E1860" s="9">
        <f>IF($D1860="","",IFERROR(VLOOKUP($D1860,'Plan comptable'!$H:$I,2,FALSE),"compte hors plan"))</f>
      </c>
      <c r="F1860" s="9"/>
      <c r="G1860" s="10"/>
      <c r="H1860" s="11"/>
      <c r="I1860" s="11"/>
      <c r="J1860" s="10">
        <f>IF($D1860="","",IF(AND($H1860&lt;&gt;"",$I1860&lt;&gt;""),"débit ET crédit",IF(AND($H1860="",$I1860=""),"montant manquant",IF(ISNA(MATCH($D1860,'Plan comptable'!$H:$H,0)),"compte hors plan",IF(AND($A1860&lt;&gt;"",YEAR($A1860)&lt;&gt;Exercice),"hors exercice","")))))</f>
      </c>
    </row>
    <row r="1861">
      <c r="A1861" s="13"/>
      <c r="B1861" s="10"/>
      <c r="C1861" s="9"/>
      <c r="D1861" s="20"/>
      <c r="E1861" s="9">
        <f>IF($D1861="","",IFERROR(VLOOKUP($D1861,'Plan comptable'!$H:$I,2,FALSE),"compte hors plan"))</f>
      </c>
      <c r="F1861" s="9"/>
      <c r="G1861" s="10"/>
      <c r="H1861" s="11"/>
      <c r="I1861" s="11"/>
      <c r="J1861" s="10">
        <f>IF($D1861="","",IF(AND($H1861&lt;&gt;"",$I1861&lt;&gt;""),"débit ET crédit",IF(AND($H1861="",$I1861=""),"montant manquant",IF(ISNA(MATCH($D1861,'Plan comptable'!$H:$H,0)),"compte hors plan",IF(AND($A1861&lt;&gt;"",YEAR($A1861)&lt;&gt;Exercice),"hors exercice","")))))</f>
      </c>
    </row>
    <row r="1862">
      <c r="A1862" s="13"/>
      <c r="B1862" s="10"/>
      <c r="C1862" s="9"/>
      <c r="D1862" s="20"/>
      <c r="E1862" s="9">
        <f>IF($D1862="","",IFERROR(VLOOKUP($D1862,'Plan comptable'!$H:$I,2,FALSE),"compte hors plan"))</f>
      </c>
      <c r="F1862" s="9"/>
      <c r="G1862" s="10"/>
      <c r="H1862" s="11"/>
      <c r="I1862" s="11"/>
      <c r="J1862" s="10">
        <f>IF($D1862="","",IF(AND($H1862&lt;&gt;"",$I1862&lt;&gt;""),"débit ET crédit",IF(AND($H1862="",$I1862=""),"montant manquant",IF(ISNA(MATCH($D1862,'Plan comptable'!$H:$H,0)),"compte hors plan",IF(AND($A1862&lt;&gt;"",YEAR($A1862)&lt;&gt;Exercice),"hors exercice","")))))</f>
      </c>
    </row>
    <row r="1863">
      <c r="A1863" s="13"/>
      <c r="B1863" s="10"/>
      <c r="C1863" s="9"/>
      <c r="D1863" s="20"/>
      <c r="E1863" s="9">
        <f>IF($D1863="","",IFERROR(VLOOKUP($D1863,'Plan comptable'!$H:$I,2,FALSE),"compte hors plan"))</f>
      </c>
      <c r="F1863" s="9"/>
      <c r="G1863" s="10"/>
      <c r="H1863" s="11"/>
      <c r="I1863" s="11"/>
      <c r="J1863" s="10">
        <f>IF($D1863="","",IF(AND($H1863&lt;&gt;"",$I1863&lt;&gt;""),"débit ET crédit",IF(AND($H1863="",$I1863=""),"montant manquant",IF(ISNA(MATCH($D1863,'Plan comptable'!$H:$H,0)),"compte hors plan",IF(AND($A1863&lt;&gt;"",YEAR($A1863)&lt;&gt;Exercice),"hors exercice","")))))</f>
      </c>
    </row>
    <row r="1864">
      <c r="A1864" s="13"/>
      <c r="B1864" s="10"/>
      <c r="C1864" s="9"/>
      <c r="D1864" s="20"/>
      <c r="E1864" s="9">
        <f>IF($D1864="","",IFERROR(VLOOKUP($D1864,'Plan comptable'!$H:$I,2,FALSE),"compte hors plan"))</f>
      </c>
      <c r="F1864" s="9"/>
      <c r="G1864" s="10"/>
      <c r="H1864" s="11"/>
      <c r="I1864" s="11"/>
      <c r="J1864" s="10">
        <f>IF($D1864="","",IF(AND($H1864&lt;&gt;"",$I1864&lt;&gt;""),"débit ET crédit",IF(AND($H1864="",$I1864=""),"montant manquant",IF(ISNA(MATCH($D1864,'Plan comptable'!$H:$H,0)),"compte hors plan",IF(AND($A1864&lt;&gt;"",YEAR($A1864)&lt;&gt;Exercice),"hors exercice","")))))</f>
      </c>
    </row>
    <row r="1865">
      <c r="A1865" s="13"/>
      <c r="B1865" s="10"/>
      <c r="C1865" s="9"/>
      <c r="D1865" s="20"/>
      <c r="E1865" s="9">
        <f>IF($D1865="","",IFERROR(VLOOKUP($D1865,'Plan comptable'!$H:$I,2,FALSE),"compte hors plan"))</f>
      </c>
      <c r="F1865" s="9"/>
      <c r="G1865" s="10"/>
      <c r="H1865" s="11"/>
      <c r="I1865" s="11"/>
      <c r="J1865" s="10">
        <f>IF($D1865="","",IF(AND($H1865&lt;&gt;"",$I1865&lt;&gt;""),"débit ET crédit",IF(AND($H1865="",$I1865=""),"montant manquant",IF(ISNA(MATCH($D1865,'Plan comptable'!$H:$H,0)),"compte hors plan",IF(AND($A1865&lt;&gt;"",YEAR($A1865)&lt;&gt;Exercice),"hors exercice","")))))</f>
      </c>
    </row>
    <row r="1866">
      <c r="A1866" s="13"/>
      <c r="B1866" s="10"/>
      <c r="C1866" s="9"/>
      <c r="D1866" s="20"/>
      <c r="E1866" s="9">
        <f>IF($D1866="","",IFERROR(VLOOKUP($D1866,'Plan comptable'!$H:$I,2,FALSE),"compte hors plan"))</f>
      </c>
      <c r="F1866" s="9"/>
      <c r="G1866" s="10"/>
      <c r="H1866" s="11"/>
      <c r="I1866" s="11"/>
      <c r="J1866" s="10">
        <f>IF($D1866="","",IF(AND($H1866&lt;&gt;"",$I1866&lt;&gt;""),"débit ET crédit",IF(AND($H1866="",$I1866=""),"montant manquant",IF(ISNA(MATCH($D1866,'Plan comptable'!$H:$H,0)),"compte hors plan",IF(AND($A1866&lt;&gt;"",YEAR($A1866)&lt;&gt;Exercice),"hors exercice","")))))</f>
      </c>
    </row>
    <row r="1867">
      <c r="A1867" s="13"/>
      <c r="B1867" s="10"/>
      <c r="C1867" s="9"/>
      <c r="D1867" s="20"/>
      <c r="E1867" s="9">
        <f>IF($D1867="","",IFERROR(VLOOKUP($D1867,'Plan comptable'!$H:$I,2,FALSE),"compte hors plan"))</f>
      </c>
      <c r="F1867" s="9"/>
      <c r="G1867" s="10"/>
      <c r="H1867" s="11"/>
      <c r="I1867" s="11"/>
      <c r="J1867" s="10">
        <f>IF($D1867="","",IF(AND($H1867&lt;&gt;"",$I1867&lt;&gt;""),"débit ET crédit",IF(AND($H1867="",$I1867=""),"montant manquant",IF(ISNA(MATCH($D1867,'Plan comptable'!$H:$H,0)),"compte hors plan",IF(AND($A1867&lt;&gt;"",YEAR($A1867)&lt;&gt;Exercice),"hors exercice","")))))</f>
      </c>
    </row>
    <row r="1868">
      <c r="A1868" s="13"/>
      <c r="B1868" s="10"/>
      <c r="C1868" s="9"/>
      <c r="D1868" s="20"/>
      <c r="E1868" s="9">
        <f>IF($D1868="","",IFERROR(VLOOKUP($D1868,'Plan comptable'!$H:$I,2,FALSE),"compte hors plan"))</f>
      </c>
      <c r="F1868" s="9"/>
      <c r="G1868" s="10"/>
      <c r="H1868" s="11"/>
      <c r="I1868" s="11"/>
      <c r="J1868" s="10">
        <f>IF($D1868="","",IF(AND($H1868&lt;&gt;"",$I1868&lt;&gt;""),"débit ET crédit",IF(AND($H1868="",$I1868=""),"montant manquant",IF(ISNA(MATCH($D1868,'Plan comptable'!$H:$H,0)),"compte hors plan",IF(AND($A1868&lt;&gt;"",YEAR($A1868)&lt;&gt;Exercice),"hors exercice","")))))</f>
      </c>
    </row>
    <row r="1869">
      <c r="A1869" s="13"/>
      <c r="B1869" s="10"/>
      <c r="C1869" s="9"/>
      <c r="D1869" s="20"/>
      <c r="E1869" s="9">
        <f>IF($D1869="","",IFERROR(VLOOKUP($D1869,'Plan comptable'!$H:$I,2,FALSE),"compte hors plan"))</f>
      </c>
      <c r="F1869" s="9"/>
      <c r="G1869" s="10"/>
      <c r="H1869" s="11"/>
      <c r="I1869" s="11"/>
      <c r="J1869" s="10">
        <f>IF($D1869="","",IF(AND($H1869&lt;&gt;"",$I1869&lt;&gt;""),"débit ET crédit",IF(AND($H1869="",$I1869=""),"montant manquant",IF(ISNA(MATCH($D1869,'Plan comptable'!$H:$H,0)),"compte hors plan",IF(AND($A1869&lt;&gt;"",YEAR($A1869)&lt;&gt;Exercice),"hors exercice","")))))</f>
      </c>
    </row>
    <row r="1870">
      <c r="A1870" s="13"/>
      <c r="B1870" s="10"/>
      <c r="C1870" s="9"/>
      <c r="D1870" s="20"/>
      <c r="E1870" s="9">
        <f>IF($D1870="","",IFERROR(VLOOKUP($D1870,'Plan comptable'!$H:$I,2,FALSE),"compte hors plan"))</f>
      </c>
      <c r="F1870" s="9"/>
      <c r="G1870" s="10"/>
      <c r="H1870" s="11"/>
      <c r="I1870" s="11"/>
      <c r="J1870" s="10">
        <f>IF($D1870="","",IF(AND($H1870&lt;&gt;"",$I1870&lt;&gt;""),"débit ET crédit",IF(AND($H1870="",$I1870=""),"montant manquant",IF(ISNA(MATCH($D1870,'Plan comptable'!$H:$H,0)),"compte hors plan",IF(AND($A1870&lt;&gt;"",YEAR($A1870)&lt;&gt;Exercice),"hors exercice","")))))</f>
      </c>
    </row>
    <row r="1871">
      <c r="A1871" s="13"/>
      <c r="B1871" s="10"/>
      <c r="C1871" s="9"/>
      <c r="D1871" s="20"/>
      <c r="E1871" s="9">
        <f>IF($D1871="","",IFERROR(VLOOKUP($D1871,'Plan comptable'!$H:$I,2,FALSE),"compte hors plan"))</f>
      </c>
      <c r="F1871" s="9"/>
      <c r="G1871" s="10"/>
      <c r="H1871" s="11"/>
      <c r="I1871" s="11"/>
      <c r="J1871" s="10">
        <f>IF($D1871="","",IF(AND($H1871&lt;&gt;"",$I1871&lt;&gt;""),"débit ET crédit",IF(AND($H1871="",$I1871=""),"montant manquant",IF(ISNA(MATCH($D1871,'Plan comptable'!$H:$H,0)),"compte hors plan",IF(AND($A1871&lt;&gt;"",YEAR($A1871)&lt;&gt;Exercice),"hors exercice","")))))</f>
      </c>
    </row>
    <row r="1872">
      <c r="A1872" s="13"/>
      <c r="B1872" s="10"/>
      <c r="C1872" s="9"/>
      <c r="D1872" s="20"/>
      <c r="E1872" s="9">
        <f>IF($D1872="","",IFERROR(VLOOKUP($D1872,'Plan comptable'!$H:$I,2,FALSE),"compte hors plan"))</f>
      </c>
      <c r="F1872" s="9"/>
      <c r="G1872" s="10"/>
      <c r="H1872" s="11"/>
      <c r="I1872" s="11"/>
      <c r="J1872" s="10">
        <f>IF($D1872="","",IF(AND($H1872&lt;&gt;"",$I1872&lt;&gt;""),"débit ET crédit",IF(AND($H1872="",$I1872=""),"montant manquant",IF(ISNA(MATCH($D1872,'Plan comptable'!$H:$H,0)),"compte hors plan",IF(AND($A1872&lt;&gt;"",YEAR($A1872)&lt;&gt;Exercice),"hors exercice","")))))</f>
      </c>
    </row>
    <row r="1873">
      <c r="A1873" s="13"/>
      <c r="B1873" s="10"/>
      <c r="C1873" s="9"/>
      <c r="D1873" s="20"/>
      <c r="E1873" s="9">
        <f>IF($D1873="","",IFERROR(VLOOKUP($D1873,'Plan comptable'!$H:$I,2,FALSE),"compte hors plan"))</f>
      </c>
      <c r="F1873" s="9"/>
      <c r="G1873" s="10"/>
      <c r="H1873" s="11"/>
      <c r="I1873" s="11"/>
      <c r="J1873" s="10">
        <f>IF($D1873="","",IF(AND($H1873&lt;&gt;"",$I1873&lt;&gt;""),"débit ET crédit",IF(AND($H1873="",$I1873=""),"montant manquant",IF(ISNA(MATCH($D1873,'Plan comptable'!$H:$H,0)),"compte hors plan",IF(AND($A1873&lt;&gt;"",YEAR($A1873)&lt;&gt;Exercice),"hors exercice","")))))</f>
      </c>
    </row>
    <row r="1874">
      <c r="A1874" s="13"/>
      <c r="B1874" s="10"/>
      <c r="C1874" s="9"/>
      <c r="D1874" s="20"/>
      <c r="E1874" s="9">
        <f>IF($D1874="","",IFERROR(VLOOKUP($D1874,'Plan comptable'!$H:$I,2,FALSE),"compte hors plan"))</f>
      </c>
      <c r="F1874" s="9"/>
      <c r="G1874" s="10"/>
      <c r="H1874" s="11"/>
      <c r="I1874" s="11"/>
      <c r="J1874" s="10">
        <f>IF($D1874="","",IF(AND($H1874&lt;&gt;"",$I1874&lt;&gt;""),"débit ET crédit",IF(AND($H1874="",$I1874=""),"montant manquant",IF(ISNA(MATCH($D1874,'Plan comptable'!$H:$H,0)),"compte hors plan",IF(AND($A1874&lt;&gt;"",YEAR($A1874)&lt;&gt;Exercice),"hors exercice","")))))</f>
      </c>
    </row>
    <row r="1875">
      <c r="A1875" s="13"/>
      <c r="B1875" s="10"/>
      <c r="C1875" s="9"/>
      <c r="D1875" s="20"/>
      <c r="E1875" s="9">
        <f>IF($D1875="","",IFERROR(VLOOKUP($D1875,'Plan comptable'!$H:$I,2,FALSE),"compte hors plan"))</f>
      </c>
      <c r="F1875" s="9"/>
      <c r="G1875" s="10"/>
      <c r="H1875" s="11"/>
      <c r="I1875" s="11"/>
      <c r="J1875" s="10">
        <f>IF($D1875="","",IF(AND($H1875&lt;&gt;"",$I1875&lt;&gt;""),"débit ET crédit",IF(AND($H1875="",$I1875=""),"montant manquant",IF(ISNA(MATCH($D1875,'Plan comptable'!$H:$H,0)),"compte hors plan",IF(AND($A1875&lt;&gt;"",YEAR($A1875)&lt;&gt;Exercice),"hors exercice","")))))</f>
      </c>
    </row>
    <row r="1876">
      <c r="A1876" s="13"/>
      <c r="B1876" s="10"/>
      <c r="C1876" s="9"/>
      <c r="D1876" s="20"/>
      <c r="E1876" s="9">
        <f>IF($D1876="","",IFERROR(VLOOKUP($D1876,'Plan comptable'!$H:$I,2,FALSE),"compte hors plan"))</f>
      </c>
      <c r="F1876" s="9"/>
      <c r="G1876" s="10"/>
      <c r="H1876" s="11"/>
      <c r="I1876" s="11"/>
      <c r="J1876" s="10">
        <f>IF($D1876="","",IF(AND($H1876&lt;&gt;"",$I1876&lt;&gt;""),"débit ET crédit",IF(AND($H1876="",$I1876=""),"montant manquant",IF(ISNA(MATCH($D1876,'Plan comptable'!$H:$H,0)),"compte hors plan",IF(AND($A1876&lt;&gt;"",YEAR($A1876)&lt;&gt;Exercice),"hors exercice","")))))</f>
      </c>
    </row>
    <row r="1877">
      <c r="A1877" s="13"/>
      <c r="B1877" s="10"/>
      <c r="C1877" s="9"/>
      <c r="D1877" s="20"/>
      <c r="E1877" s="9">
        <f>IF($D1877="","",IFERROR(VLOOKUP($D1877,'Plan comptable'!$H:$I,2,FALSE),"compte hors plan"))</f>
      </c>
      <c r="F1877" s="9"/>
      <c r="G1877" s="10"/>
      <c r="H1877" s="11"/>
      <c r="I1877" s="11"/>
      <c r="J1877" s="10">
        <f>IF($D1877="","",IF(AND($H1877&lt;&gt;"",$I1877&lt;&gt;""),"débit ET crédit",IF(AND($H1877="",$I1877=""),"montant manquant",IF(ISNA(MATCH($D1877,'Plan comptable'!$H:$H,0)),"compte hors plan",IF(AND($A1877&lt;&gt;"",YEAR($A1877)&lt;&gt;Exercice),"hors exercice","")))))</f>
      </c>
    </row>
    <row r="1878">
      <c r="A1878" s="13"/>
      <c r="B1878" s="10"/>
      <c r="C1878" s="9"/>
      <c r="D1878" s="20"/>
      <c r="E1878" s="9">
        <f>IF($D1878="","",IFERROR(VLOOKUP($D1878,'Plan comptable'!$H:$I,2,FALSE),"compte hors plan"))</f>
      </c>
      <c r="F1878" s="9"/>
      <c r="G1878" s="10"/>
      <c r="H1878" s="11"/>
      <c r="I1878" s="11"/>
      <c r="J1878" s="10">
        <f>IF($D1878="","",IF(AND($H1878&lt;&gt;"",$I1878&lt;&gt;""),"débit ET crédit",IF(AND($H1878="",$I1878=""),"montant manquant",IF(ISNA(MATCH($D1878,'Plan comptable'!$H:$H,0)),"compte hors plan",IF(AND($A1878&lt;&gt;"",YEAR($A1878)&lt;&gt;Exercice),"hors exercice","")))))</f>
      </c>
    </row>
    <row r="1879">
      <c r="A1879" s="13"/>
      <c r="B1879" s="10"/>
      <c r="C1879" s="9"/>
      <c r="D1879" s="20"/>
      <c r="E1879" s="9">
        <f>IF($D1879="","",IFERROR(VLOOKUP($D1879,'Plan comptable'!$H:$I,2,FALSE),"compte hors plan"))</f>
      </c>
      <c r="F1879" s="9"/>
      <c r="G1879" s="10"/>
      <c r="H1879" s="11"/>
      <c r="I1879" s="11"/>
      <c r="J1879" s="10">
        <f>IF($D1879="","",IF(AND($H1879&lt;&gt;"",$I1879&lt;&gt;""),"débit ET crédit",IF(AND($H1879="",$I1879=""),"montant manquant",IF(ISNA(MATCH($D1879,'Plan comptable'!$H:$H,0)),"compte hors plan",IF(AND($A1879&lt;&gt;"",YEAR($A1879)&lt;&gt;Exercice),"hors exercice","")))))</f>
      </c>
    </row>
    <row r="1880">
      <c r="A1880" s="13"/>
      <c r="B1880" s="10"/>
      <c r="C1880" s="9"/>
      <c r="D1880" s="20"/>
      <c r="E1880" s="9">
        <f>IF($D1880="","",IFERROR(VLOOKUP($D1880,'Plan comptable'!$H:$I,2,FALSE),"compte hors plan"))</f>
      </c>
      <c r="F1880" s="9"/>
      <c r="G1880" s="10"/>
      <c r="H1880" s="11"/>
      <c r="I1880" s="11"/>
      <c r="J1880" s="10">
        <f>IF($D1880="","",IF(AND($H1880&lt;&gt;"",$I1880&lt;&gt;""),"débit ET crédit",IF(AND($H1880="",$I1880=""),"montant manquant",IF(ISNA(MATCH($D1880,'Plan comptable'!$H:$H,0)),"compte hors plan",IF(AND($A1880&lt;&gt;"",YEAR($A1880)&lt;&gt;Exercice),"hors exercice","")))))</f>
      </c>
    </row>
    <row r="1881">
      <c r="A1881" s="13"/>
      <c r="B1881" s="10"/>
      <c r="C1881" s="9"/>
      <c r="D1881" s="20"/>
      <c r="E1881" s="9">
        <f>IF($D1881="","",IFERROR(VLOOKUP($D1881,'Plan comptable'!$H:$I,2,FALSE),"compte hors plan"))</f>
      </c>
      <c r="F1881" s="9"/>
      <c r="G1881" s="10"/>
      <c r="H1881" s="11"/>
      <c r="I1881" s="11"/>
      <c r="J1881" s="10">
        <f>IF($D1881="","",IF(AND($H1881&lt;&gt;"",$I1881&lt;&gt;""),"débit ET crédit",IF(AND($H1881="",$I1881=""),"montant manquant",IF(ISNA(MATCH($D1881,'Plan comptable'!$H:$H,0)),"compte hors plan",IF(AND($A1881&lt;&gt;"",YEAR($A1881)&lt;&gt;Exercice),"hors exercice","")))))</f>
      </c>
    </row>
    <row r="1882">
      <c r="A1882" s="13"/>
      <c r="B1882" s="10"/>
      <c r="C1882" s="9"/>
      <c r="D1882" s="20"/>
      <c r="E1882" s="9">
        <f>IF($D1882="","",IFERROR(VLOOKUP($D1882,'Plan comptable'!$H:$I,2,FALSE),"compte hors plan"))</f>
      </c>
      <c r="F1882" s="9"/>
      <c r="G1882" s="10"/>
      <c r="H1882" s="11"/>
      <c r="I1882" s="11"/>
      <c r="J1882" s="10">
        <f>IF($D1882="","",IF(AND($H1882&lt;&gt;"",$I1882&lt;&gt;""),"débit ET crédit",IF(AND($H1882="",$I1882=""),"montant manquant",IF(ISNA(MATCH($D1882,'Plan comptable'!$H:$H,0)),"compte hors plan",IF(AND($A1882&lt;&gt;"",YEAR($A1882)&lt;&gt;Exercice),"hors exercice","")))))</f>
      </c>
    </row>
    <row r="1883">
      <c r="A1883" s="13"/>
      <c r="B1883" s="10"/>
      <c r="C1883" s="9"/>
      <c r="D1883" s="20"/>
      <c r="E1883" s="9">
        <f>IF($D1883="","",IFERROR(VLOOKUP($D1883,'Plan comptable'!$H:$I,2,FALSE),"compte hors plan"))</f>
      </c>
      <c r="F1883" s="9"/>
      <c r="G1883" s="10"/>
      <c r="H1883" s="11"/>
      <c r="I1883" s="11"/>
      <c r="J1883" s="10">
        <f>IF($D1883="","",IF(AND($H1883&lt;&gt;"",$I1883&lt;&gt;""),"débit ET crédit",IF(AND($H1883="",$I1883=""),"montant manquant",IF(ISNA(MATCH($D1883,'Plan comptable'!$H:$H,0)),"compte hors plan",IF(AND($A1883&lt;&gt;"",YEAR($A1883)&lt;&gt;Exercice),"hors exercice","")))))</f>
      </c>
    </row>
    <row r="1884">
      <c r="A1884" s="13"/>
      <c r="B1884" s="10"/>
      <c r="C1884" s="9"/>
      <c r="D1884" s="20"/>
      <c r="E1884" s="9">
        <f>IF($D1884="","",IFERROR(VLOOKUP($D1884,'Plan comptable'!$H:$I,2,FALSE),"compte hors plan"))</f>
      </c>
      <c r="F1884" s="9"/>
      <c r="G1884" s="10"/>
      <c r="H1884" s="11"/>
      <c r="I1884" s="11"/>
      <c r="J1884" s="10">
        <f>IF($D1884="","",IF(AND($H1884&lt;&gt;"",$I1884&lt;&gt;""),"débit ET crédit",IF(AND($H1884="",$I1884=""),"montant manquant",IF(ISNA(MATCH($D1884,'Plan comptable'!$H:$H,0)),"compte hors plan",IF(AND($A1884&lt;&gt;"",YEAR($A1884)&lt;&gt;Exercice),"hors exercice","")))))</f>
      </c>
    </row>
    <row r="1885">
      <c r="A1885" s="13"/>
      <c r="B1885" s="10"/>
      <c r="C1885" s="9"/>
      <c r="D1885" s="20"/>
      <c r="E1885" s="9">
        <f>IF($D1885="","",IFERROR(VLOOKUP($D1885,'Plan comptable'!$H:$I,2,FALSE),"compte hors plan"))</f>
      </c>
      <c r="F1885" s="9"/>
      <c r="G1885" s="10"/>
      <c r="H1885" s="11"/>
      <c r="I1885" s="11"/>
      <c r="J1885" s="10">
        <f>IF($D1885="","",IF(AND($H1885&lt;&gt;"",$I1885&lt;&gt;""),"débit ET crédit",IF(AND($H1885="",$I1885=""),"montant manquant",IF(ISNA(MATCH($D1885,'Plan comptable'!$H:$H,0)),"compte hors plan",IF(AND($A1885&lt;&gt;"",YEAR($A1885)&lt;&gt;Exercice),"hors exercice","")))))</f>
      </c>
    </row>
    <row r="1886">
      <c r="A1886" s="13"/>
      <c r="B1886" s="10"/>
      <c r="C1886" s="9"/>
      <c r="D1886" s="20"/>
      <c r="E1886" s="9">
        <f>IF($D1886="","",IFERROR(VLOOKUP($D1886,'Plan comptable'!$H:$I,2,FALSE),"compte hors plan"))</f>
      </c>
      <c r="F1886" s="9"/>
      <c r="G1886" s="10"/>
      <c r="H1886" s="11"/>
      <c r="I1886" s="11"/>
      <c r="J1886" s="10">
        <f>IF($D1886="","",IF(AND($H1886&lt;&gt;"",$I1886&lt;&gt;""),"débit ET crédit",IF(AND($H1886="",$I1886=""),"montant manquant",IF(ISNA(MATCH($D1886,'Plan comptable'!$H:$H,0)),"compte hors plan",IF(AND($A1886&lt;&gt;"",YEAR($A1886)&lt;&gt;Exercice),"hors exercice","")))))</f>
      </c>
    </row>
    <row r="1887">
      <c r="A1887" s="13"/>
      <c r="B1887" s="10"/>
      <c r="C1887" s="9"/>
      <c r="D1887" s="20"/>
      <c r="E1887" s="9">
        <f>IF($D1887="","",IFERROR(VLOOKUP($D1887,'Plan comptable'!$H:$I,2,FALSE),"compte hors plan"))</f>
      </c>
      <c r="F1887" s="9"/>
      <c r="G1887" s="10"/>
      <c r="H1887" s="11"/>
      <c r="I1887" s="11"/>
      <c r="J1887" s="10">
        <f>IF($D1887="","",IF(AND($H1887&lt;&gt;"",$I1887&lt;&gt;""),"débit ET crédit",IF(AND($H1887="",$I1887=""),"montant manquant",IF(ISNA(MATCH($D1887,'Plan comptable'!$H:$H,0)),"compte hors plan",IF(AND($A1887&lt;&gt;"",YEAR($A1887)&lt;&gt;Exercice),"hors exercice","")))))</f>
      </c>
    </row>
    <row r="1888">
      <c r="A1888" s="13"/>
      <c r="B1888" s="10"/>
      <c r="C1888" s="9"/>
      <c r="D1888" s="20"/>
      <c r="E1888" s="9">
        <f>IF($D1888="","",IFERROR(VLOOKUP($D1888,'Plan comptable'!$H:$I,2,FALSE),"compte hors plan"))</f>
      </c>
      <c r="F1888" s="9"/>
      <c r="G1888" s="10"/>
      <c r="H1888" s="11"/>
      <c r="I1888" s="11"/>
      <c r="J1888" s="10">
        <f>IF($D1888="","",IF(AND($H1888&lt;&gt;"",$I1888&lt;&gt;""),"débit ET crédit",IF(AND($H1888="",$I1888=""),"montant manquant",IF(ISNA(MATCH($D1888,'Plan comptable'!$H:$H,0)),"compte hors plan",IF(AND($A1888&lt;&gt;"",YEAR($A1888)&lt;&gt;Exercice),"hors exercice","")))))</f>
      </c>
    </row>
    <row r="1889">
      <c r="A1889" s="13"/>
      <c r="B1889" s="10"/>
      <c r="C1889" s="9"/>
      <c r="D1889" s="20"/>
      <c r="E1889" s="9">
        <f>IF($D1889="","",IFERROR(VLOOKUP($D1889,'Plan comptable'!$H:$I,2,FALSE),"compte hors plan"))</f>
      </c>
      <c r="F1889" s="9"/>
      <c r="G1889" s="10"/>
      <c r="H1889" s="11"/>
      <c r="I1889" s="11"/>
      <c r="J1889" s="10">
        <f>IF($D1889="","",IF(AND($H1889&lt;&gt;"",$I1889&lt;&gt;""),"débit ET crédit",IF(AND($H1889="",$I1889=""),"montant manquant",IF(ISNA(MATCH($D1889,'Plan comptable'!$H:$H,0)),"compte hors plan",IF(AND($A1889&lt;&gt;"",YEAR($A1889)&lt;&gt;Exercice),"hors exercice","")))))</f>
      </c>
    </row>
    <row r="1890">
      <c r="A1890" s="13"/>
      <c r="B1890" s="10"/>
      <c r="C1890" s="9"/>
      <c r="D1890" s="20"/>
      <c r="E1890" s="9">
        <f>IF($D1890="","",IFERROR(VLOOKUP($D1890,'Plan comptable'!$H:$I,2,FALSE),"compte hors plan"))</f>
      </c>
      <c r="F1890" s="9"/>
      <c r="G1890" s="10"/>
      <c r="H1890" s="11"/>
      <c r="I1890" s="11"/>
      <c r="J1890" s="10">
        <f>IF($D1890="","",IF(AND($H1890&lt;&gt;"",$I1890&lt;&gt;""),"débit ET crédit",IF(AND($H1890="",$I1890=""),"montant manquant",IF(ISNA(MATCH($D1890,'Plan comptable'!$H:$H,0)),"compte hors plan",IF(AND($A1890&lt;&gt;"",YEAR($A1890)&lt;&gt;Exercice),"hors exercice","")))))</f>
      </c>
    </row>
    <row r="1891">
      <c r="A1891" s="13"/>
      <c r="B1891" s="10"/>
      <c r="C1891" s="9"/>
      <c r="D1891" s="20"/>
      <c r="E1891" s="9">
        <f>IF($D1891="","",IFERROR(VLOOKUP($D1891,'Plan comptable'!$H:$I,2,FALSE),"compte hors plan"))</f>
      </c>
      <c r="F1891" s="9"/>
      <c r="G1891" s="10"/>
      <c r="H1891" s="11"/>
      <c r="I1891" s="11"/>
      <c r="J1891" s="10">
        <f>IF($D1891="","",IF(AND($H1891&lt;&gt;"",$I1891&lt;&gt;""),"débit ET crédit",IF(AND($H1891="",$I1891=""),"montant manquant",IF(ISNA(MATCH($D1891,'Plan comptable'!$H:$H,0)),"compte hors plan",IF(AND($A1891&lt;&gt;"",YEAR($A1891)&lt;&gt;Exercice),"hors exercice","")))))</f>
      </c>
    </row>
    <row r="1892">
      <c r="A1892" s="13"/>
      <c r="B1892" s="10"/>
      <c r="C1892" s="9"/>
      <c r="D1892" s="20"/>
      <c r="E1892" s="9">
        <f>IF($D1892="","",IFERROR(VLOOKUP($D1892,'Plan comptable'!$H:$I,2,FALSE),"compte hors plan"))</f>
      </c>
      <c r="F1892" s="9"/>
      <c r="G1892" s="10"/>
      <c r="H1892" s="11"/>
      <c r="I1892" s="11"/>
      <c r="J1892" s="10">
        <f>IF($D1892="","",IF(AND($H1892&lt;&gt;"",$I1892&lt;&gt;""),"débit ET crédit",IF(AND($H1892="",$I1892=""),"montant manquant",IF(ISNA(MATCH($D1892,'Plan comptable'!$H:$H,0)),"compte hors plan",IF(AND($A1892&lt;&gt;"",YEAR($A1892)&lt;&gt;Exercice),"hors exercice","")))))</f>
      </c>
    </row>
    <row r="1893">
      <c r="A1893" s="13"/>
      <c r="B1893" s="10"/>
      <c r="C1893" s="9"/>
      <c r="D1893" s="20"/>
      <c r="E1893" s="9">
        <f>IF($D1893="","",IFERROR(VLOOKUP($D1893,'Plan comptable'!$H:$I,2,FALSE),"compte hors plan"))</f>
      </c>
      <c r="F1893" s="9"/>
      <c r="G1893" s="10"/>
      <c r="H1893" s="11"/>
      <c r="I1893" s="11"/>
      <c r="J1893" s="10">
        <f>IF($D1893="","",IF(AND($H1893&lt;&gt;"",$I1893&lt;&gt;""),"débit ET crédit",IF(AND($H1893="",$I1893=""),"montant manquant",IF(ISNA(MATCH($D1893,'Plan comptable'!$H:$H,0)),"compte hors plan",IF(AND($A1893&lt;&gt;"",YEAR($A1893)&lt;&gt;Exercice),"hors exercice","")))))</f>
      </c>
    </row>
    <row r="1894">
      <c r="A1894" s="13"/>
      <c r="B1894" s="10"/>
      <c r="C1894" s="9"/>
      <c r="D1894" s="20"/>
      <c r="E1894" s="9">
        <f>IF($D1894="","",IFERROR(VLOOKUP($D1894,'Plan comptable'!$H:$I,2,FALSE),"compte hors plan"))</f>
      </c>
      <c r="F1894" s="9"/>
      <c r="G1894" s="10"/>
      <c r="H1894" s="11"/>
      <c r="I1894" s="11"/>
      <c r="J1894" s="10">
        <f>IF($D1894="","",IF(AND($H1894&lt;&gt;"",$I1894&lt;&gt;""),"débit ET crédit",IF(AND($H1894="",$I1894=""),"montant manquant",IF(ISNA(MATCH($D1894,'Plan comptable'!$H:$H,0)),"compte hors plan",IF(AND($A1894&lt;&gt;"",YEAR($A1894)&lt;&gt;Exercice),"hors exercice","")))))</f>
      </c>
    </row>
    <row r="1895">
      <c r="A1895" s="13"/>
      <c r="B1895" s="10"/>
      <c r="C1895" s="9"/>
      <c r="D1895" s="20"/>
      <c r="E1895" s="9">
        <f>IF($D1895="","",IFERROR(VLOOKUP($D1895,'Plan comptable'!$H:$I,2,FALSE),"compte hors plan"))</f>
      </c>
      <c r="F1895" s="9"/>
      <c r="G1895" s="10"/>
      <c r="H1895" s="11"/>
      <c r="I1895" s="11"/>
      <c r="J1895" s="10">
        <f>IF($D1895="","",IF(AND($H1895&lt;&gt;"",$I1895&lt;&gt;""),"débit ET crédit",IF(AND($H1895="",$I1895=""),"montant manquant",IF(ISNA(MATCH($D1895,'Plan comptable'!$H:$H,0)),"compte hors plan",IF(AND($A1895&lt;&gt;"",YEAR($A1895)&lt;&gt;Exercice),"hors exercice","")))))</f>
      </c>
    </row>
    <row r="1896">
      <c r="A1896" s="13"/>
      <c r="B1896" s="10"/>
      <c r="C1896" s="9"/>
      <c r="D1896" s="20"/>
      <c r="E1896" s="9">
        <f>IF($D1896="","",IFERROR(VLOOKUP($D1896,'Plan comptable'!$H:$I,2,FALSE),"compte hors plan"))</f>
      </c>
      <c r="F1896" s="9"/>
      <c r="G1896" s="10"/>
      <c r="H1896" s="11"/>
      <c r="I1896" s="11"/>
      <c r="J1896" s="10">
        <f>IF($D1896="","",IF(AND($H1896&lt;&gt;"",$I1896&lt;&gt;""),"débit ET crédit",IF(AND($H1896="",$I1896=""),"montant manquant",IF(ISNA(MATCH($D1896,'Plan comptable'!$H:$H,0)),"compte hors plan",IF(AND($A1896&lt;&gt;"",YEAR($A1896)&lt;&gt;Exercice),"hors exercice","")))))</f>
      </c>
    </row>
    <row r="1897">
      <c r="A1897" s="13"/>
      <c r="B1897" s="10"/>
      <c r="C1897" s="9"/>
      <c r="D1897" s="20"/>
      <c r="E1897" s="9">
        <f>IF($D1897="","",IFERROR(VLOOKUP($D1897,'Plan comptable'!$H:$I,2,FALSE),"compte hors plan"))</f>
      </c>
      <c r="F1897" s="9"/>
      <c r="G1897" s="10"/>
      <c r="H1897" s="11"/>
      <c r="I1897" s="11"/>
      <c r="J1897" s="10">
        <f>IF($D1897="","",IF(AND($H1897&lt;&gt;"",$I1897&lt;&gt;""),"débit ET crédit",IF(AND($H1897="",$I1897=""),"montant manquant",IF(ISNA(MATCH($D1897,'Plan comptable'!$H:$H,0)),"compte hors plan",IF(AND($A1897&lt;&gt;"",YEAR($A1897)&lt;&gt;Exercice),"hors exercice","")))))</f>
      </c>
    </row>
    <row r="1898">
      <c r="A1898" s="13"/>
      <c r="B1898" s="10"/>
      <c r="C1898" s="9"/>
      <c r="D1898" s="20"/>
      <c r="E1898" s="9">
        <f>IF($D1898="","",IFERROR(VLOOKUP($D1898,'Plan comptable'!$H:$I,2,FALSE),"compte hors plan"))</f>
      </c>
      <c r="F1898" s="9"/>
      <c r="G1898" s="10"/>
      <c r="H1898" s="11"/>
      <c r="I1898" s="11"/>
      <c r="J1898" s="10">
        <f>IF($D1898="","",IF(AND($H1898&lt;&gt;"",$I1898&lt;&gt;""),"débit ET crédit",IF(AND($H1898="",$I1898=""),"montant manquant",IF(ISNA(MATCH($D1898,'Plan comptable'!$H:$H,0)),"compte hors plan",IF(AND($A1898&lt;&gt;"",YEAR($A1898)&lt;&gt;Exercice),"hors exercice","")))))</f>
      </c>
    </row>
    <row r="1899">
      <c r="A1899" s="13"/>
      <c r="B1899" s="10"/>
      <c r="C1899" s="9"/>
      <c r="D1899" s="20"/>
      <c r="E1899" s="9">
        <f>IF($D1899="","",IFERROR(VLOOKUP($D1899,'Plan comptable'!$H:$I,2,FALSE),"compte hors plan"))</f>
      </c>
      <c r="F1899" s="9"/>
      <c r="G1899" s="10"/>
      <c r="H1899" s="11"/>
      <c r="I1899" s="11"/>
      <c r="J1899" s="10">
        <f>IF($D1899="","",IF(AND($H1899&lt;&gt;"",$I1899&lt;&gt;""),"débit ET crédit",IF(AND($H1899="",$I1899=""),"montant manquant",IF(ISNA(MATCH($D1899,'Plan comptable'!$H:$H,0)),"compte hors plan",IF(AND($A1899&lt;&gt;"",YEAR($A1899)&lt;&gt;Exercice),"hors exercice","")))))</f>
      </c>
    </row>
    <row r="1900">
      <c r="A1900" s="13"/>
      <c r="B1900" s="10"/>
      <c r="C1900" s="9"/>
      <c r="D1900" s="20"/>
      <c r="E1900" s="9">
        <f>IF($D1900="","",IFERROR(VLOOKUP($D1900,'Plan comptable'!$H:$I,2,FALSE),"compte hors plan"))</f>
      </c>
      <c r="F1900" s="9"/>
      <c r="G1900" s="10"/>
      <c r="H1900" s="11"/>
      <c r="I1900" s="11"/>
      <c r="J1900" s="10">
        <f>IF($D1900="","",IF(AND($H1900&lt;&gt;"",$I1900&lt;&gt;""),"débit ET crédit",IF(AND($H1900="",$I1900=""),"montant manquant",IF(ISNA(MATCH($D1900,'Plan comptable'!$H:$H,0)),"compte hors plan",IF(AND($A1900&lt;&gt;"",YEAR($A1900)&lt;&gt;Exercice),"hors exercice","")))))</f>
      </c>
    </row>
    <row r="1901">
      <c r="A1901" s="13"/>
      <c r="B1901" s="10"/>
      <c r="C1901" s="9"/>
      <c r="D1901" s="20"/>
      <c r="E1901" s="9">
        <f>IF($D1901="","",IFERROR(VLOOKUP($D1901,'Plan comptable'!$H:$I,2,FALSE),"compte hors plan"))</f>
      </c>
      <c r="F1901" s="9"/>
      <c r="G1901" s="10"/>
      <c r="H1901" s="11"/>
      <c r="I1901" s="11"/>
      <c r="J1901" s="10">
        <f>IF($D1901="","",IF(AND($H1901&lt;&gt;"",$I1901&lt;&gt;""),"débit ET crédit",IF(AND($H1901="",$I1901=""),"montant manquant",IF(ISNA(MATCH($D1901,'Plan comptable'!$H:$H,0)),"compte hors plan",IF(AND($A1901&lt;&gt;"",YEAR($A1901)&lt;&gt;Exercice),"hors exercice","")))))</f>
      </c>
    </row>
    <row r="1902">
      <c r="A1902" s="13"/>
      <c r="B1902" s="10"/>
      <c r="C1902" s="9"/>
      <c r="D1902" s="20"/>
      <c r="E1902" s="9">
        <f>IF($D1902="","",IFERROR(VLOOKUP($D1902,'Plan comptable'!$H:$I,2,FALSE),"compte hors plan"))</f>
      </c>
      <c r="F1902" s="9"/>
      <c r="G1902" s="10"/>
      <c r="H1902" s="11"/>
      <c r="I1902" s="11"/>
      <c r="J1902" s="10">
        <f>IF($D1902="","",IF(AND($H1902&lt;&gt;"",$I1902&lt;&gt;""),"débit ET crédit",IF(AND($H1902="",$I1902=""),"montant manquant",IF(ISNA(MATCH($D1902,'Plan comptable'!$H:$H,0)),"compte hors plan",IF(AND($A1902&lt;&gt;"",YEAR($A1902)&lt;&gt;Exercice),"hors exercice","")))))</f>
      </c>
    </row>
    <row r="1903">
      <c r="A1903" s="13"/>
      <c r="B1903" s="10"/>
      <c r="C1903" s="9"/>
      <c r="D1903" s="20"/>
      <c r="E1903" s="9">
        <f>IF($D1903="","",IFERROR(VLOOKUP($D1903,'Plan comptable'!$H:$I,2,FALSE),"compte hors plan"))</f>
      </c>
      <c r="F1903" s="9"/>
      <c r="G1903" s="10"/>
      <c r="H1903" s="11"/>
      <c r="I1903" s="11"/>
      <c r="J1903" s="10">
        <f>IF($D1903="","",IF(AND($H1903&lt;&gt;"",$I1903&lt;&gt;""),"débit ET crédit",IF(AND($H1903="",$I1903=""),"montant manquant",IF(ISNA(MATCH($D1903,'Plan comptable'!$H:$H,0)),"compte hors plan",IF(AND($A1903&lt;&gt;"",YEAR($A1903)&lt;&gt;Exercice),"hors exercice","")))))</f>
      </c>
    </row>
    <row r="1904">
      <c r="A1904" s="13"/>
      <c r="B1904" s="10"/>
      <c r="C1904" s="9"/>
      <c r="D1904" s="20"/>
      <c r="E1904" s="9">
        <f>IF($D1904="","",IFERROR(VLOOKUP($D1904,'Plan comptable'!$H:$I,2,FALSE),"compte hors plan"))</f>
      </c>
      <c r="F1904" s="9"/>
      <c r="G1904" s="10"/>
      <c r="H1904" s="11"/>
      <c r="I1904" s="11"/>
      <c r="J1904" s="10">
        <f>IF($D1904="","",IF(AND($H1904&lt;&gt;"",$I1904&lt;&gt;""),"débit ET crédit",IF(AND($H1904="",$I1904=""),"montant manquant",IF(ISNA(MATCH($D1904,'Plan comptable'!$H:$H,0)),"compte hors plan",IF(AND($A1904&lt;&gt;"",YEAR($A1904)&lt;&gt;Exercice),"hors exercice","")))))</f>
      </c>
    </row>
    <row r="1905">
      <c r="A1905" s="13"/>
      <c r="B1905" s="10"/>
      <c r="C1905" s="9"/>
      <c r="D1905" s="20"/>
      <c r="E1905" s="9">
        <f>IF($D1905="","",IFERROR(VLOOKUP($D1905,'Plan comptable'!$H:$I,2,FALSE),"compte hors plan"))</f>
      </c>
      <c r="F1905" s="9"/>
      <c r="G1905" s="10"/>
      <c r="H1905" s="11"/>
      <c r="I1905" s="11"/>
      <c r="J1905" s="10">
        <f>IF($D1905="","",IF(AND($H1905&lt;&gt;"",$I1905&lt;&gt;""),"débit ET crédit",IF(AND($H1905="",$I1905=""),"montant manquant",IF(ISNA(MATCH($D1905,'Plan comptable'!$H:$H,0)),"compte hors plan",IF(AND($A1905&lt;&gt;"",YEAR($A1905)&lt;&gt;Exercice),"hors exercice","")))))</f>
      </c>
    </row>
    <row r="1906">
      <c r="A1906" s="13"/>
      <c r="B1906" s="10"/>
      <c r="C1906" s="9"/>
      <c r="D1906" s="20"/>
      <c r="E1906" s="9">
        <f>IF($D1906="","",IFERROR(VLOOKUP($D1906,'Plan comptable'!$H:$I,2,FALSE),"compte hors plan"))</f>
      </c>
      <c r="F1906" s="9"/>
      <c r="G1906" s="10"/>
      <c r="H1906" s="11"/>
      <c r="I1906" s="11"/>
      <c r="J1906" s="10">
        <f>IF($D1906="","",IF(AND($H1906&lt;&gt;"",$I1906&lt;&gt;""),"débit ET crédit",IF(AND($H1906="",$I1906=""),"montant manquant",IF(ISNA(MATCH($D1906,'Plan comptable'!$H:$H,0)),"compte hors plan",IF(AND($A1906&lt;&gt;"",YEAR($A1906)&lt;&gt;Exercice),"hors exercice","")))))</f>
      </c>
    </row>
    <row r="1907">
      <c r="A1907" s="13"/>
      <c r="B1907" s="10"/>
      <c r="C1907" s="9"/>
      <c r="D1907" s="20"/>
      <c r="E1907" s="9">
        <f>IF($D1907="","",IFERROR(VLOOKUP($D1907,'Plan comptable'!$H:$I,2,FALSE),"compte hors plan"))</f>
      </c>
      <c r="F1907" s="9"/>
      <c r="G1907" s="10"/>
      <c r="H1907" s="11"/>
      <c r="I1907" s="11"/>
      <c r="J1907" s="10">
        <f>IF($D1907="","",IF(AND($H1907&lt;&gt;"",$I1907&lt;&gt;""),"débit ET crédit",IF(AND($H1907="",$I1907=""),"montant manquant",IF(ISNA(MATCH($D1907,'Plan comptable'!$H:$H,0)),"compte hors plan",IF(AND($A1907&lt;&gt;"",YEAR($A1907)&lt;&gt;Exercice),"hors exercice","")))))</f>
      </c>
    </row>
    <row r="1908">
      <c r="A1908" s="13"/>
      <c r="B1908" s="10"/>
      <c r="C1908" s="9"/>
      <c r="D1908" s="20"/>
      <c r="E1908" s="9">
        <f>IF($D1908="","",IFERROR(VLOOKUP($D1908,'Plan comptable'!$H:$I,2,FALSE),"compte hors plan"))</f>
      </c>
      <c r="F1908" s="9"/>
      <c r="G1908" s="10"/>
      <c r="H1908" s="11"/>
      <c r="I1908" s="11"/>
      <c r="J1908" s="10">
        <f>IF($D1908="","",IF(AND($H1908&lt;&gt;"",$I1908&lt;&gt;""),"débit ET crédit",IF(AND($H1908="",$I1908=""),"montant manquant",IF(ISNA(MATCH($D1908,'Plan comptable'!$H:$H,0)),"compte hors plan",IF(AND($A1908&lt;&gt;"",YEAR($A1908)&lt;&gt;Exercice),"hors exercice","")))))</f>
      </c>
    </row>
    <row r="1909">
      <c r="A1909" s="13"/>
      <c r="B1909" s="10"/>
      <c r="C1909" s="9"/>
      <c r="D1909" s="20"/>
      <c r="E1909" s="9">
        <f>IF($D1909="","",IFERROR(VLOOKUP($D1909,'Plan comptable'!$H:$I,2,FALSE),"compte hors plan"))</f>
      </c>
      <c r="F1909" s="9"/>
      <c r="G1909" s="10"/>
      <c r="H1909" s="11"/>
      <c r="I1909" s="11"/>
      <c r="J1909" s="10">
        <f>IF($D1909="","",IF(AND($H1909&lt;&gt;"",$I1909&lt;&gt;""),"débit ET crédit",IF(AND($H1909="",$I1909=""),"montant manquant",IF(ISNA(MATCH($D1909,'Plan comptable'!$H:$H,0)),"compte hors plan",IF(AND($A1909&lt;&gt;"",YEAR($A1909)&lt;&gt;Exercice),"hors exercice","")))))</f>
      </c>
    </row>
    <row r="1910">
      <c r="A1910" s="13"/>
      <c r="B1910" s="10"/>
      <c r="C1910" s="9"/>
      <c r="D1910" s="20"/>
      <c r="E1910" s="9">
        <f>IF($D1910="","",IFERROR(VLOOKUP($D1910,'Plan comptable'!$H:$I,2,FALSE),"compte hors plan"))</f>
      </c>
      <c r="F1910" s="9"/>
      <c r="G1910" s="10"/>
      <c r="H1910" s="11"/>
      <c r="I1910" s="11"/>
      <c r="J1910" s="10">
        <f>IF($D1910="","",IF(AND($H1910&lt;&gt;"",$I1910&lt;&gt;""),"débit ET crédit",IF(AND($H1910="",$I1910=""),"montant manquant",IF(ISNA(MATCH($D1910,'Plan comptable'!$H:$H,0)),"compte hors plan",IF(AND($A1910&lt;&gt;"",YEAR($A1910)&lt;&gt;Exercice),"hors exercice","")))))</f>
      </c>
    </row>
    <row r="1911">
      <c r="A1911" s="13"/>
      <c r="B1911" s="10"/>
      <c r="C1911" s="9"/>
      <c r="D1911" s="20"/>
      <c r="E1911" s="9">
        <f>IF($D1911="","",IFERROR(VLOOKUP($D1911,'Plan comptable'!$H:$I,2,FALSE),"compte hors plan"))</f>
      </c>
      <c r="F1911" s="9"/>
      <c r="G1911" s="10"/>
      <c r="H1911" s="11"/>
      <c r="I1911" s="11"/>
      <c r="J1911" s="10">
        <f>IF($D1911="","",IF(AND($H1911&lt;&gt;"",$I1911&lt;&gt;""),"débit ET crédit",IF(AND($H1911="",$I1911=""),"montant manquant",IF(ISNA(MATCH($D1911,'Plan comptable'!$H:$H,0)),"compte hors plan",IF(AND($A1911&lt;&gt;"",YEAR($A1911)&lt;&gt;Exercice),"hors exercice","")))))</f>
      </c>
    </row>
    <row r="1912">
      <c r="A1912" s="13"/>
      <c r="B1912" s="10"/>
      <c r="C1912" s="9"/>
      <c r="D1912" s="20"/>
      <c r="E1912" s="9">
        <f>IF($D1912="","",IFERROR(VLOOKUP($D1912,'Plan comptable'!$H:$I,2,FALSE),"compte hors plan"))</f>
      </c>
      <c r="F1912" s="9"/>
      <c r="G1912" s="10"/>
      <c r="H1912" s="11"/>
      <c r="I1912" s="11"/>
      <c r="J1912" s="10">
        <f>IF($D1912="","",IF(AND($H1912&lt;&gt;"",$I1912&lt;&gt;""),"débit ET crédit",IF(AND($H1912="",$I1912=""),"montant manquant",IF(ISNA(MATCH($D1912,'Plan comptable'!$H:$H,0)),"compte hors plan",IF(AND($A1912&lt;&gt;"",YEAR($A1912)&lt;&gt;Exercice),"hors exercice","")))))</f>
      </c>
    </row>
    <row r="1913">
      <c r="A1913" s="13"/>
      <c r="B1913" s="10"/>
      <c r="C1913" s="9"/>
      <c r="D1913" s="20"/>
      <c r="E1913" s="9">
        <f>IF($D1913="","",IFERROR(VLOOKUP($D1913,'Plan comptable'!$H:$I,2,FALSE),"compte hors plan"))</f>
      </c>
      <c r="F1913" s="9"/>
      <c r="G1913" s="10"/>
      <c r="H1913" s="11"/>
      <c r="I1913" s="11"/>
      <c r="J1913" s="10">
        <f>IF($D1913="","",IF(AND($H1913&lt;&gt;"",$I1913&lt;&gt;""),"débit ET crédit",IF(AND($H1913="",$I1913=""),"montant manquant",IF(ISNA(MATCH($D1913,'Plan comptable'!$H:$H,0)),"compte hors plan",IF(AND($A1913&lt;&gt;"",YEAR($A1913)&lt;&gt;Exercice),"hors exercice","")))))</f>
      </c>
    </row>
    <row r="1914">
      <c r="A1914" s="13"/>
      <c r="B1914" s="10"/>
      <c r="C1914" s="9"/>
      <c r="D1914" s="20"/>
      <c r="E1914" s="9">
        <f>IF($D1914="","",IFERROR(VLOOKUP($D1914,'Plan comptable'!$H:$I,2,FALSE),"compte hors plan"))</f>
      </c>
      <c r="F1914" s="9"/>
      <c r="G1914" s="10"/>
      <c r="H1914" s="11"/>
      <c r="I1914" s="11"/>
      <c r="J1914" s="10">
        <f>IF($D1914="","",IF(AND($H1914&lt;&gt;"",$I1914&lt;&gt;""),"débit ET crédit",IF(AND($H1914="",$I1914=""),"montant manquant",IF(ISNA(MATCH($D1914,'Plan comptable'!$H:$H,0)),"compte hors plan",IF(AND($A1914&lt;&gt;"",YEAR($A1914)&lt;&gt;Exercice),"hors exercice","")))))</f>
      </c>
    </row>
    <row r="1915">
      <c r="A1915" s="13"/>
      <c r="B1915" s="10"/>
      <c r="C1915" s="9"/>
      <c r="D1915" s="20"/>
      <c r="E1915" s="9">
        <f>IF($D1915="","",IFERROR(VLOOKUP($D1915,'Plan comptable'!$H:$I,2,FALSE),"compte hors plan"))</f>
      </c>
      <c r="F1915" s="9"/>
      <c r="G1915" s="10"/>
      <c r="H1915" s="11"/>
      <c r="I1915" s="11"/>
      <c r="J1915" s="10">
        <f>IF($D1915="","",IF(AND($H1915&lt;&gt;"",$I1915&lt;&gt;""),"débit ET crédit",IF(AND($H1915="",$I1915=""),"montant manquant",IF(ISNA(MATCH($D1915,'Plan comptable'!$H:$H,0)),"compte hors plan",IF(AND($A1915&lt;&gt;"",YEAR($A1915)&lt;&gt;Exercice),"hors exercice","")))))</f>
      </c>
    </row>
    <row r="1916">
      <c r="A1916" s="13"/>
      <c r="B1916" s="10"/>
      <c r="C1916" s="9"/>
      <c r="D1916" s="20"/>
      <c r="E1916" s="9">
        <f>IF($D1916="","",IFERROR(VLOOKUP($D1916,'Plan comptable'!$H:$I,2,FALSE),"compte hors plan"))</f>
      </c>
      <c r="F1916" s="9"/>
      <c r="G1916" s="10"/>
      <c r="H1916" s="11"/>
      <c r="I1916" s="11"/>
      <c r="J1916" s="10">
        <f>IF($D1916="","",IF(AND($H1916&lt;&gt;"",$I1916&lt;&gt;""),"débit ET crédit",IF(AND($H1916="",$I1916=""),"montant manquant",IF(ISNA(MATCH($D1916,'Plan comptable'!$H:$H,0)),"compte hors plan",IF(AND($A1916&lt;&gt;"",YEAR($A1916)&lt;&gt;Exercice),"hors exercice","")))))</f>
      </c>
    </row>
    <row r="1917">
      <c r="A1917" s="13"/>
      <c r="B1917" s="10"/>
      <c r="C1917" s="9"/>
      <c r="D1917" s="20"/>
      <c r="E1917" s="9">
        <f>IF($D1917="","",IFERROR(VLOOKUP($D1917,'Plan comptable'!$H:$I,2,FALSE),"compte hors plan"))</f>
      </c>
      <c r="F1917" s="9"/>
      <c r="G1917" s="10"/>
      <c r="H1917" s="11"/>
      <c r="I1917" s="11"/>
      <c r="J1917" s="10">
        <f>IF($D1917="","",IF(AND($H1917&lt;&gt;"",$I1917&lt;&gt;""),"débit ET crédit",IF(AND($H1917="",$I1917=""),"montant manquant",IF(ISNA(MATCH($D1917,'Plan comptable'!$H:$H,0)),"compte hors plan",IF(AND($A1917&lt;&gt;"",YEAR($A1917)&lt;&gt;Exercice),"hors exercice","")))))</f>
      </c>
    </row>
    <row r="1918">
      <c r="A1918" s="13"/>
      <c r="B1918" s="10"/>
      <c r="C1918" s="9"/>
      <c r="D1918" s="20"/>
      <c r="E1918" s="9">
        <f>IF($D1918="","",IFERROR(VLOOKUP($D1918,'Plan comptable'!$H:$I,2,FALSE),"compte hors plan"))</f>
      </c>
      <c r="F1918" s="9"/>
      <c r="G1918" s="10"/>
      <c r="H1918" s="11"/>
      <c r="I1918" s="11"/>
      <c r="J1918" s="10">
        <f>IF($D1918="","",IF(AND($H1918&lt;&gt;"",$I1918&lt;&gt;""),"débit ET crédit",IF(AND($H1918="",$I1918=""),"montant manquant",IF(ISNA(MATCH($D1918,'Plan comptable'!$H:$H,0)),"compte hors plan",IF(AND($A1918&lt;&gt;"",YEAR($A1918)&lt;&gt;Exercice),"hors exercice","")))))</f>
      </c>
    </row>
    <row r="1919">
      <c r="A1919" s="13"/>
      <c r="B1919" s="10"/>
      <c r="C1919" s="9"/>
      <c r="D1919" s="20"/>
      <c r="E1919" s="9">
        <f>IF($D1919="","",IFERROR(VLOOKUP($D1919,'Plan comptable'!$H:$I,2,FALSE),"compte hors plan"))</f>
      </c>
      <c r="F1919" s="9"/>
      <c r="G1919" s="10"/>
      <c r="H1919" s="11"/>
      <c r="I1919" s="11"/>
      <c r="J1919" s="10">
        <f>IF($D1919="","",IF(AND($H1919&lt;&gt;"",$I1919&lt;&gt;""),"débit ET crédit",IF(AND($H1919="",$I1919=""),"montant manquant",IF(ISNA(MATCH($D1919,'Plan comptable'!$H:$H,0)),"compte hors plan",IF(AND($A1919&lt;&gt;"",YEAR($A1919)&lt;&gt;Exercice),"hors exercice","")))))</f>
      </c>
    </row>
    <row r="1920">
      <c r="A1920" s="13"/>
      <c r="B1920" s="10"/>
      <c r="C1920" s="9"/>
      <c r="D1920" s="20"/>
      <c r="E1920" s="9">
        <f>IF($D1920="","",IFERROR(VLOOKUP($D1920,'Plan comptable'!$H:$I,2,FALSE),"compte hors plan"))</f>
      </c>
      <c r="F1920" s="9"/>
      <c r="G1920" s="10"/>
      <c r="H1920" s="11"/>
      <c r="I1920" s="11"/>
      <c r="J1920" s="10">
        <f>IF($D1920="","",IF(AND($H1920&lt;&gt;"",$I1920&lt;&gt;""),"débit ET crédit",IF(AND($H1920="",$I1920=""),"montant manquant",IF(ISNA(MATCH($D1920,'Plan comptable'!$H:$H,0)),"compte hors plan",IF(AND($A1920&lt;&gt;"",YEAR($A1920)&lt;&gt;Exercice),"hors exercice","")))))</f>
      </c>
    </row>
    <row r="1921">
      <c r="A1921" s="13"/>
      <c r="B1921" s="10"/>
      <c r="C1921" s="9"/>
      <c r="D1921" s="20"/>
      <c r="E1921" s="9">
        <f>IF($D1921="","",IFERROR(VLOOKUP($D1921,'Plan comptable'!$H:$I,2,FALSE),"compte hors plan"))</f>
      </c>
      <c r="F1921" s="9"/>
      <c r="G1921" s="10"/>
      <c r="H1921" s="11"/>
      <c r="I1921" s="11"/>
      <c r="J1921" s="10">
        <f>IF($D1921="","",IF(AND($H1921&lt;&gt;"",$I1921&lt;&gt;""),"débit ET crédit",IF(AND($H1921="",$I1921=""),"montant manquant",IF(ISNA(MATCH($D1921,'Plan comptable'!$H:$H,0)),"compte hors plan",IF(AND($A1921&lt;&gt;"",YEAR($A1921)&lt;&gt;Exercice),"hors exercice","")))))</f>
      </c>
    </row>
    <row r="1922">
      <c r="A1922" s="13"/>
      <c r="B1922" s="10"/>
      <c r="C1922" s="9"/>
      <c r="D1922" s="20"/>
      <c r="E1922" s="9">
        <f>IF($D1922="","",IFERROR(VLOOKUP($D1922,'Plan comptable'!$H:$I,2,FALSE),"compte hors plan"))</f>
      </c>
      <c r="F1922" s="9"/>
      <c r="G1922" s="10"/>
      <c r="H1922" s="11"/>
      <c r="I1922" s="11"/>
      <c r="J1922" s="10">
        <f>IF($D1922="","",IF(AND($H1922&lt;&gt;"",$I1922&lt;&gt;""),"débit ET crédit",IF(AND($H1922="",$I1922=""),"montant manquant",IF(ISNA(MATCH($D1922,'Plan comptable'!$H:$H,0)),"compte hors plan",IF(AND($A1922&lt;&gt;"",YEAR($A1922)&lt;&gt;Exercice),"hors exercice","")))))</f>
      </c>
    </row>
    <row r="1923">
      <c r="A1923" s="13"/>
      <c r="B1923" s="10"/>
      <c r="C1923" s="9"/>
      <c r="D1923" s="20"/>
      <c r="E1923" s="9">
        <f>IF($D1923="","",IFERROR(VLOOKUP($D1923,'Plan comptable'!$H:$I,2,FALSE),"compte hors plan"))</f>
      </c>
      <c r="F1923" s="9"/>
      <c r="G1923" s="10"/>
      <c r="H1923" s="11"/>
      <c r="I1923" s="11"/>
      <c r="J1923" s="10">
        <f>IF($D1923="","",IF(AND($H1923&lt;&gt;"",$I1923&lt;&gt;""),"débit ET crédit",IF(AND($H1923="",$I1923=""),"montant manquant",IF(ISNA(MATCH($D1923,'Plan comptable'!$H:$H,0)),"compte hors plan",IF(AND($A1923&lt;&gt;"",YEAR($A1923)&lt;&gt;Exercice),"hors exercice","")))))</f>
      </c>
    </row>
    <row r="1924">
      <c r="A1924" s="13"/>
      <c r="B1924" s="10"/>
      <c r="C1924" s="9"/>
      <c r="D1924" s="20"/>
      <c r="E1924" s="9">
        <f>IF($D1924="","",IFERROR(VLOOKUP($D1924,'Plan comptable'!$H:$I,2,FALSE),"compte hors plan"))</f>
      </c>
      <c r="F1924" s="9"/>
      <c r="G1924" s="10"/>
      <c r="H1924" s="11"/>
      <c r="I1924" s="11"/>
      <c r="J1924" s="10">
        <f>IF($D1924="","",IF(AND($H1924&lt;&gt;"",$I1924&lt;&gt;""),"débit ET crédit",IF(AND($H1924="",$I1924=""),"montant manquant",IF(ISNA(MATCH($D1924,'Plan comptable'!$H:$H,0)),"compte hors plan",IF(AND($A1924&lt;&gt;"",YEAR($A1924)&lt;&gt;Exercice),"hors exercice","")))))</f>
      </c>
    </row>
    <row r="1925">
      <c r="A1925" s="13"/>
      <c r="B1925" s="10"/>
      <c r="C1925" s="9"/>
      <c r="D1925" s="20"/>
      <c r="E1925" s="9">
        <f>IF($D1925="","",IFERROR(VLOOKUP($D1925,'Plan comptable'!$H:$I,2,FALSE),"compte hors plan"))</f>
      </c>
      <c r="F1925" s="9"/>
      <c r="G1925" s="10"/>
      <c r="H1925" s="11"/>
      <c r="I1925" s="11"/>
      <c r="J1925" s="10">
        <f>IF($D1925="","",IF(AND($H1925&lt;&gt;"",$I1925&lt;&gt;""),"débit ET crédit",IF(AND($H1925="",$I1925=""),"montant manquant",IF(ISNA(MATCH($D1925,'Plan comptable'!$H:$H,0)),"compte hors plan",IF(AND($A1925&lt;&gt;"",YEAR($A1925)&lt;&gt;Exercice),"hors exercice","")))))</f>
      </c>
    </row>
    <row r="1926">
      <c r="A1926" s="13"/>
      <c r="B1926" s="10"/>
      <c r="C1926" s="9"/>
      <c r="D1926" s="20"/>
      <c r="E1926" s="9">
        <f>IF($D1926="","",IFERROR(VLOOKUP($D1926,'Plan comptable'!$H:$I,2,FALSE),"compte hors plan"))</f>
      </c>
      <c r="F1926" s="9"/>
      <c r="G1926" s="10"/>
      <c r="H1926" s="11"/>
      <c r="I1926" s="11"/>
      <c r="J1926" s="10">
        <f>IF($D1926="","",IF(AND($H1926&lt;&gt;"",$I1926&lt;&gt;""),"débit ET crédit",IF(AND($H1926="",$I1926=""),"montant manquant",IF(ISNA(MATCH($D1926,'Plan comptable'!$H:$H,0)),"compte hors plan",IF(AND($A1926&lt;&gt;"",YEAR($A1926)&lt;&gt;Exercice),"hors exercice","")))))</f>
      </c>
    </row>
    <row r="1927">
      <c r="A1927" s="13"/>
      <c r="B1927" s="10"/>
      <c r="C1927" s="9"/>
      <c r="D1927" s="20"/>
      <c r="E1927" s="9">
        <f>IF($D1927="","",IFERROR(VLOOKUP($D1927,'Plan comptable'!$H:$I,2,FALSE),"compte hors plan"))</f>
      </c>
      <c r="F1927" s="9"/>
      <c r="G1927" s="10"/>
      <c r="H1927" s="11"/>
      <c r="I1927" s="11"/>
      <c r="J1927" s="10">
        <f>IF($D1927="","",IF(AND($H1927&lt;&gt;"",$I1927&lt;&gt;""),"débit ET crédit",IF(AND($H1927="",$I1927=""),"montant manquant",IF(ISNA(MATCH($D1927,'Plan comptable'!$H:$H,0)),"compte hors plan",IF(AND($A1927&lt;&gt;"",YEAR($A1927)&lt;&gt;Exercice),"hors exercice","")))))</f>
      </c>
    </row>
    <row r="1928">
      <c r="A1928" s="13"/>
      <c r="B1928" s="10"/>
      <c r="C1928" s="9"/>
      <c r="D1928" s="20"/>
      <c r="E1928" s="9">
        <f>IF($D1928="","",IFERROR(VLOOKUP($D1928,'Plan comptable'!$H:$I,2,FALSE),"compte hors plan"))</f>
      </c>
      <c r="F1928" s="9"/>
      <c r="G1928" s="10"/>
      <c r="H1928" s="11"/>
      <c r="I1928" s="11"/>
      <c r="J1928" s="10">
        <f>IF($D1928="","",IF(AND($H1928&lt;&gt;"",$I1928&lt;&gt;""),"débit ET crédit",IF(AND($H1928="",$I1928=""),"montant manquant",IF(ISNA(MATCH($D1928,'Plan comptable'!$H:$H,0)),"compte hors plan",IF(AND($A1928&lt;&gt;"",YEAR($A1928)&lt;&gt;Exercice),"hors exercice","")))))</f>
      </c>
    </row>
    <row r="1929">
      <c r="A1929" s="13"/>
      <c r="B1929" s="10"/>
      <c r="C1929" s="9"/>
      <c r="D1929" s="20"/>
      <c r="E1929" s="9">
        <f>IF($D1929="","",IFERROR(VLOOKUP($D1929,'Plan comptable'!$H:$I,2,FALSE),"compte hors plan"))</f>
      </c>
      <c r="F1929" s="9"/>
      <c r="G1929" s="10"/>
      <c r="H1929" s="11"/>
      <c r="I1929" s="11"/>
      <c r="J1929" s="10">
        <f>IF($D1929="","",IF(AND($H1929&lt;&gt;"",$I1929&lt;&gt;""),"débit ET crédit",IF(AND($H1929="",$I1929=""),"montant manquant",IF(ISNA(MATCH($D1929,'Plan comptable'!$H:$H,0)),"compte hors plan",IF(AND($A1929&lt;&gt;"",YEAR($A1929)&lt;&gt;Exercice),"hors exercice","")))))</f>
      </c>
    </row>
    <row r="1930">
      <c r="A1930" s="13"/>
      <c r="B1930" s="10"/>
      <c r="C1930" s="9"/>
      <c r="D1930" s="20"/>
      <c r="E1930" s="9">
        <f>IF($D1930="","",IFERROR(VLOOKUP($D1930,'Plan comptable'!$H:$I,2,FALSE),"compte hors plan"))</f>
      </c>
      <c r="F1930" s="9"/>
      <c r="G1930" s="10"/>
      <c r="H1930" s="11"/>
      <c r="I1930" s="11"/>
      <c r="J1930" s="10">
        <f>IF($D1930="","",IF(AND($H1930&lt;&gt;"",$I1930&lt;&gt;""),"débit ET crédit",IF(AND($H1930="",$I1930=""),"montant manquant",IF(ISNA(MATCH($D1930,'Plan comptable'!$H:$H,0)),"compte hors plan",IF(AND($A1930&lt;&gt;"",YEAR($A1930)&lt;&gt;Exercice),"hors exercice","")))))</f>
      </c>
    </row>
    <row r="1931">
      <c r="A1931" s="13"/>
      <c r="B1931" s="10"/>
      <c r="C1931" s="9"/>
      <c r="D1931" s="20"/>
      <c r="E1931" s="9">
        <f>IF($D1931="","",IFERROR(VLOOKUP($D1931,'Plan comptable'!$H:$I,2,FALSE),"compte hors plan"))</f>
      </c>
      <c r="F1931" s="9"/>
      <c r="G1931" s="10"/>
      <c r="H1931" s="11"/>
      <c r="I1931" s="11"/>
      <c r="J1931" s="10">
        <f>IF($D1931="","",IF(AND($H1931&lt;&gt;"",$I1931&lt;&gt;""),"débit ET crédit",IF(AND($H1931="",$I1931=""),"montant manquant",IF(ISNA(MATCH($D1931,'Plan comptable'!$H:$H,0)),"compte hors plan",IF(AND($A1931&lt;&gt;"",YEAR($A1931)&lt;&gt;Exercice),"hors exercice","")))))</f>
      </c>
    </row>
    <row r="1932">
      <c r="A1932" s="13"/>
      <c r="B1932" s="10"/>
      <c r="C1932" s="9"/>
      <c r="D1932" s="20"/>
      <c r="E1932" s="9">
        <f>IF($D1932="","",IFERROR(VLOOKUP($D1932,'Plan comptable'!$H:$I,2,FALSE),"compte hors plan"))</f>
      </c>
      <c r="F1932" s="9"/>
      <c r="G1932" s="10"/>
      <c r="H1932" s="11"/>
      <c r="I1932" s="11"/>
      <c r="J1932" s="10">
        <f>IF($D1932="","",IF(AND($H1932&lt;&gt;"",$I1932&lt;&gt;""),"débit ET crédit",IF(AND($H1932="",$I1932=""),"montant manquant",IF(ISNA(MATCH($D1932,'Plan comptable'!$H:$H,0)),"compte hors plan",IF(AND($A1932&lt;&gt;"",YEAR($A1932)&lt;&gt;Exercice),"hors exercice","")))))</f>
      </c>
    </row>
    <row r="1933">
      <c r="A1933" s="13"/>
      <c r="B1933" s="10"/>
      <c r="C1933" s="9"/>
      <c r="D1933" s="20"/>
      <c r="E1933" s="9">
        <f>IF($D1933="","",IFERROR(VLOOKUP($D1933,'Plan comptable'!$H:$I,2,FALSE),"compte hors plan"))</f>
      </c>
      <c r="F1933" s="9"/>
      <c r="G1933" s="10"/>
      <c r="H1933" s="11"/>
      <c r="I1933" s="11"/>
      <c r="J1933" s="10">
        <f>IF($D1933="","",IF(AND($H1933&lt;&gt;"",$I1933&lt;&gt;""),"débit ET crédit",IF(AND($H1933="",$I1933=""),"montant manquant",IF(ISNA(MATCH($D1933,'Plan comptable'!$H:$H,0)),"compte hors plan",IF(AND($A1933&lt;&gt;"",YEAR($A1933)&lt;&gt;Exercice),"hors exercice","")))))</f>
      </c>
    </row>
    <row r="1934">
      <c r="A1934" s="13"/>
      <c r="B1934" s="10"/>
      <c r="C1934" s="9"/>
      <c r="D1934" s="20"/>
      <c r="E1934" s="9">
        <f>IF($D1934="","",IFERROR(VLOOKUP($D1934,'Plan comptable'!$H:$I,2,FALSE),"compte hors plan"))</f>
      </c>
      <c r="F1934" s="9"/>
      <c r="G1934" s="10"/>
      <c r="H1934" s="11"/>
      <c r="I1934" s="11"/>
      <c r="J1934" s="10">
        <f>IF($D1934="","",IF(AND($H1934&lt;&gt;"",$I1934&lt;&gt;""),"débit ET crédit",IF(AND($H1934="",$I1934=""),"montant manquant",IF(ISNA(MATCH($D1934,'Plan comptable'!$H:$H,0)),"compte hors plan",IF(AND($A1934&lt;&gt;"",YEAR($A1934)&lt;&gt;Exercice),"hors exercice","")))))</f>
      </c>
    </row>
    <row r="1935">
      <c r="A1935" s="13"/>
      <c r="B1935" s="10"/>
      <c r="C1935" s="9"/>
      <c r="D1935" s="20"/>
      <c r="E1935" s="9">
        <f>IF($D1935="","",IFERROR(VLOOKUP($D1935,'Plan comptable'!$H:$I,2,FALSE),"compte hors plan"))</f>
      </c>
      <c r="F1935" s="9"/>
      <c r="G1935" s="10"/>
      <c r="H1935" s="11"/>
      <c r="I1935" s="11"/>
      <c r="J1935" s="10">
        <f>IF($D1935="","",IF(AND($H1935&lt;&gt;"",$I1935&lt;&gt;""),"débit ET crédit",IF(AND($H1935="",$I1935=""),"montant manquant",IF(ISNA(MATCH($D1935,'Plan comptable'!$H:$H,0)),"compte hors plan",IF(AND($A1935&lt;&gt;"",YEAR($A1935)&lt;&gt;Exercice),"hors exercice","")))))</f>
      </c>
    </row>
    <row r="1936">
      <c r="A1936" s="13"/>
      <c r="B1936" s="10"/>
      <c r="C1936" s="9"/>
      <c r="D1936" s="20"/>
      <c r="E1936" s="9">
        <f>IF($D1936="","",IFERROR(VLOOKUP($D1936,'Plan comptable'!$H:$I,2,FALSE),"compte hors plan"))</f>
      </c>
      <c r="F1936" s="9"/>
      <c r="G1936" s="10"/>
      <c r="H1936" s="11"/>
      <c r="I1936" s="11"/>
      <c r="J1936" s="10">
        <f>IF($D1936="","",IF(AND($H1936&lt;&gt;"",$I1936&lt;&gt;""),"débit ET crédit",IF(AND($H1936="",$I1936=""),"montant manquant",IF(ISNA(MATCH($D1936,'Plan comptable'!$H:$H,0)),"compte hors plan",IF(AND($A1936&lt;&gt;"",YEAR($A1936)&lt;&gt;Exercice),"hors exercice","")))))</f>
      </c>
    </row>
    <row r="1937">
      <c r="A1937" s="13"/>
      <c r="B1937" s="10"/>
      <c r="C1937" s="9"/>
      <c r="D1937" s="20"/>
      <c r="E1937" s="9">
        <f>IF($D1937="","",IFERROR(VLOOKUP($D1937,'Plan comptable'!$H:$I,2,FALSE),"compte hors plan"))</f>
      </c>
      <c r="F1937" s="9"/>
      <c r="G1937" s="10"/>
      <c r="H1937" s="11"/>
      <c r="I1937" s="11"/>
      <c r="J1937" s="10">
        <f>IF($D1937="","",IF(AND($H1937&lt;&gt;"",$I1937&lt;&gt;""),"débit ET crédit",IF(AND($H1937="",$I1937=""),"montant manquant",IF(ISNA(MATCH($D1937,'Plan comptable'!$H:$H,0)),"compte hors plan",IF(AND($A1937&lt;&gt;"",YEAR($A1937)&lt;&gt;Exercice),"hors exercice","")))))</f>
      </c>
    </row>
    <row r="1938">
      <c r="A1938" s="13"/>
      <c r="B1938" s="10"/>
      <c r="C1938" s="9"/>
      <c r="D1938" s="20"/>
      <c r="E1938" s="9">
        <f>IF($D1938="","",IFERROR(VLOOKUP($D1938,'Plan comptable'!$H:$I,2,FALSE),"compte hors plan"))</f>
      </c>
      <c r="F1938" s="9"/>
      <c r="G1938" s="10"/>
      <c r="H1938" s="11"/>
      <c r="I1938" s="11"/>
      <c r="J1938" s="10">
        <f>IF($D1938="","",IF(AND($H1938&lt;&gt;"",$I1938&lt;&gt;""),"débit ET crédit",IF(AND($H1938="",$I1938=""),"montant manquant",IF(ISNA(MATCH($D1938,'Plan comptable'!$H:$H,0)),"compte hors plan",IF(AND($A1938&lt;&gt;"",YEAR($A1938)&lt;&gt;Exercice),"hors exercice","")))))</f>
      </c>
    </row>
    <row r="1939">
      <c r="A1939" s="13"/>
      <c r="B1939" s="10"/>
      <c r="C1939" s="9"/>
      <c r="D1939" s="20"/>
      <c r="E1939" s="9">
        <f>IF($D1939="","",IFERROR(VLOOKUP($D1939,'Plan comptable'!$H:$I,2,FALSE),"compte hors plan"))</f>
      </c>
      <c r="F1939" s="9"/>
      <c r="G1939" s="10"/>
      <c r="H1939" s="11"/>
      <c r="I1939" s="11"/>
      <c r="J1939" s="10">
        <f>IF($D1939="","",IF(AND($H1939&lt;&gt;"",$I1939&lt;&gt;""),"débit ET crédit",IF(AND($H1939="",$I1939=""),"montant manquant",IF(ISNA(MATCH($D1939,'Plan comptable'!$H:$H,0)),"compte hors plan",IF(AND($A1939&lt;&gt;"",YEAR($A1939)&lt;&gt;Exercice),"hors exercice","")))))</f>
      </c>
    </row>
    <row r="1940">
      <c r="A1940" s="13"/>
      <c r="B1940" s="10"/>
      <c r="C1940" s="9"/>
      <c r="D1940" s="20"/>
      <c r="E1940" s="9">
        <f>IF($D1940="","",IFERROR(VLOOKUP($D1940,'Plan comptable'!$H:$I,2,FALSE),"compte hors plan"))</f>
      </c>
      <c r="F1940" s="9"/>
      <c r="G1940" s="10"/>
      <c r="H1940" s="11"/>
      <c r="I1940" s="11"/>
      <c r="J1940" s="10">
        <f>IF($D1940="","",IF(AND($H1940&lt;&gt;"",$I1940&lt;&gt;""),"débit ET crédit",IF(AND($H1940="",$I1940=""),"montant manquant",IF(ISNA(MATCH($D1940,'Plan comptable'!$H:$H,0)),"compte hors plan",IF(AND($A1940&lt;&gt;"",YEAR($A1940)&lt;&gt;Exercice),"hors exercice","")))))</f>
      </c>
    </row>
    <row r="1941">
      <c r="A1941" s="13"/>
      <c r="B1941" s="10"/>
      <c r="C1941" s="9"/>
      <c r="D1941" s="20"/>
      <c r="E1941" s="9">
        <f>IF($D1941="","",IFERROR(VLOOKUP($D1941,'Plan comptable'!$H:$I,2,FALSE),"compte hors plan"))</f>
      </c>
      <c r="F1941" s="9"/>
      <c r="G1941" s="10"/>
      <c r="H1941" s="11"/>
      <c r="I1941" s="11"/>
      <c r="J1941" s="10">
        <f>IF($D1941="","",IF(AND($H1941&lt;&gt;"",$I1941&lt;&gt;""),"débit ET crédit",IF(AND($H1941="",$I1941=""),"montant manquant",IF(ISNA(MATCH($D1941,'Plan comptable'!$H:$H,0)),"compte hors plan",IF(AND($A1941&lt;&gt;"",YEAR($A1941)&lt;&gt;Exercice),"hors exercice","")))))</f>
      </c>
    </row>
    <row r="1942">
      <c r="A1942" s="13"/>
      <c r="B1942" s="10"/>
      <c r="C1942" s="9"/>
      <c r="D1942" s="20"/>
      <c r="E1942" s="9">
        <f>IF($D1942="","",IFERROR(VLOOKUP($D1942,'Plan comptable'!$H:$I,2,FALSE),"compte hors plan"))</f>
      </c>
      <c r="F1942" s="9"/>
      <c r="G1942" s="10"/>
      <c r="H1942" s="11"/>
      <c r="I1942" s="11"/>
      <c r="J1942" s="10">
        <f>IF($D1942="","",IF(AND($H1942&lt;&gt;"",$I1942&lt;&gt;""),"débit ET crédit",IF(AND($H1942="",$I1942=""),"montant manquant",IF(ISNA(MATCH($D1942,'Plan comptable'!$H:$H,0)),"compte hors plan",IF(AND($A1942&lt;&gt;"",YEAR($A1942)&lt;&gt;Exercice),"hors exercice","")))))</f>
      </c>
    </row>
    <row r="1943">
      <c r="A1943" s="13"/>
      <c r="B1943" s="10"/>
      <c r="C1943" s="9"/>
      <c r="D1943" s="20"/>
      <c r="E1943" s="9">
        <f>IF($D1943="","",IFERROR(VLOOKUP($D1943,'Plan comptable'!$H:$I,2,FALSE),"compte hors plan"))</f>
      </c>
      <c r="F1943" s="9"/>
      <c r="G1943" s="10"/>
      <c r="H1943" s="11"/>
      <c r="I1943" s="11"/>
      <c r="J1943" s="10">
        <f>IF($D1943="","",IF(AND($H1943&lt;&gt;"",$I1943&lt;&gt;""),"débit ET crédit",IF(AND($H1943="",$I1943=""),"montant manquant",IF(ISNA(MATCH($D1943,'Plan comptable'!$H:$H,0)),"compte hors plan",IF(AND($A1943&lt;&gt;"",YEAR($A1943)&lt;&gt;Exercice),"hors exercice","")))))</f>
      </c>
    </row>
    <row r="1944">
      <c r="A1944" s="13"/>
      <c r="B1944" s="10"/>
      <c r="C1944" s="9"/>
      <c r="D1944" s="20"/>
      <c r="E1944" s="9">
        <f>IF($D1944="","",IFERROR(VLOOKUP($D1944,'Plan comptable'!$H:$I,2,FALSE),"compte hors plan"))</f>
      </c>
      <c r="F1944" s="9"/>
      <c r="G1944" s="10"/>
      <c r="H1944" s="11"/>
      <c r="I1944" s="11"/>
      <c r="J1944" s="10">
        <f>IF($D1944="","",IF(AND($H1944&lt;&gt;"",$I1944&lt;&gt;""),"débit ET crédit",IF(AND($H1944="",$I1944=""),"montant manquant",IF(ISNA(MATCH($D1944,'Plan comptable'!$H:$H,0)),"compte hors plan",IF(AND($A1944&lt;&gt;"",YEAR($A1944)&lt;&gt;Exercice),"hors exercice","")))))</f>
      </c>
    </row>
    <row r="1945">
      <c r="A1945" s="13"/>
      <c r="B1945" s="10"/>
      <c r="C1945" s="9"/>
      <c r="D1945" s="20"/>
      <c r="E1945" s="9">
        <f>IF($D1945="","",IFERROR(VLOOKUP($D1945,'Plan comptable'!$H:$I,2,FALSE),"compte hors plan"))</f>
      </c>
      <c r="F1945" s="9"/>
      <c r="G1945" s="10"/>
      <c r="H1945" s="11"/>
      <c r="I1945" s="11"/>
      <c r="J1945" s="10">
        <f>IF($D1945="","",IF(AND($H1945&lt;&gt;"",$I1945&lt;&gt;""),"débit ET crédit",IF(AND($H1945="",$I1945=""),"montant manquant",IF(ISNA(MATCH($D1945,'Plan comptable'!$H:$H,0)),"compte hors plan",IF(AND($A1945&lt;&gt;"",YEAR($A1945)&lt;&gt;Exercice),"hors exercice","")))))</f>
      </c>
    </row>
    <row r="1946">
      <c r="A1946" s="13"/>
      <c r="B1946" s="10"/>
      <c r="C1946" s="9"/>
      <c r="D1946" s="20"/>
      <c r="E1946" s="9">
        <f>IF($D1946="","",IFERROR(VLOOKUP($D1946,'Plan comptable'!$H:$I,2,FALSE),"compte hors plan"))</f>
      </c>
      <c r="F1946" s="9"/>
      <c r="G1946" s="10"/>
      <c r="H1946" s="11"/>
      <c r="I1946" s="11"/>
      <c r="J1946" s="10">
        <f>IF($D1946="","",IF(AND($H1946&lt;&gt;"",$I1946&lt;&gt;""),"débit ET crédit",IF(AND($H1946="",$I1946=""),"montant manquant",IF(ISNA(MATCH($D1946,'Plan comptable'!$H:$H,0)),"compte hors plan",IF(AND($A1946&lt;&gt;"",YEAR($A1946)&lt;&gt;Exercice),"hors exercice","")))))</f>
      </c>
    </row>
    <row r="1947">
      <c r="A1947" s="13"/>
      <c r="B1947" s="10"/>
      <c r="C1947" s="9"/>
      <c r="D1947" s="20"/>
      <c r="E1947" s="9">
        <f>IF($D1947="","",IFERROR(VLOOKUP($D1947,'Plan comptable'!$H:$I,2,FALSE),"compte hors plan"))</f>
      </c>
      <c r="F1947" s="9"/>
      <c r="G1947" s="10"/>
      <c r="H1947" s="11"/>
      <c r="I1947" s="11"/>
      <c r="J1947" s="10">
        <f>IF($D1947="","",IF(AND($H1947&lt;&gt;"",$I1947&lt;&gt;""),"débit ET crédit",IF(AND($H1947="",$I1947=""),"montant manquant",IF(ISNA(MATCH($D1947,'Plan comptable'!$H:$H,0)),"compte hors plan",IF(AND($A1947&lt;&gt;"",YEAR($A1947)&lt;&gt;Exercice),"hors exercice","")))))</f>
      </c>
    </row>
    <row r="1948">
      <c r="A1948" s="13"/>
      <c r="B1948" s="10"/>
      <c r="C1948" s="9"/>
      <c r="D1948" s="20"/>
      <c r="E1948" s="9">
        <f>IF($D1948="","",IFERROR(VLOOKUP($D1948,'Plan comptable'!$H:$I,2,FALSE),"compte hors plan"))</f>
      </c>
      <c r="F1948" s="9"/>
      <c r="G1948" s="10"/>
      <c r="H1948" s="11"/>
      <c r="I1948" s="11"/>
      <c r="J1948" s="10">
        <f>IF($D1948="","",IF(AND($H1948&lt;&gt;"",$I1948&lt;&gt;""),"débit ET crédit",IF(AND($H1948="",$I1948=""),"montant manquant",IF(ISNA(MATCH($D1948,'Plan comptable'!$H:$H,0)),"compte hors plan",IF(AND($A1948&lt;&gt;"",YEAR($A1948)&lt;&gt;Exercice),"hors exercice","")))))</f>
      </c>
    </row>
    <row r="1949">
      <c r="A1949" s="13"/>
      <c r="B1949" s="10"/>
      <c r="C1949" s="9"/>
      <c r="D1949" s="20"/>
      <c r="E1949" s="9">
        <f>IF($D1949="","",IFERROR(VLOOKUP($D1949,'Plan comptable'!$H:$I,2,FALSE),"compte hors plan"))</f>
      </c>
      <c r="F1949" s="9"/>
      <c r="G1949" s="10"/>
      <c r="H1949" s="11"/>
      <c r="I1949" s="11"/>
      <c r="J1949" s="10">
        <f>IF($D1949="","",IF(AND($H1949&lt;&gt;"",$I1949&lt;&gt;""),"débit ET crédit",IF(AND($H1949="",$I1949=""),"montant manquant",IF(ISNA(MATCH($D1949,'Plan comptable'!$H:$H,0)),"compte hors plan",IF(AND($A1949&lt;&gt;"",YEAR($A1949)&lt;&gt;Exercice),"hors exercice","")))))</f>
      </c>
    </row>
    <row r="1950">
      <c r="A1950" s="13"/>
      <c r="B1950" s="10"/>
      <c r="C1950" s="9"/>
      <c r="D1950" s="20"/>
      <c r="E1950" s="9">
        <f>IF($D1950="","",IFERROR(VLOOKUP($D1950,'Plan comptable'!$H:$I,2,FALSE),"compte hors plan"))</f>
      </c>
      <c r="F1950" s="9"/>
      <c r="G1950" s="10"/>
      <c r="H1950" s="11"/>
      <c r="I1950" s="11"/>
      <c r="J1950" s="10">
        <f>IF($D1950="","",IF(AND($H1950&lt;&gt;"",$I1950&lt;&gt;""),"débit ET crédit",IF(AND($H1950="",$I1950=""),"montant manquant",IF(ISNA(MATCH($D1950,'Plan comptable'!$H:$H,0)),"compte hors plan",IF(AND($A1950&lt;&gt;"",YEAR($A1950)&lt;&gt;Exercice),"hors exercice","")))))</f>
      </c>
    </row>
    <row r="1951">
      <c r="A1951" s="13"/>
      <c r="B1951" s="10"/>
      <c r="C1951" s="9"/>
      <c r="D1951" s="20"/>
      <c r="E1951" s="9">
        <f>IF($D1951="","",IFERROR(VLOOKUP($D1951,'Plan comptable'!$H:$I,2,FALSE),"compte hors plan"))</f>
      </c>
      <c r="F1951" s="9"/>
      <c r="G1951" s="10"/>
      <c r="H1951" s="11"/>
      <c r="I1951" s="11"/>
      <c r="J1951" s="10">
        <f>IF($D1951="","",IF(AND($H1951&lt;&gt;"",$I1951&lt;&gt;""),"débit ET crédit",IF(AND($H1951="",$I1951=""),"montant manquant",IF(ISNA(MATCH($D1951,'Plan comptable'!$H:$H,0)),"compte hors plan",IF(AND($A1951&lt;&gt;"",YEAR($A1951)&lt;&gt;Exercice),"hors exercice","")))))</f>
      </c>
    </row>
    <row r="1952">
      <c r="A1952" s="13"/>
      <c r="B1952" s="10"/>
      <c r="C1952" s="9"/>
      <c r="D1952" s="20"/>
      <c r="E1952" s="9">
        <f>IF($D1952="","",IFERROR(VLOOKUP($D1952,'Plan comptable'!$H:$I,2,FALSE),"compte hors plan"))</f>
      </c>
      <c r="F1952" s="9"/>
      <c r="G1952" s="10"/>
      <c r="H1952" s="11"/>
      <c r="I1952" s="11"/>
      <c r="J1952" s="10">
        <f>IF($D1952="","",IF(AND($H1952&lt;&gt;"",$I1952&lt;&gt;""),"débit ET crédit",IF(AND($H1952="",$I1952=""),"montant manquant",IF(ISNA(MATCH($D1952,'Plan comptable'!$H:$H,0)),"compte hors plan",IF(AND($A1952&lt;&gt;"",YEAR($A1952)&lt;&gt;Exercice),"hors exercice","")))))</f>
      </c>
    </row>
    <row r="1953">
      <c r="A1953" s="13"/>
      <c r="B1953" s="10"/>
      <c r="C1953" s="9"/>
      <c r="D1953" s="20"/>
      <c r="E1953" s="9">
        <f>IF($D1953="","",IFERROR(VLOOKUP($D1953,'Plan comptable'!$H:$I,2,FALSE),"compte hors plan"))</f>
      </c>
      <c r="F1953" s="9"/>
      <c r="G1953" s="10"/>
      <c r="H1953" s="11"/>
      <c r="I1953" s="11"/>
      <c r="J1953" s="10">
        <f>IF($D1953="","",IF(AND($H1953&lt;&gt;"",$I1953&lt;&gt;""),"débit ET crédit",IF(AND($H1953="",$I1953=""),"montant manquant",IF(ISNA(MATCH($D1953,'Plan comptable'!$H:$H,0)),"compte hors plan",IF(AND($A1953&lt;&gt;"",YEAR($A1953)&lt;&gt;Exercice),"hors exercice","")))))</f>
      </c>
    </row>
    <row r="1954">
      <c r="A1954" s="13"/>
      <c r="B1954" s="10"/>
      <c r="C1954" s="9"/>
      <c r="D1954" s="20"/>
      <c r="E1954" s="9">
        <f>IF($D1954="","",IFERROR(VLOOKUP($D1954,'Plan comptable'!$H:$I,2,FALSE),"compte hors plan"))</f>
      </c>
      <c r="F1954" s="9"/>
      <c r="G1954" s="10"/>
      <c r="H1954" s="11"/>
      <c r="I1954" s="11"/>
      <c r="J1954" s="10">
        <f>IF($D1954="","",IF(AND($H1954&lt;&gt;"",$I1954&lt;&gt;""),"débit ET crédit",IF(AND($H1954="",$I1954=""),"montant manquant",IF(ISNA(MATCH($D1954,'Plan comptable'!$H:$H,0)),"compte hors plan",IF(AND($A1954&lt;&gt;"",YEAR($A1954)&lt;&gt;Exercice),"hors exercice","")))))</f>
      </c>
    </row>
    <row r="1955">
      <c r="A1955" s="13"/>
      <c r="B1955" s="10"/>
      <c r="C1955" s="9"/>
      <c r="D1955" s="20"/>
      <c r="E1955" s="9">
        <f>IF($D1955="","",IFERROR(VLOOKUP($D1955,'Plan comptable'!$H:$I,2,FALSE),"compte hors plan"))</f>
      </c>
      <c r="F1955" s="9"/>
      <c r="G1955" s="10"/>
      <c r="H1955" s="11"/>
      <c r="I1955" s="11"/>
      <c r="J1955" s="10">
        <f>IF($D1955="","",IF(AND($H1955&lt;&gt;"",$I1955&lt;&gt;""),"débit ET crédit",IF(AND($H1955="",$I1955=""),"montant manquant",IF(ISNA(MATCH($D1955,'Plan comptable'!$H:$H,0)),"compte hors plan",IF(AND($A1955&lt;&gt;"",YEAR($A1955)&lt;&gt;Exercice),"hors exercice","")))))</f>
      </c>
    </row>
    <row r="1956">
      <c r="A1956" s="13"/>
      <c r="B1956" s="10"/>
      <c r="C1956" s="9"/>
      <c r="D1956" s="20"/>
      <c r="E1956" s="9">
        <f>IF($D1956="","",IFERROR(VLOOKUP($D1956,'Plan comptable'!$H:$I,2,FALSE),"compte hors plan"))</f>
      </c>
      <c r="F1956" s="9"/>
      <c r="G1956" s="10"/>
      <c r="H1956" s="11"/>
      <c r="I1956" s="11"/>
      <c r="J1956" s="10">
        <f>IF($D1956="","",IF(AND($H1956&lt;&gt;"",$I1956&lt;&gt;""),"débit ET crédit",IF(AND($H1956="",$I1956=""),"montant manquant",IF(ISNA(MATCH($D1956,'Plan comptable'!$H:$H,0)),"compte hors plan",IF(AND($A1956&lt;&gt;"",YEAR($A1956)&lt;&gt;Exercice),"hors exercice","")))))</f>
      </c>
    </row>
    <row r="1957">
      <c r="A1957" s="13"/>
      <c r="B1957" s="10"/>
      <c r="C1957" s="9"/>
      <c r="D1957" s="20"/>
      <c r="E1957" s="9">
        <f>IF($D1957="","",IFERROR(VLOOKUP($D1957,'Plan comptable'!$H:$I,2,FALSE),"compte hors plan"))</f>
      </c>
      <c r="F1957" s="9"/>
      <c r="G1957" s="10"/>
      <c r="H1957" s="11"/>
      <c r="I1957" s="11"/>
      <c r="J1957" s="10">
        <f>IF($D1957="","",IF(AND($H1957&lt;&gt;"",$I1957&lt;&gt;""),"débit ET crédit",IF(AND($H1957="",$I1957=""),"montant manquant",IF(ISNA(MATCH($D1957,'Plan comptable'!$H:$H,0)),"compte hors plan",IF(AND($A1957&lt;&gt;"",YEAR($A1957)&lt;&gt;Exercice),"hors exercice","")))))</f>
      </c>
    </row>
    <row r="1958">
      <c r="A1958" s="13"/>
      <c r="B1958" s="10"/>
      <c r="C1958" s="9"/>
      <c r="D1958" s="20"/>
      <c r="E1958" s="9">
        <f>IF($D1958="","",IFERROR(VLOOKUP($D1958,'Plan comptable'!$H:$I,2,FALSE),"compte hors plan"))</f>
      </c>
      <c r="F1958" s="9"/>
      <c r="G1958" s="10"/>
      <c r="H1958" s="11"/>
      <c r="I1958" s="11"/>
      <c r="J1958" s="10">
        <f>IF($D1958="","",IF(AND($H1958&lt;&gt;"",$I1958&lt;&gt;""),"débit ET crédit",IF(AND($H1958="",$I1958=""),"montant manquant",IF(ISNA(MATCH($D1958,'Plan comptable'!$H:$H,0)),"compte hors plan",IF(AND($A1958&lt;&gt;"",YEAR($A1958)&lt;&gt;Exercice),"hors exercice","")))))</f>
      </c>
    </row>
    <row r="1959">
      <c r="A1959" s="13"/>
      <c r="B1959" s="10"/>
      <c r="C1959" s="9"/>
      <c r="D1959" s="20"/>
      <c r="E1959" s="9">
        <f>IF($D1959="","",IFERROR(VLOOKUP($D1959,'Plan comptable'!$H:$I,2,FALSE),"compte hors plan"))</f>
      </c>
      <c r="F1959" s="9"/>
      <c r="G1959" s="10"/>
      <c r="H1959" s="11"/>
      <c r="I1959" s="11"/>
      <c r="J1959" s="10">
        <f>IF($D1959="","",IF(AND($H1959&lt;&gt;"",$I1959&lt;&gt;""),"débit ET crédit",IF(AND($H1959="",$I1959=""),"montant manquant",IF(ISNA(MATCH($D1959,'Plan comptable'!$H:$H,0)),"compte hors plan",IF(AND($A1959&lt;&gt;"",YEAR($A1959)&lt;&gt;Exercice),"hors exercice","")))))</f>
      </c>
    </row>
    <row r="1960">
      <c r="A1960" s="13"/>
      <c r="B1960" s="10"/>
      <c r="C1960" s="9"/>
      <c r="D1960" s="20"/>
      <c r="E1960" s="9">
        <f>IF($D1960="","",IFERROR(VLOOKUP($D1960,'Plan comptable'!$H:$I,2,FALSE),"compte hors plan"))</f>
      </c>
      <c r="F1960" s="9"/>
      <c r="G1960" s="10"/>
      <c r="H1960" s="11"/>
      <c r="I1960" s="11"/>
      <c r="J1960" s="10">
        <f>IF($D1960="","",IF(AND($H1960&lt;&gt;"",$I1960&lt;&gt;""),"débit ET crédit",IF(AND($H1960="",$I1960=""),"montant manquant",IF(ISNA(MATCH($D1960,'Plan comptable'!$H:$H,0)),"compte hors plan",IF(AND($A1960&lt;&gt;"",YEAR($A1960)&lt;&gt;Exercice),"hors exercice","")))))</f>
      </c>
    </row>
    <row r="1961">
      <c r="A1961" s="13"/>
      <c r="B1961" s="10"/>
      <c r="C1961" s="9"/>
      <c r="D1961" s="20"/>
      <c r="E1961" s="9">
        <f>IF($D1961="","",IFERROR(VLOOKUP($D1961,'Plan comptable'!$H:$I,2,FALSE),"compte hors plan"))</f>
      </c>
      <c r="F1961" s="9"/>
      <c r="G1961" s="10"/>
      <c r="H1961" s="11"/>
      <c r="I1961" s="11"/>
      <c r="J1961" s="10">
        <f>IF($D1961="","",IF(AND($H1961&lt;&gt;"",$I1961&lt;&gt;""),"débit ET crédit",IF(AND($H1961="",$I1961=""),"montant manquant",IF(ISNA(MATCH($D1961,'Plan comptable'!$H:$H,0)),"compte hors plan",IF(AND($A1961&lt;&gt;"",YEAR($A1961)&lt;&gt;Exercice),"hors exercice","")))))</f>
      </c>
    </row>
    <row r="1962">
      <c r="A1962" s="13"/>
      <c r="B1962" s="10"/>
      <c r="C1962" s="9"/>
      <c r="D1962" s="20"/>
      <c r="E1962" s="9">
        <f>IF($D1962="","",IFERROR(VLOOKUP($D1962,'Plan comptable'!$H:$I,2,FALSE),"compte hors plan"))</f>
      </c>
      <c r="F1962" s="9"/>
      <c r="G1962" s="10"/>
      <c r="H1962" s="11"/>
      <c r="I1962" s="11"/>
      <c r="J1962" s="10">
        <f>IF($D1962="","",IF(AND($H1962&lt;&gt;"",$I1962&lt;&gt;""),"débit ET crédit",IF(AND($H1962="",$I1962=""),"montant manquant",IF(ISNA(MATCH($D1962,'Plan comptable'!$H:$H,0)),"compte hors plan",IF(AND($A1962&lt;&gt;"",YEAR($A1962)&lt;&gt;Exercice),"hors exercice","")))))</f>
      </c>
    </row>
    <row r="1963">
      <c r="A1963" s="13"/>
      <c r="B1963" s="10"/>
      <c r="C1963" s="9"/>
      <c r="D1963" s="20"/>
      <c r="E1963" s="9">
        <f>IF($D1963="","",IFERROR(VLOOKUP($D1963,'Plan comptable'!$H:$I,2,FALSE),"compte hors plan"))</f>
      </c>
      <c r="F1963" s="9"/>
      <c r="G1963" s="10"/>
      <c r="H1963" s="11"/>
      <c r="I1963" s="11"/>
      <c r="J1963" s="10">
        <f>IF($D1963="","",IF(AND($H1963&lt;&gt;"",$I1963&lt;&gt;""),"débit ET crédit",IF(AND($H1963="",$I1963=""),"montant manquant",IF(ISNA(MATCH($D1963,'Plan comptable'!$H:$H,0)),"compte hors plan",IF(AND($A1963&lt;&gt;"",YEAR($A1963)&lt;&gt;Exercice),"hors exercice","")))))</f>
      </c>
    </row>
    <row r="1964">
      <c r="A1964" s="13"/>
      <c r="B1964" s="10"/>
      <c r="C1964" s="9"/>
      <c r="D1964" s="20"/>
      <c r="E1964" s="9">
        <f>IF($D1964="","",IFERROR(VLOOKUP($D1964,'Plan comptable'!$H:$I,2,FALSE),"compte hors plan"))</f>
      </c>
      <c r="F1964" s="9"/>
      <c r="G1964" s="10"/>
      <c r="H1964" s="11"/>
      <c r="I1964" s="11"/>
      <c r="J1964" s="10">
        <f>IF($D1964="","",IF(AND($H1964&lt;&gt;"",$I1964&lt;&gt;""),"débit ET crédit",IF(AND($H1964="",$I1964=""),"montant manquant",IF(ISNA(MATCH($D1964,'Plan comptable'!$H:$H,0)),"compte hors plan",IF(AND($A1964&lt;&gt;"",YEAR($A1964)&lt;&gt;Exercice),"hors exercice","")))))</f>
      </c>
    </row>
    <row r="1965">
      <c r="A1965" s="13"/>
      <c r="B1965" s="10"/>
      <c r="C1965" s="9"/>
      <c r="D1965" s="20"/>
      <c r="E1965" s="9">
        <f>IF($D1965="","",IFERROR(VLOOKUP($D1965,'Plan comptable'!$H:$I,2,FALSE),"compte hors plan"))</f>
      </c>
      <c r="F1965" s="9"/>
      <c r="G1965" s="10"/>
      <c r="H1965" s="11"/>
      <c r="I1965" s="11"/>
      <c r="J1965" s="10">
        <f>IF($D1965="","",IF(AND($H1965&lt;&gt;"",$I1965&lt;&gt;""),"débit ET crédit",IF(AND($H1965="",$I1965=""),"montant manquant",IF(ISNA(MATCH($D1965,'Plan comptable'!$H:$H,0)),"compte hors plan",IF(AND($A1965&lt;&gt;"",YEAR($A1965)&lt;&gt;Exercice),"hors exercice","")))))</f>
      </c>
    </row>
    <row r="1966">
      <c r="A1966" s="13"/>
      <c r="B1966" s="10"/>
      <c r="C1966" s="9"/>
      <c r="D1966" s="20"/>
      <c r="E1966" s="9">
        <f>IF($D1966="","",IFERROR(VLOOKUP($D1966,'Plan comptable'!$H:$I,2,FALSE),"compte hors plan"))</f>
      </c>
      <c r="F1966" s="9"/>
      <c r="G1966" s="10"/>
      <c r="H1966" s="11"/>
      <c r="I1966" s="11"/>
      <c r="J1966" s="10">
        <f>IF($D1966="","",IF(AND($H1966&lt;&gt;"",$I1966&lt;&gt;""),"débit ET crédit",IF(AND($H1966="",$I1966=""),"montant manquant",IF(ISNA(MATCH($D1966,'Plan comptable'!$H:$H,0)),"compte hors plan",IF(AND($A1966&lt;&gt;"",YEAR($A1966)&lt;&gt;Exercice),"hors exercice","")))))</f>
      </c>
    </row>
    <row r="1967">
      <c r="A1967" s="13"/>
      <c r="B1967" s="10"/>
      <c r="C1967" s="9"/>
      <c r="D1967" s="20"/>
      <c r="E1967" s="9">
        <f>IF($D1967="","",IFERROR(VLOOKUP($D1967,'Plan comptable'!$H:$I,2,FALSE),"compte hors plan"))</f>
      </c>
      <c r="F1967" s="9"/>
      <c r="G1967" s="10"/>
      <c r="H1967" s="11"/>
      <c r="I1967" s="11"/>
      <c r="J1967" s="10">
        <f>IF($D1967="","",IF(AND($H1967&lt;&gt;"",$I1967&lt;&gt;""),"débit ET crédit",IF(AND($H1967="",$I1967=""),"montant manquant",IF(ISNA(MATCH($D1967,'Plan comptable'!$H:$H,0)),"compte hors plan",IF(AND($A1967&lt;&gt;"",YEAR($A1967)&lt;&gt;Exercice),"hors exercice","")))))</f>
      </c>
    </row>
    <row r="1968">
      <c r="A1968" s="13"/>
      <c r="B1968" s="10"/>
      <c r="C1968" s="9"/>
      <c r="D1968" s="20"/>
      <c r="E1968" s="9">
        <f>IF($D1968="","",IFERROR(VLOOKUP($D1968,'Plan comptable'!$H:$I,2,FALSE),"compte hors plan"))</f>
      </c>
      <c r="F1968" s="9"/>
      <c r="G1968" s="10"/>
      <c r="H1968" s="11"/>
      <c r="I1968" s="11"/>
      <c r="J1968" s="10">
        <f>IF($D1968="","",IF(AND($H1968&lt;&gt;"",$I1968&lt;&gt;""),"débit ET crédit",IF(AND($H1968="",$I1968=""),"montant manquant",IF(ISNA(MATCH($D1968,'Plan comptable'!$H:$H,0)),"compte hors plan",IF(AND($A1968&lt;&gt;"",YEAR($A1968)&lt;&gt;Exercice),"hors exercice","")))))</f>
      </c>
    </row>
    <row r="1969">
      <c r="A1969" s="13"/>
      <c r="B1969" s="10"/>
      <c r="C1969" s="9"/>
      <c r="D1969" s="20"/>
      <c r="E1969" s="9">
        <f>IF($D1969="","",IFERROR(VLOOKUP($D1969,'Plan comptable'!$H:$I,2,FALSE),"compte hors plan"))</f>
      </c>
      <c r="F1969" s="9"/>
      <c r="G1969" s="10"/>
      <c r="H1969" s="11"/>
      <c r="I1969" s="11"/>
      <c r="J1969" s="10">
        <f>IF($D1969="","",IF(AND($H1969&lt;&gt;"",$I1969&lt;&gt;""),"débit ET crédit",IF(AND($H1969="",$I1969=""),"montant manquant",IF(ISNA(MATCH($D1969,'Plan comptable'!$H:$H,0)),"compte hors plan",IF(AND($A1969&lt;&gt;"",YEAR($A1969)&lt;&gt;Exercice),"hors exercice","")))))</f>
      </c>
    </row>
    <row r="1970">
      <c r="A1970" s="13"/>
      <c r="B1970" s="10"/>
      <c r="C1970" s="9"/>
      <c r="D1970" s="20"/>
      <c r="E1970" s="9">
        <f>IF($D1970="","",IFERROR(VLOOKUP($D1970,'Plan comptable'!$H:$I,2,FALSE),"compte hors plan"))</f>
      </c>
      <c r="F1970" s="9"/>
      <c r="G1970" s="10"/>
      <c r="H1970" s="11"/>
      <c r="I1970" s="11"/>
      <c r="J1970" s="10">
        <f>IF($D1970="","",IF(AND($H1970&lt;&gt;"",$I1970&lt;&gt;""),"débit ET crédit",IF(AND($H1970="",$I1970=""),"montant manquant",IF(ISNA(MATCH($D1970,'Plan comptable'!$H:$H,0)),"compte hors plan",IF(AND($A1970&lt;&gt;"",YEAR($A1970)&lt;&gt;Exercice),"hors exercice","")))))</f>
      </c>
    </row>
    <row r="1971">
      <c r="A1971" s="13"/>
      <c r="B1971" s="10"/>
      <c r="C1971" s="9"/>
      <c r="D1971" s="20"/>
      <c r="E1971" s="9">
        <f>IF($D1971="","",IFERROR(VLOOKUP($D1971,'Plan comptable'!$H:$I,2,FALSE),"compte hors plan"))</f>
      </c>
      <c r="F1971" s="9"/>
      <c r="G1971" s="10"/>
      <c r="H1971" s="11"/>
      <c r="I1971" s="11"/>
      <c r="J1971" s="10">
        <f>IF($D1971="","",IF(AND($H1971&lt;&gt;"",$I1971&lt;&gt;""),"débit ET crédit",IF(AND($H1971="",$I1971=""),"montant manquant",IF(ISNA(MATCH($D1971,'Plan comptable'!$H:$H,0)),"compte hors plan",IF(AND($A1971&lt;&gt;"",YEAR($A1971)&lt;&gt;Exercice),"hors exercice","")))))</f>
      </c>
    </row>
    <row r="1972">
      <c r="A1972" s="13"/>
      <c r="B1972" s="10"/>
      <c r="C1972" s="9"/>
      <c r="D1972" s="20"/>
      <c r="E1972" s="9">
        <f>IF($D1972="","",IFERROR(VLOOKUP($D1972,'Plan comptable'!$H:$I,2,FALSE),"compte hors plan"))</f>
      </c>
      <c r="F1972" s="9"/>
      <c r="G1972" s="10"/>
      <c r="H1972" s="11"/>
      <c r="I1972" s="11"/>
      <c r="J1972" s="10">
        <f>IF($D1972="","",IF(AND($H1972&lt;&gt;"",$I1972&lt;&gt;""),"débit ET crédit",IF(AND($H1972="",$I1972=""),"montant manquant",IF(ISNA(MATCH($D1972,'Plan comptable'!$H:$H,0)),"compte hors plan",IF(AND($A1972&lt;&gt;"",YEAR($A1972)&lt;&gt;Exercice),"hors exercice","")))))</f>
      </c>
    </row>
    <row r="1973">
      <c r="A1973" s="13"/>
      <c r="B1973" s="10"/>
      <c r="C1973" s="9"/>
      <c r="D1973" s="20"/>
      <c r="E1973" s="9">
        <f>IF($D1973="","",IFERROR(VLOOKUP($D1973,'Plan comptable'!$H:$I,2,FALSE),"compte hors plan"))</f>
      </c>
      <c r="F1973" s="9"/>
      <c r="G1973" s="10"/>
      <c r="H1973" s="11"/>
      <c r="I1973" s="11"/>
      <c r="J1973" s="10">
        <f>IF($D1973="","",IF(AND($H1973&lt;&gt;"",$I1973&lt;&gt;""),"débit ET crédit",IF(AND($H1973="",$I1973=""),"montant manquant",IF(ISNA(MATCH($D1973,'Plan comptable'!$H:$H,0)),"compte hors plan",IF(AND($A1973&lt;&gt;"",YEAR($A1973)&lt;&gt;Exercice),"hors exercice","")))))</f>
      </c>
    </row>
    <row r="1974">
      <c r="A1974" s="13"/>
      <c r="B1974" s="10"/>
      <c r="C1974" s="9"/>
      <c r="D1974" s="20"/>
      <c r="E1974" s="9">
        <f>IF($D1974="","",IFERROR(VLOOKUP($D1974,'Plan comptable'!$H:$I,2,FALSE),"compte hors plan"))</f>
      </c>
      <c r="F1974" s="9"/>
      <c r="G1974" s="10"/>
      <c r="H1974" s="11"/>
      <c r="I1974" s="11"/>
      <c r="J1974" s="10">
        <f>IF($D1974="","",IF(AND($H1974&lt;&gt;"",$I1974&lt;&gt;""),"débit ET crédit",IF(AND($H1974="",$I1974=""),"montant manquant",IF(ISNA(MATCH($D1974,'Plan comptable'!$H:$H,0)),"compte hors plan",IF(AND($A1974&lt;&gt;"",YEAR($A1974)&lt;&gt;Exercice),"hors exercice","")))))</f>
      </c>
    </row>
    <row r="1975">
      <c r="A1975" s="13"/>
      <c r="B1975" s="10"/>
      <c r="C1975" s="9"/>
      <c r="D1975" s="20"/>
      <c r="E1975" s="9">
        <f>IF($D1975="","",IFERROR(VLOOKUP($D1975,'Plan comptable'!$H:$I,2,FALSE),"compte hors plan"))</f>
      </c>
      <c r="F1975" s="9"/>
      <c r="G1975" s="10"/>
      <c r="H1975" s="11"/>
      <c r="I1975" s="11"/>
      <c r="J1975" s="10">
        <f>IF($D1975="","",IF(AND($H1975&lt;&gt;"",$I1975&lt;&gt;""),"débit ET crédit",IF(AND($H1975="",$I1975=""),"montant manquant",IF(ISNA(MATCH($D1975,'Plan comptable'!$H:$H,0)),"compte hors plan",IF(AND($A1975&lt;&gt;"",YEAR($A1975)&lt;&gt;Exercice),"hors exercice","")))))</f>
      </c>
    </row>
    <row r="1976">
      <c r="A1976" s="13"/>
      <c r="B1976" s="10"/>
      <c r="C1976" s="9"/>
      <c r="D1976" s="20"/>
      <c r="E1976" s="9">
        <f>IF($D1976="","",IFERROR(VLOOKUP($D1976,'Plan comptable'!$H:$I,2,FALSE),"compte hors plan"))</f>
      </c>
      <c r="F1976" s="9"/>
      <c r="G1976" s="10"/>
      <c r="H1976" s="11"/>
      <c r="I1976" s="11"/>
      <c r="J1976" s="10">
        <f>IF($D1976="","",IF(AND($H1976&lt;&gt;"",$I1976&lt;&gt;""),"débit ET crédit",IF(AND($H1976="",$I1976=""),"montant manquant",IF(ISNA(MATCH($D1976,'Plan comptable'!$H:$H,0)),"compte hors plan",IF(AND($A1976&lt;&gt;"",YEAR($A1976)&lt;&gt;Exercice),"hors exercice","")))))</f>
      </c>
    </row>
    <row r="1977">
      <c r="A1977" s="13"/>
      <c r="B1977" s="10"/>
      <c r="C1977" s="9"/>
      <c r="D1977" s="20"/>
      <c r="E1977" s="9">
        <f>IF($D1977="","",IFERROR(VLOOKUP($D1977,'Plan comptable'!$H:$I,2,FALSE),"compte hors plan"))</f>
      </c>
      <c r="F1977" s="9"/>
      <c r="G1977" s="10"/>
      <c r="H1977" s="11"/>
      <c r="I1977" s="11"/>
      <c r="J1977" s="10">
        <f>IF($D1977="","",IF(AND($H1977&lt;&gt;"",$I1977&lt;&gt;""),"débit ET crédit",IF(AND($H1977="",$I1977=""),"montant manquant",IF(ISNA(MATCH($D1977,'Plan comptable'!$H:$H,0)),"compte hors plan",IF(AND($A1977&lt;&gt;"",YEAR($A1977)&lt;&gt;Exercice),"hors exercice","")))))</f>
      </c>
    </row>
    <row r="1978">
      <c r="A1978" s="13"/>
      <c r="B1978" s="10"/>
      <c r="C1978" s="9"/>
      <c r="D1978" s="20"/>
      <c r="E1978" s="9">
        <f>IF($D1978="","",IFERROR(VLOOKUP($D1978,'Plan comptable'!$H:$I,2,FALSE),"compte hors plan"))</f>
      </c>
      <c r="F1978" s="9"/>
      <c r="G1978" s="10"/>
      <c r="H1978" s="11"/>
      <c r="I1978" s="11"/>
      <c r="J1978" s="10">
        <f>IF($D1978="","",IF(AND($H1978&lt;&gt;"",$I1978&lt;&gt;""),"débit ET crédit",IF(AND($H1978="",$I1978=""),"montant manquant",IF(ISNA(MATCH($D1978,'Plan comptable'!$H:$H,0)),"compte hors plan",IF(AND($A1978&lt;&gt;"",YEAR($A1978)&lt;&gt;Exercice),"hors exercice","")))))</f>
      </c>
    </row>
    <row r="1979">
      <c r="A1979" s="13"/>
      <c r="B1979" s="10"/>
      <c r="C1979" s="9"/>
      <c r="D1979" s="20"/>
      <c r="E1979" s="9">
        <f>IF($D1979="","",IFERROR(VLOOKUP($D1979,'Plan comptable'!$H:$I,2,FALSE),"compte hors plan"))</f>
      </c>
      <c r="F1979" s="9"/>
      <c r="G1979" s="10"/>
      <c r="H1979" s="11"/>
      <c r="I1979" s="11"/>
      <c r="J1979" s="10">
        <f>IF($D1979="","",IF(AND($H1979&lt;&gt;"",$I1979&lt;&gt;""),"débit ET crédit",IF(AND($H1979="",$I1979=""),"montant manquant",IF(ISNA(MATCH($D1979,'Plan comptable'!$H:$H,0)),"compte hors plan",IF(AND($A1979&lt;&gt;"",YEAR($A1979)&lt;&gt;Exercice),"hors exercice","")))))</f>
      </c>
    </row>
    <row r="1980">
      <c r="A1980" s="13"/>
      <c r="B1980" s="10"/>
      <c r="C1980" s="9"/>
      <c r="D1980" s="20"/>
      <c r="E1980" s="9">
        <f>IF($D1980="","",IFERROR(VLOOKUP($D1980,'Plan comptable'!$H:$I,2,FALSE),"compte hors plan"))</f>
      </c>
      <c r="F1980" s="9"/>
      <c r="G1980" s="10"/>
      <c r="H1980" s="11"/>
      <c r="I1980" s="11"/>
      <c r="J1980" s="10">
        <f>IF($D1980="","",IF(AND($H1980&lt;&gt;"",$I1980&lt;&gt;""),"débit ET crédit",IF(AND($H1980="",$I1980=""),"montant manquant",IF(ISNA(MATCH($D1980,'Plan comptable'!$H:$H,0)),"compte hors plan",IF(AND($A1980&lt;&gt;"",YEAR($A1980)&lt;&gt;Exercice),"hors exercice","")))))</f>
      </c>
    </row>
    <row r="1981">
      <c r="A1981" s="13"/>
      <c r="B1981" s="10"/>
      <c r="C1981" s="9"/>
      <c r="D1981" s="20"/>
      <c r="E1981" s="9">
        <f>IF($D1981="","",IFERROR(VLOOKUP($D1981,'Plan comptable'!$H:$I,2,FALSE),"compte hors plan"))</f>
      </c>
      <c r="F1981" s="9"/>
      <c r="G1981" s="10"/>
      <c r="H1981" s="11"/>
      <c r="I1981" s="11"/>
      <c r="J1981" s="10">
        <f>IF($D1981="","",IF(AND($H1981&lt;&gt;"",$I1981&lt;&gt;""),"débit ET crédit",IF(AND($H1981="",$I1981=""),"montant manquant",IF(ISNA(MATCH($D1981,'Plan comptable'!$H:$H,0)),"compte hors plan",IF(AND($A1981&lt;&gt;"",YEAR($A1981)&lt;&gt;Exercice),"hors exercice","")))))</f>
      </c>
    </row>
    <row r="1982">
      <c r="A1982" s="13"/>
      <c r="B1982" s="10"/>
      <c r="C1982" s="9"/>
      <c r="D1982" s="20"/>
      <c r="E1982" s="9">
        <f>IF($D1982="","",IFERROR(VLOOKUP($D1982,'Plan comptable'!$H:$I,2,FALSE),"compte hors plan"))</f>
      </c>
      <c r="F1982" s="9"/>
      <c r="G1982" s="10"/>
      <c r="H1982" s="11"/>
      <c r="I1982" s="11"/>
      <c r="J1982" s="10">
        <f>IF($D1982="","",IF(AND($H1982&lt;&gt;"",$I1982&lt;&gt;""),"débit ET crédit",IF(AND($H1982="",$I1982=""),"montant manquant",IF(ISNA(MATCH($D1982,'Plan comptable'!$H:$H,0)),"compte hors plan",IF(AND($A1982&lt;&gt;"",YEAR($A1982)&lt;&gt;Exercice),"hors exercice","")))))</f>
      </c>
    </row>
    <row r="1983">
      <c r="A1983" s="13"/>
      <c r="B1983" s="10"/>
      <c r="C1983" s="9"/>
      <c r="D1983" s="20"/>
      <c r="E1983" s="9">
        <f>IF($D1983="","",IFERROR(VLOOKUP($D1983,'Plan comptable'!$H:$I,2,FALSE),"compte hors plan"))</f>
      </c>
      <c r="F1983" s="9"/>
      <c r="G1983" s="10"/>
      <c r="H1983" s="11"/>
      <c r="I1983" s="11"/>
      <c r="J1983" s="10">
        <f>IF($D1983="","",IF(AND($H1983&lt;&gt;"",$I1983&lt;&gt;""),"débit ET crédit",IF(AND($H1983="",$I1983=""),"montant manquant",IF(ISNA(MATCH($D1983,'Plan comptable'!$H:$H,0)),"compte hors plan",IF(AND($A1983&lt;&gt;"",YEAR($A1983)&lt;&gt;Exercice),"hors exercice","")))))</f>
      </c>
    </row>
    <row r="1984">
      <c r="A1984" s="13"/>
      <c r="B1984" s="10"/>
      <c r="C1984" s="9"/>
      <c r="D1984" s="20"/>
      <c r="E1984" s="9">
        <f>IF($D1984="","",IFERROR(VLOOKUP($D1984,'Plan comptable'!$H:$I,2,FALSE),"compte hors plan"))</f>
      </c>
      <c r="F1984" s="9"/>
      <c r="G1984" s="10"/>
      <c r="H1984" s="11"/>
      <c r="I1984" s="11"/>
      <c r="J1984" s="10">
        <f>IF($D1984="","",IF(AND($H1984&lt;&gt;"",$I1984&lt;&gt;""),"débit ET crédit",IF(AND($H1984="",$I1984=""),"montant manquant",IF(ISNA(MATCH($D1984,'Plan comptable'!$H:$H,0)),"compte hors plan",IF(AND($A1984&lt;&gt;"",YEAR($A1984)&lt;&gt;Exercice),"hors exercice","")))))</f>
      </c>
    </row>
    <row r="1985">
      <c r="A1985" s="13"/>
      <c r="B1985" s="10"/>
      <c r="C1985" s="9"/>
      <c r="D1985" s="20"/>
      <c r="E1985" s="9">
        <f>IF($D1985="","",IFERROR(VLOOKUP($D1985,'Plan comptable'!$H:$I,2,FALSE),"compte hors plan"))</f>
      </c>
      <c r="F1985" s="9"/>
      <c r="G1985" s="10"/>
      <c r="H1985" s="11"/>
      <c r="I1985" s="11"/>
      <c r="J1985" s="10">
        <f>IF($D1985="","",IF(AND($H1985&lt;&gt;"",$I1985&lt;&gt;""),"débit ET crédit",IF(AND($H1985="",$I1985=""),"montant manquant",IF(ISNA(MATCH($D1985,'Plan comptable'!$H:$H,0)),"compte hors plan",IF(AND($A1985&lt;&gt;"",YEAR($A1985)&lt;&gt;Exercice),"hors exercice","")))))</f>
      </c>
    </row>
    <row r="1986">
      <c r="A1986" s="13"/>
      <c r="B1986" s="10"/>
      <c r="C1986" s="9"/>
      <c r="D1986" s="20"/>
      <c r="E1986" s="9">
        <f>IF($D1986="","",IFERROR(VLOOKUP($D1986,'Plan comptable'!$H:$I,2,FALSE),"compte hors plan"))</f>
      </c>
      <c r="F1986" s="9"/>
      <c r="G1986" s="10"/>
      <c r="H1986" s="11"/>
      <c r="I1986" s="11"/>
      <c r="J1986" s="10">
        <f>IF($D1986="","",IF(AND($H1986&lt;&gt;"",$I1986&lt;&gt;""),"débit ET crédit",IF(AND($H1986="",$I1986=""),"montant manquant",IF(ISNA(MATCH($D1986,'Plan comptable'!$H:$H,0)),"compte hors plan",IF(AND($A1986&lt;&gt;"",YEAR($A1986)&lt;&gt;Exercice),"hors exercice","")))))</f>
      </c>
    </row>
    <row r="1987">
      <c r="A1987" s="13"/>
      <c r="B1987" s="10"/>
      <c r="C1987" s="9"/>
      <c r="D1987" s="20"/>
      <c r="E1987" s="9">
        <f>IF($D1987="","",IFERROR(VLOOKUP($D1987,'Plan comptable'!$H:$I,2,FALSE),"compte hors plan"))</f>
      </c>
      <c r="F1987" s="9"/>
      <c r="G1987" s="10"/>
      <c r="H1987" s="11"/>
      <c r="I1987" s="11"/>
      <c r="J1987" s="10">
        <f>IF($D1987="","",IF(AND($H1987&lt;&gt;"",$I1987&lt;&gt;""),"débit ET crédit",IF(AND($H1987="",$I1987=""),"montant manquant",IF(ISNA(MATCH($D1987,'Plan comptable'!$H:$H,0)),"compte hors plan",IF(AND($A1987&lt;&gt;"",YEAR($A1987)&lt;&gt;Exercice),"hors exercice","")))))</f>
      </c>
    </row>
    <row r="1988">
      <c r="A1988" s="13"/>
      <c r="B1988" s="10"/>
      <c r="C1988" s="9"/>
      <c r="D1988" s="20"/>
      <c r="E1988" s="9">
        <f>IF($D1988="","",IFERROR(VLOOKUP($D1988,'Plan comptable'!$H:$I,2,FALSE),"compte hors plan"))</f>
      </c>
      <c r="F1988" s="9"/>
      <c r="G1988" s="10"/>
      <c r="H1988" s="11"/>
      <c r="I1988" s="11"/>
      <c r="J1988" s="10">
        <f>IF($D1988="","",IF(AND($H1988&lt;&gt;"",$I1988&lt;&gt;""),"débit ET crédit",IF(AND($H1988="",$I1988=""),"montant manquant",IF(ISNA(MATCH($D1988,'Plan comptable'!$H:$H,0)),"compte hors plan",IF(AND($A1988&lt;&gt;"",YEAR($A1988)&lt;&gt;Exercice),"hors exercice","")))))</f>
      </c>
    </row>
    <row r="1989">
      <c r="A1989" s="13"/>
      <c r="B1989" s="10"/>
      <c r="C1989" s="9"/>
      <c r="D1989" s="20"/>
      <c r="E1989" s="9">
        <f>IF($D1989="","",IFERROR(VLOOKUP($D1989,'Plan comptable'!$H:$I,2,FALSE),"compte hors plan"))</f>
      </c>
      <c r="F1989" s="9"/>
      <c r="G1989" s="10"/>
      <c r="H1989" s="11"/>
      <c r="I1989" s="11"/>
      <c r="J1989" s="10">
        <f>IF($D1989="","",IF(AND($H1989&lt;&gt;"",$I1989&lt;&gt;""),"débit ET crédit",IF(AND($H1989="",$I1989=""),"montant manquant",IF(ISNA(MATCH($D1989,'Plan comptable'!$H:$H,0)),"compte hors plan",IF(AND($A1989&lt;&gt;"",YEAR($A1989)&lt;&gt;Exercice),"hors exercice","")))))</f>
      </c>
    </row>
    <row r="1990">
      <c r="A1990" s="13"/>
      <c r="B1990" s="10"/>
      <c r="C1990" s="9"/>
      <c r="D1990" s="20"/>
      <c r="E1990" s="9">
        <f>IF($D1990="","",IFERROR(VLOOKUP($D1990,'Plan comptable'!$H:$I,2,FALSE),"compte hors plan"))</f>
      </c>
      <c r="F1990" s="9"/>
      <c r="G1990" s="10"/>
      <c r="H1990" s="11"/>
      <c r="I1990" s="11"/>
      <c r="J1990" s="10">
        <f>IF($D1990="","",IF(AND($H1990&lt;&gt;"",$I1990&lt;&gt;""),"débit ET crédit",IF(AND($H1990="",$I1990=""),"montant manquant",IF(ISNA(MATCH($D1990,'Plan comptable'!$H:$H,0)),"compte hors plan",IF(AND($A1990&lt;&gt;"",YEAR($A1990)&lt;&gt;Exercice),"hors exercice","")))))</f>
      </c>
    </row>
    <row r="1991">
      <c r="A1991" s="13"/>
      <c r="B1991" s="10"/>
      <c r="C1991" s="9"/>
      <c r="D1991" s="20"/>
      <c r="E1991" s="9">
        <f>IF($D1991="","",IFERROR(VLOOKUP($D1991,'Plan comptable'!$H:$I,2,FALSE),"compte hors plan"))</f>
      </c>
      <c r="F1991" s="9"/>
      <c r="G1991" s="10"/>
      <c r="H1991" s="11"/>
      <c r="I1991" s="11"/>
      <c r="J1991" s="10">
        <f>IF($D1991="","",IF(AND($H1991&lt;&gt;"",$I1991&lt;&gt;""),"débit ET crédit",IF(AND($H1991="",$I1991=""),"montant manquant",IF(ISNA(MATCH($D1991,'Plan comptable'!$H:$H,0)),"compte hors plan",IF(AND($A1991&lt;&gt;"",YEAR($A1991)&lt;&gt;Exercice),"hors exercice","")))))</f>
      </c>
    </row>
    <row r="1992">
      <c r="A1992" s="13"/>
      <c r="B1992" s="10"/>
      <c r="C1992" s="9"/>
      <c r="D1992" s="20"/>
      <c r="E1992" s="9">
        <f>IF($D1992="","",IFERROR(VLOOKUP($D1992,'Plan comptable'!$H:$I,2,FALSE),"compte hors plan"))</f>
      </c>
      <c r="F1992" s="9"/>
      <c r="G1992" s="10"/>
      <c r="H1992" s="11"/>
      <c r="I1992" s="11"/>
      <c r="J1992" s="10">
        <f>IF($D1992="","",IF(AND($H1992&lt;&gt;"",$I1992&lt;&gt;""),"débit ET crédit",IF(AND($H1992="",$I1992=""),"montant manquant",IF(ISNA(MATCH($D1992,'Plan comptable'!$H:$H,0)),"compte hors plan",IF(AND($A1992&lt;&gt;"",YEAR($A1992)&lt;&gt;Exercice),"hors exercice","")))))</f>
      </c>
    </row>
    <row r="1993">
      <c r="A1993" s="13"/>
      <c r="B1993" s="10"/>
      <c r="C1993" s="9"/>
      <c r="D1993" s="20"/>
      <c r="E1993" s="9">
        <f>IF($D1993="","",IFERROR(VLOOKUP($D1993,'Plan comptable'!$H:$I,2,FALSE),"compte hors plan"))</f>
      </c>
      <c r="F1993" s="9"/>
      <c r="G1993" s="10"/>
      <c r="H1993" s="11"/>
      <c r="I1993" s="11"/>
      <c r="J1993" s="10">
        <f>IF($D1993="","",IF(AND($H1993&lt;&gt;"",$I1993&lt;&gt;""),"débit ET crédit",IF(AND($H1993="",$I1993=""),"montant manquant",IF(ISNA(MATCH($D1993,'Plan comptable'!$H:$H,0)),"compte hors plan",IF(AND($A1993&lt;&gt;"",YEAR($A1993)&lt;&gt;Exercice),"hors exercice","")))))</f>
      </c>
    </row>
    <row r="1994">
      <c r="A1994" s="13"/>
      <c r="B1994" s="10"/>
      <c r="C1994" s="9"/>
      <c r="D1994" s="20"/>
      <c r="E1994" s="9">
        <f>IF($D1994="","",IFERROR(VLOOKUP($D1994,'Plan comptable'!$H:$I,2,FALSE),"compte hors plan"))</f>
      </c>
      <c r="F1994" s="9"/>
      <c r="G1994" s="10"/>
      <c r="H1994" s="11"/>
      <c r="I1994" s="11"/>
      <c r="J1994" s="10">
        <f>IF($D1994="","",IF(AND($H1994&lt;&gt;"",$I1994&lt;&gt;""),"débit ET crédit",IF(AND($H1994="",$I1994=""),"montant manquant",IF(ISNA(MATCH($D1994,'Plan comptable'!$H:$H,0)),"compte hors plan",IF(AND($A1994&lt;&gt;"",YEAR($A1994)&lt;&gt;Exercice),"hors exercice","")))))</f>
      </c>
    </row>
    <row r="1995">
      <c r="A1995" s="13"/>
      <c r="B1995" s="10"/>
      <c r="C1995" s="9"/>
      <c r="D1995" s="20"/>
      <c r="E1995" s="9">
        <f>IF($D1995="","",IFERROR(VLOOKUP($D1995,'Plan comptable'!$H:$I,2,FALSE),"compte hors plan"))</f>
      </c>
      <c r="F1995" s="9"/>
      <c r="G1995" s="10"/>
      <c r="H1995" s="11"/>
      <c r="I1995" s="11"/>
      <c r="J1995" s="10">
        <f>IF($D1995="","",IF(AND($H1995&lt;&gt;"",$I1995&lt;&gt;""),"débit ET crédit",IF(AND($H1995="",$I1995=""),"montant manquant",IF(ISNA(MATCH($D1995,'Plan comptable'!$H:$H,0)),"compte hors plan",IF(AND($A1995&lt;&gt;"",YEAR($A1995)&lt;&gt;Exercice),"hors exercice","")))))</f>
      </c>
    </row>
    <row r="1996">
      <c r="A1996" s="13"/>
      <c r="B1996" s="10"/>
      <c r="C1996" s="9"/>
      <c r="D1996" s="20"/>
      <c r="E1996" s="9">
        <f>IF($D1996="","",IFERROR(VLOOKUP($D1996,'Plan comptable'!$H:$I,2,FALSE),"compte hors plan"))</f>
      </c>
      <c r="F1996" s="9"/>
      <c r="G1996" s="10"/>
      <c r="H1996" s="11"/>
      <c r="I1996" s="11"/>
      <c r="J1996" s="10">
        <f>IF($D1996="","",IF(AND($H1996&lt;&gt;"",$I1996&lt;&gt;""),"débit ET crédit",IF(AND($H1996="",$I1996=""),"montant manquant",IF(ISNA(MATCH($D1996,'Plan comptable'!$H:$H,0)),"compte hors plan",IF(AND($A1996&lt;&gt;"",YEAR($A1996)&lt;&gt;Exercice),"hors exercice","")))))</f>
      </c>
    </row>
    <row r="1997">
      <c r="A1997" s="13"/>
      <c r="B1997" s="10"/>
      <c r="C1997" s="9"/>
      <c r="D1997" s="20"/>
      <c r="E1997" s="9">
        <f>IF($D1997="","",IFERROR(VLOOKUP($D1997,'Plan comptable'!$H:$I,2,FALSE),"compte hors plan"))</f>
      </c>
      <c r="F1997" s="9"/>
      <c r="G1997" s="10"/>
      <c r="H1997" s="11"/>
      <c r="I1997" s="11"/>
      <c r="J1997" s="10">
        <f>IF($D1997="","",IF(AND($H1997&lt;&gt;"",$I1997&lt;&gt;""),"débit ET crédit",IF(AND($H1997="",$I1997=""),"montant manquant",IF(ISNA(MATCH($D1997,'Plan comptable'!$H:$H,0)),"compte hors plan",IF(AND($A1997&lt;&gt;"",YEAR($A1997)&lt;&gt;Exercice),"hors exercice","")))))</f>
      </c>
    </row>
    <row r="1998">
      <c r="A1998" s="13"/>
      <c r="B1998" s="10"/>
      <c r="C1998" s="9"/>
      <c r="D1998" s="20"/>
      <c r="E1998" s="9">
        <f>IF($D1998="","",IFERROR(VLOOKUP($D1998,'Plan comptable'!$H:$I,2,FALSE),"compte hors plan"))</f>
      </c>
      <c r="F1998" s="9"/>
      <c r="G1998" s="10"/>
      <c r="H1998" s="11"/>
      <c r="I1998" s="11"/>
      <c r="J1998" s="10">
        <f>IF($D1998="","",IF(AND($H1998&lt;&gt;"",$I1998&lt;&gt;""),"débit ET crédit",IF(AND($H1998="",$I1998=""),"montant manquant",IF(ISNA(MATCH($D1998,'Plan comptable'!$H:$H,0)),"compte hors plan",IF(AND($A1998&lt;&gt;"",YEAR($A1998)&lt;&gt;Exercice),"hors exercice","")))))</f>
      </c>
    </row>
    <row r="1999">
      <c r="A1999" s="13"/>
      <c r="B1999" s="10"/>
      <c r="C1999" s="9"/>
      <c r="D1999" s="20"/>
      <c r="E1999" s="9">
        <f>IF($D1999="","",IFERROR(VLOOKUP($D1999,'Plan comptable'!$H:$I,2,FALSE),"compte hors plan"))</f>
      </c>
      <c r="F1999" s="9"/>
      <c r="G1999" s="10"/>
      <c r="H1999" s="11"/>
      <c r="I1999" s="11"/>
      <c r="J1999" s="10">
        <f>IF($D1999="","",IF(AND($H1999&lt;&gt;"",$I1999&lt;&gt;""),"débit ET crédit",IF(AND($H1999="",$I1999=""),"montant manquant",IF(ISNA(MATCH($D1999,'Plan comptable'!$H:$H,0)),"compte hors plan",IF(AND($A1999&lt;&gt;"",YEAR($A1999)&lt;&gt;Exercice),"hors exercice","")))))</f>
      </c>
    </row>
    <row r="2000">
      <c r="A2000" s="13"/>
      <c r="B2000" s="10"/>
      <c r="C2000" s="9"/>
      <c r="D2000" s="20"/>
      <c r="E2000" s="9">
        <f>IF($D2000="","",IFERROR(VLOOKUP($D2000,'Plan comptable'!$H:$I,2,FALSE),"compte hors plan"))</f>
      </c>
      <c r="F2000" s="9"/>
      <c r="G2000" s="10"/>
      <c r="H2000" s="11"/>
      <c r="I2000" s="11"/>
      <c r="J2000" s="10">
        <f>IF($D2000="","",IF(AND($H2000&lt;&gt;"",$I2000&lt;&gt;""),"débit ET crédit",IF(AND($H2000="",$I2000=""),"montant manquant",IF(ISNA(MATCH($D2000,'Plan comptable'!$H:$H,0)),"compte hors plan",IF(AND($A2000&lt;&gt;"",YEAR($A2000)&lt;&gt;Exercice),"hors exercice","")))))</f>
      </c>
    </row>
    <row r="2001">
      <c r="A2001" s="13"/>
      <c r="B2001" s="10"/>
      <c r="C2001" s="9"/>
      <c r="D2001" s="20"/>
      <c r="E2001" s="9">
        <f>IF($D2001="","",IFERROR(VLOOKUP($D2001,'Plan comptable'!$H:$I,2,FALSE),"compte hors plan"))</f>
      </c>
      <c r="F2001" s="9"/>
      <c r="G2001" s="10"/>
      <c r="H2001" s="11"/>
      <c r="I2001" s="11"/>
      <c r="J2001" s="10">
        <f>IF($D2001="","",IF(AND($H2001&lt;&gt;"",$I2001&lt;&gt;""),"débit ET crédit",IF(AND($H2001="",$I2001=""),"montant manquant",IF(ISNA(MATCH($D2001,'Plan comptable'!$H:$H,0)),"compte hors plan",IF(AND($A2001&lt;&gt;"",YEAR($A2001)&lt;&gt;Exercice),"hors exercice","")))))</f>
      </c>
    </row>
    <row r="2002">
      <c r="A2002" s="13"/>
      <c r="B2002" s="10"/>
      <c r="C2002" s="9"/>
      <c r="D2002" s="20"/>
      <c r="E2002" s="9">
        <f>IF($D2002="","",IFERROR(VLOOKUP($D2002,'Plan comptable'!$H:$I,2,FALSE),"compte hors plan"))</f>
      </c>
      <c r="F2002" s="9"/>
      <c r="G2002" s="10"/>
      <c r="H2002" s="11"/>
      <c r="I2002" s="11"/>
      <c r="J2002" s="10">
        <f>IF($D2002="","",IF(AND($H2002&lt;&gt;"",$I2002&lt;&gt;""),"débit ET crédit",IF(AND($H2002="",$I2002=""),"montant manquant",IF(ISNA(MATCH($D2002,'Plan comptable'!$H:$H,0)),"compte hors plan",IF(AND($A2002&lt;&gt;"",YEAR($A2002)&lt;&gt;Exercice),"hors exercice","")))))</f>
      </c>
    </row>
    <row r="2003">
      <c r="A2003" s="13"/>
      <c r="B2003" s="10"/>
      <c r="C2003" s="9"/>
      <c r="D2003" s="20"/>
      <c r="E2003" s="9">
        <f>IF($D2003="","",IFERROR(VLOOKUP($D2003,'Plan comptable'!$H:$I,2,FALSE),"compte hors plan"))</f>
      </c>
      <c r="F2003" s="9"/>
      <c r="G2003" s="10"/>
      <c r="H2003" s="11"/>
      <c r="I2003" s="11"/>
      <c r="J2003" s="10">
        <f>IF($D2003="","",IF(AND($H2003&lt;&gt;"",$I2003&lt;&gt;""),"débit ET crédit",IF(AND($H2003="",$I2003=""),"montant manquant",IF(ISNA(MATCH($D2003,'Plan comptable'!$H:$H,0)),"compte hors plan",IF(AND($A2003&lt;&gt;"",YEAR($A2003)&lt;&gt;Exercice),"hors exercice","")))))</f>
      </c>
    </row>
    <row r="2004">
      <c r="A2004" s="13"/>
      <c r="B2004" s="10"/>
      <c r="C2004" s="9"/>
      <c r="D2004" s="20"/>
      <c r="E2004" s="9">
        <f>IF($D2004="","",IFERROR(VLOOKUP($D2004,'Plan comptable'!$H:$I,2,FALSE),"compte hors plan"))</f>
      </c>
      <c r="F2004" s="9"/>
      <c r="G2004" s="10"/>
      <c r="H2004" s="11"/>
      <c r="I2004" s="11"/>
      <c r="J2004" s="10">
        <f>IF($D2004="","",IF(AND($H2004&lt;&gt;"",$I2004&lt;&gt;""),"débit ET crédit",IF(AND($H2004="",$I2004=""),"montant manquant",IF(ISNA(MATCH($D2004,'Plan comptable'!$H:$H,0)),"compte hors plan",IF(AND($A2004&lt;&gt;"",YEAR($A2004)&lt;&gt;Exercice),"hors exercice","")))))</f>
      </c>
    </row>
    <row r="2005">
      <c r="A2005" s="13"/>
      <c r="B2005" s="10"/>
      <c r="C2005" s="9"/>
      <c r="D2005" s="20"/>
      <c r="E2005" s="9">
        <f>IF($D2005="","",IFERROR(VLOOKUP($D2005,'Plan comptable'!$H:$I,2,FALSE),"compte hors plan"))</f>
      </c>
      <c r="F2005" s="9"/>
      <c r="G2005" s="10"/>
      <c r="H2005" s="11"/>
      <c r="I2005" s="11"/>
      <c r="J2005" s="10">
        <f>IF($D2005="","",IF(AND($H2005&lt;&gt;"",$I2005&lt;&gt;""),"débit ET crédit",IF(AND($H2005="",$I2005=""),"montant manquant",IF(ISNA(MATCH($D2005,'Plan comptable'!$H:$H,0)),"compte hors plan",IF(AND($A2005&lt;&gt;"",YEAR($A2005)&lt;&gt;Exercice),"hors exercice","")))))</f>
      </c>
    </row>
    <row r="2006">
      <c r="A2006" s="13"/>
      <c r="B2006" s="10"/>
      <c r="C2006" s="9"/>
      <c r="D2006" s="20"/>
      <c r="E2006" s="9">
        <f>IF($D2006="","",IFERROR(VLOOKUP($D2006,'Plan comptable'!$H:$I,2,FALSE),"compte hors plan"))</f>
      </c>
      <c r="F2006" s="9"/>
      <c r="G2006" s="10"/>
      <c r="H2006" s="11"/>
      <c r="I2006" s="11"/>
      <c r="J2006" s="10">
        <f>IF($D2006="","",IF(AND($H2006&lt;&gt;"",$I2006&lt;&gt;""),"débit ET crédit",IF(AND($H2006="",$I2006=""),"montant manquant",IF(ISNA(MATCH($D2006,'Plan comptable'!$H:$H,0)),"compte hors plan",IF(AND($A2006&lt;&gt;"",YEAR($A2006)&lt;&gt;Exercice),"hors exercice","")))))</f>
      </c>
    </row>
    <row r="2007">
      <c r="A2007" s="13"/>
      <c r="B2007" s="10"/>
      <c r="C2007" s="9"/>
      <c r="D2007" s="20"/>
      <c r="E2007" s="9">
        <f>IF($D2007="","",IFERROR(VLOOKUP($D2007,'Plan comptable'!$H:$I,2,FALSE),"compte hors plan"))</f>
      </c>
      <c r="F2007" s="9"/>
      <c r="G2007" s="10"/>
      <c r="H2007" s="11"/>
      <c r="I2007" s="11"/>
      <c r="J2007" s="10">
        <f>IF($D2007="","",IF(AND($H2007&lt;&gt;"",$I2007&lt;&gt;""),"débit ET crédit",IF(AND($H2007="",$I2007=""),"montant manquant",IF(ISNA(MATCH($D2007,'Plan comptable'!$H:$H,0)),"compte hors plan",IF(AND($A2007&lt;&gt;"",YEAR($A2007)&lt;&gt;Exercice),"hors exercice","")))))</f>
      </c>
    </row>
  </sheetData>
  <autoFilter ref="A7:J7"/>
  <mergeCells count="4">
    <mergeCell ref="A1:J1"/>
    <mergeCell ref="A2:J2"/>
    <mergeCell ref="A3:J3"/>
    <mergeCell ref="A5:J5"/>
  </mergeCells>
  <dataValidations count="3">
    <dataValidation type="list" allowBlank="1" showInputMessage="1" showErrorMessage="0" sqref="B8:B2007">
      <formula1>Journaux</formula1>
    </dataValidation>
    <dataValidation type="list" allowBlank="1" showInputMessage="1" showErrorMessage="0" sqref="D8:D2007">
      <formula1>Comptes</formula1>
    </dataValidation>
    <dataValidation type="list" allowBlank="1" showInputMessage="1" showErrorMessage="0" sqref="G8:G2007">
      <formula1>Centres</formula1>
    </dataValidation>
  </dataValidations>
  <pageMargins left="0.4" right="0.4" top="0.5" bottom="0.5" header="0.3" footer="0.3"/>
</worksheet>
</file>

<file path=xl/worksheets/sheet5.xml><?xml version="1.0" encoding="utf-8"?>
<worksheet xmlns="http://schemas.openxmlformats.org/spreadsheetml/2006/main">
  <sheetPr>
    <tabColor rgb="FFD97706"/>
  </sheetPr>
  <sheetViews>
    <sheetView workbookViewId="0" showGridLines="0">
      <pane ySplit="7" topLeftCell="A8" activePane="bottomLeft" state="frozen"/>
      <selection pane="bottomLeft" activeCell="A8" sqref="A8"/>
    </sheetView>
  </sheetViews>
  <sheetFormatPr defaultRowHeight="15"/>
  <cols>
    <col min="1" max="1" width="12" customWidth="1"/>
    <col min="2" max="2" width="9" customWidth="1"/>
    <col min="3" max="3" width="16" customWidth="1"/>
    <col min="4" max="4" width="44" customWidth="1"/>
    <col min="5" max="5" width="16" customWidth="1"/>
    <col min="6" max="6" width="16" customWidth="1"/>
    <col min="7" max="7" width="18" customWidth="1"/>
    <col min="8" max="8" width="14" customWidth="1"/>
  </cols>
  <sheetData>
    <row r="1" ht="30" customHeight="1">
      <c r="A1" s="1" t="inlineStr">
        <is>
          <t xml:space="preserve">GRAND LIVRE</t>
        </is>
      </c>
    </row>
    <row r="2" ht="22" customHeight="1">
      <c r="A2" s="2" t="inlineStr">
        <is>
          <t xml:space="preserve">الأستاذ العام</t>
        </is>
      </c>
    </row>
    <row r="3">
      <c r="A3" s="18">
        <f>Societe&amp;"   ·   Exercice "&amp;Exercice</f>
      </c>
    </row>
    <row r="5">
      <c r="A5" s="4" t="inlineStr">
        <is>
          <t xml:space="preserve">Compte :</t>
        </is>
      </c>
      <c r="C5" s="5" t="inlineStr">
        <is>
          <t xml:space="preserve">411</t>
        </is>
      </c>
      <c r="D5" s="9">
        <f>IFERROR(VLOOKUP($C$5,'Plan comptable'!$H:$I,2,FALSE),"—")</f>
      </c>
      <c r="H5" s="26" t="inlineStr">
        <is>
          <t xml:space="preserve">choisissez un compte en C5</t>
        </is>
      </c>
    </row>
    <row r="6">
      <c r="A6" s="15"/>
      <c r="B6" s="15"/>
      <c r="C6" s="15"/>
      <c r="D6" s="15" t="inlineStr">
        <is>
          <t xml:space="preserve">Totaux du compte</t>
        </is>
      </c>
      <c r="E6" s="16">
        <f>SUMIF('Journal'!$D$8:$D$2007,$C$5,'Journal'!$H$8:$H$2007)</f>
      </c>
      <c r="F6" s="16">
        <f>SUMIF('Journal'!$D$8:$D$2007,$C$5,'Journal'!$I$8:$I$2007)</f>
      </c>
      <c r="G6" s="16">
        <f>$E$6-$F$6</f>
      </c>
      <c r="H6" s="15"/>
    </row>
    <row r="7">
      <c r="A7" s="8" t="inlineStr">
        <is>
          <t xml:space="preserve">Date</t>
        </is>
      </c>
      <c r="B7" s="8" t="inlineStr">
        <is>
          <t xml:space="preserve">Journal</t>
        </is>
      </c>
      <c r="C7" s="8" t="inlineStr">
        <is>
          <t xml:space="preserve">N° pièce</t>
        </is>
      </c>
      <c r="D7" s="8" t="inlineStr">
        <is>
          <t xml:space="preserve">Libellé</t>
        </is>
      </c>
      <c r="E7" s="8" t="inlineStr">
        <is>
          <t xml:space="preserve">Débit</t>
        </is>
      </c>
      <c r="F7" s="8" t="inlineStr">
        <is>
          <t xml:space="preserve">Crédit</t>
        </is>
      </c>
      <c r="G7" s="8" t="inlineStr">
        <is>
          <t xml:space="preserve">Solde cumulé</t>
        </is>
      </c>
      <c r="H7" s="8" t="inlineStr">
        <is>
          <t xml:space="preserve">réf. (technique)</t>
        </is>
      </c>
    </row>
    <row r="8">
      <c r="A8" s="13">
        <f>IF($H8="","",INDEX('Journal'!$A$8:$A$2007,$H8))</f>
      </c>
      <c r="B8" s="10">
        <f>IF($H8="","",INDEX('Journal'!$B$8:$B$2007,$H8))</f>
      </c>
      <c r="C8" s="9">
        <f>IF($H8="","",INDEX('Journal'!$C$8:$C$2007,$H8))</f>
      </c>
      <c r="D8" s="9">
        <f>IF($H8="","",INDEX('Journal'!$F$8:$F$2007,$H8))</f>
      </c>
      <c r="E8" s="11">
        <f>IF($H8="","",INDEX('Journal'!$H$8:$H$2007,$H8))</f>
      </c>
      <c r="F8" s="11">
        <f>IF($H8="","",INDEX('Journal'!$I$8:$I$2007,$H8))</f>
      </c>
      <c r="G8" s="11">
        <f>IF($H8="","",N(G7)+N(E8)-N(F8))</f>
      </c>
      <c r="H8" s="10">
        <f t="array" ref="H8">IFERROR(SMALL(IF('Journal'!$D$8:$D$2007=$C$5,ROW('Journal'!$D$8:$D$2007)-7),1),"")</f>
      </c>
    </row>
    <row r="9">
      <c r="A9" s="13">
        <f>IF($H9="","",INDEX('Journal'!$A$8:$A$2007,$H9))</f>
      </c>
      <c r="B9" s="10">
        <f>IF($H9="","",INDEX('Journal'!$B$8:$B$2007,$H9))</f>
      </c>
      <c r="C9" s="9">
        <f>IF($H9="","",INDEX('Journal'!$C$8:$C$2007,$H9))</f>
      </c>
      <c r="D9" s="9">
        <f>IF($H9="","",INDEX('Journal'!$F$8:$F$2007,$H9))</f>
      </c>
      <c r="E9" s="11">
        <f>IF($H9="","",INDEX('Journal'!$H$8:$H$2007,$H9))</f>
      </c>
      <c r="F9" s="11">
        <f>IF($H9="","",INDEX('Journal'!$I$8:$I$2007,$H9))</f>
      </c>
      <c r="G9" s="11">
        <f>IF($H9="","",N(G8)+N(E9)-N(F9))</f>
      </c>
      <c r="H9" s="10">
        <f t="array" ref="H9">IFERROR(SMALL(IF('Journal'!$D$8:$D$2007=$C$5,ROW('Journal'!$D$8:$D$2007)-7),2),"")</f>
      </c>
    </row>
    <row r="10">
      <c r="A10" s="13">
        <f>IF($H10="","",INDEX('Journal'!$A$8:$A$2007,$H10))</f>
      </c>
      <c r="B10" s="10">
        <f>IF($H10="","",INDEX('Journal'!$B$8:$B$2007,$H10))</f>
      </c>
      <c r="C10" s="9">
        <f>IF($H10="","",INDEX('Journal'!$C$8:$C$2007,$H10))</f>
      </c>
      <c r="D10" s="9">
        <f>IF($H10="","",INDEX('Journal'!$F$8:$F$2007,$H10))</f>
      </c>
      <c r="E10" s="11">
        <f>IF($H10="","",INDEX('Journal'!$H$8:$H$2007,$H10))</f>
      </c>
      <c r="F10" s="11">
        <f>IF($H10="","",INDEX('Journal'!$I$8:$I$2007,$H10))</f>
      </c>
      <c r="G10" s="11">
        <f>IF($H10="","",N(G9)+N(E10)-N(F10))</f>
      </c>
      <c r="H10" s="10">
        <f t="array" ref="H10">IFERROR(SMALL(IF('Journal'!$D$8:$D$2007=$C$5,ROW('Journal'!$D$8:$D$2007)-7),3),"")</f>
      </c>
    </row>
    <row r="11">
      <c r="A11" s="13">
        <f>IF($H11="","",INDEX('Journal'!$A$8:$A$2007,$H11))</f>
      </c>
      <c r="B11" s="10">
        <f>IF($H11="","",INDEX('Journal'!$B$8:$B$2007,$H11))</f>
      </c>
      <c r="C11" s="9">
        <f>IF($H11="","",INDEX('Journal'!$C$8:$C$2007,$H11))</f>
      </c>
      <c r="D11" s="9">
        <f>IF($H11="","",INDEX('Journal'!$F$8:$F$2007,$H11))</f>
      </c>
      <c r="E11" s="11">
        <f>IF($H11="","",INDEX('Journal'!$H$8:$H$2007,$H11))</f>
      </c>
      <c r="F11" s="11">
        <f>IF($H11="","",INDEX('Journal'!$I$8:$I$2007,$H11))</f>
      </c>
      <c r="G11" s="11">
        <f>IF($H11="","",N(G10)+N(E11)-N(F11))</f>
      </c>
      <c r="H11" s="10">
        <f t="array" ref="H11">IFERROR(SMALL(IF('Journal'!$D$8:$D$2007=$C$5,ROW('Journal'!$D$8:$D$2007)-7),4),"")</f>
      </c>
    </row>
    <row r="12">
      <c r="A12" s="13">
        <f>IF($H12="","",INDEX('Journal'!$A$8:$A$2007,$H12))</f>
      </c>
      <c r="B12" s="10">
        <f>IF($H12="","",INDEX('Journal'!$B$8:$B$2007,$H12))</f>
      </c>
      <c r="C12" s="9">
        <f>IF($H12="","",INDEX('Journal'!$C$8:$C$2007,$H12))</f>
      </c>
      <c r="D12" s="9">
        <f>IF($H12="","",INDEX('Journal'!$F$8:$F$2007,$H12))</f>
      </c>
      <c r="E12" s="11">
        <f>IF($H12="","",INDEX('Journal'!$H$8:$H$2007,$H12))</f>
      </c>
      <c r="F12" s="11">
        <f>IF($H12="","",INDEX('Journal'!$I$8:$I$2007,$H12))</f>
      </c>
      <c r="G12" s="11">
        <f>IF($H12="","",N(G11)+N(E12)-N(F12))</f>
      </c>
      <c r="H12" s="10">
        <f t="array" ref="H12">IFERROR(SMALL(IF('Journal'!$D$8:$D$2007=$C$5,ROW('Journal'!$D$8:$D$2007)-7),5),"")</f>
      </c>
    </row>
    <row r="13">
      <c r="A13" s="13">
        <f>IF($H13="","",INDEX('Journal'!$A$8:$A$2007,$H13))</f>
      </c>
      <c r="B13" s="10">
        <f>IF($H13="","",INDEX('Journal'!$B$8:$B$2007,$H13))</f>
      </c>
      <c r="C13" s="9">
        <f>IF($H13="","",INDEX('Journal'!$C$8:$C$2007,$H13))</f>
      </c>
      <c r="D13" s="9">
        <f>IF($H13="","",INDEX('Journal'!$F$8:$F$2007,$H13))</f>
      </c>
      <c r="E13" s="11">
        <f>IF($H13="","",INDEX('Journal'!$H$8:$H$2007,$H13))</f>
      </c>
      <c r="F13" s="11">
        <f>IF($H13="","",INDEX('Journal'!$I$8:$I$2007,$H13))</f>
      </c>
      <c r="G13" s="11">
        <f>IF($H13="","",N(G12)+N(E13)-N(F13))</f>
      </c>
      <c r="H13" s="10">
        <f t="array" ref="H13">IFERROR(SMALL(IF('Journal'!$D$8:$D$2007=$C$5,ROW('Journal'!$D$8:$D$2007)-7),6),"")</f>
      </c>
    </row>
    <row r="14">
      <c r="A14" s="13">
        <f>IF($H14="","",INDEX('Journal'!$A$8:$A$2007,$H14))</f>
      </c>
      <c r="B14" s="10">
        <f>IF($H14="","",INDEX('Journal'!$B$8:$B$2007,$H14))</f>
      </c>
      <c r="C14" s="9">
        <f>IF($H14="","",INDEX('Journal'!$C$8:$C$2007,$H14))</f>
      </c>
      <c r="D14" s="9">
        <f>IF($H14="","",INDEX('Journal'!$F$8:$F$2007,$H14))</f>
      </c>
      <c r="E14" s="11">
        <f>IF($H14="","",INDEX('Journal'!$H$8:$H$2007,$H14))</f>
      </c>
      <c r="F14" s="11">
        <f>IF($H14="","",INDEX('Journal'!$I$8:$I$2007,$H14))</f>
      </c>
      <c r="G14" s="11">
        <f>IF($H14="","",N(G13)+N(E14)-N(F14))</f>
      </c>
      <c r="H14" s="10">
        <f t="array" ref="H14">IFERROR(SMALL(IF('Journal'!$D$8:$D$2007=$C$5,ROW('Journal'!$D$8:$D$2007)-7),7),"")</f>
      </c>
    </row>
    <row r="15">
      <c r="A15" s="13">
        <f>IF($H15="","",INDEX('Journal'!$A$8:$A$2007,$H15))</f>
      </c>
      <c r="B15" s="10">
        <f>IF($H15="","",INDEX('Journal'!$B$8:$B$2007,$H15))</f>
      </c>
      <c r="C15" s="9">
        <f>IF($H15="","",INDEX('Journal'!$C$8:$C$2007,$H15))</f>
      </c>
      <c r="D15" s="9">
        <f>IF($H15="","",INDEX('Journal'!$F$8:$F$2007,$H15))</f>
      </c>
      <c r="E15" s="11">
        <f>IF($H15="","",INDEX('Journal'!$H$8:$H$2007,$H15))</f>
      </c>
      <c r="F15" s="11">
        <f>IF($H15="","",INDEX('Journal'!$I$8:$I$2007,$H15))</f>
      </c>
      <c r="G15" s="11">
        <f>IF($H15="","",N(G14)+N(E15)-N(F15))</f>
      </c>
      <c r="H15" s="10">
        <f t="array" ref="H15">IFERROR(SMALL(IF('Journal'!$D$8:$D$2007=$C$5,ROW('Journal'!$D$8:$D$2007)-7),8),"")</f>
      </c>
    </row>
    <row r="16">
      <c r="A16" s="13">
        <f>IF($H16="","",INDEX('Journal'!$A$8:$A$2007,$H16))</f>
      </c>
      <c r="B16" s="10">
        <f>IF($H16="","",INDEX('Journal'!$B$8:$B$2007,$H16))</f>
      </c>
      <c r="C16" s="9">
        <f>IF($H16="","",INDEX('Journal'!$C$8:$C$2007,$H16))</f>
      </c>
      <c r="D16" s="9">
        <f>IF($H16="","",INDEX('Journal'!$F$8:$F$2007,$H16))</f>
      </c>
      <c r="E16" s="11">
        <f>IF($H16="","",INDEX('Journal'!$H$8:$H$2007,$H16))</f>
      </c>
      <c r="F16" s="11">
        <f>IF($H16="","",INDEX('Journal'!$I$8:$I$2007,$H16))</f>
      </c>
      <c r="G16" s="11">
        <f>IF($H16="","",N(G15)+N(E16)-N(F16))</f>
      </c>
      <c r="H16" s="10">
        <f t="array" ref="H16">IFERROR(SMALL(IF('Journal'!$D$8:$D$2007=$C$5,ROW('Journal'!$D$8:$D$2007)-7),9),"")</f>
      </c>
    </row>
    <row r="17">
      <c r="A17" s="13">
        <f>IF($H17="","",INDEX('Journal'!$A$8:$A$2007,$H17))</f>
      </c>
      <c r="B17" s="10">
        <f>IF($H17="","",INDEX('Journal'!$B$8:$B$2007,$H17))</f>
      </c>
      <c r="C17" s="9">
        <f>IF($H17="","",INDEX('Journal'!$C$8:$C$2007,$H17))</f>
      </c>
      <c r="D17" s="9">
        <f>IF($H17="","",INDEX('Journal'!$F$8:$F$2007,$H17))</f>
      </c>
      <c r="E17" s="11">
        <f>IF($H17="","",INDEX('Journal'!$H$8:$H$2007,$H17))</f>
      </c>
      <c r="F17" s="11">
        <f>IF($H17="","",INDEX('Journal'!$I$8:$I$2007,$H17))</f>
      </c>
      <c r="G17" s="11">
        <f>IF($H17="","",N(G16)+N(E17)-N(F17))</f>
      </c>
      <c r="H17" s="10">
        <f t="array" ref="H17">IFERROR(SMALL(IF('Journal'!$D$8:$D$2007=$C$5,ROW('Journal'!$D$8:$D$2007)-7),10),"")</f>
      </c>
    </row>
    <row r="18">
      <c r="A18" s="13">
        <f>IF($H18="","",INDEX('Journal'!$A$8:$A$2007,$H18))</f>
      </c>
      <c r="B18" s="10">
        <f>IF($H18="","",INDEX('Journal'!$B$8:$B$2007,$H18))</f>
      </c>
      <c r="C18" s="9">
        <f>IF($H18="","",INDEX('Journal'!$C$8:$C$2007,$H18))</f>
      </c>
      <c r="D18" s="9">
        <f>IF($H18="","",INDEX('Journal'!$F$8:$F$2007,$H18))</f>
      </c>
      <c r="E18" s="11">
        <f>IF($H18="","",INDEX('Journal'!$H$8:$H$2007,$H18))</f>
      </c>
      <c r="F18" s="11">
        <f>IF($H18="","",INDEX('Journal'!$I$8:$I$2007,$H18))</f>
      </c>
      <c r="G18" s="11">
        <f>IF($H18="","",N(G17)+N(E18)-N(F18))</f>
      </c>
      <c r="H18" s="10">
        <f t="array" ref="H18">IFERROR(SMALL(IF('Journal'!$D$8:$D$2007=$C$5,ROW('Journal'!$D$8:$D$2007)-7),11),"")</f>
      </c>
    </row>
    <row r="19">
      <c r="A19" s="13">
        <f>IF($H19="","",INDEX('Journal'!$A$8:$A$2007,$H19))</f>
      </c>
      <c r="B19" s="10">
        <f>IF($H19="","",INDEX('Journal'!$B$8:$B$2007,$H19))</f>
      </c>
      <c r="C19" s="9">
        <f>IF($H19="","",INDEX('Journal'!$C$8:$C$2007,$H19))</f>
      </c>
      <c r="D19" s="9">
        <f>IF($H19="","",INDEX('Journal'!$F$8:$F$2007,$H19))</f>
      </c>
      <c r="E19" s="11">
        <f>IF($H19="","",INDEX('Journal'!$H$8:$H$2007,$H19))</f>
      </c>
      <c r="F19" s="11">
        <f>IF($H19="","",INDEX('Journal'!$I$8:$I$2007,$H19))</f>
      </c>
      <c r="G19" s="11">
        <f>IF($H19="","",N(G18)+N(E19)-N(F19))</f>
      </c>
      <c r="H19" s="10">
        <f t="array" ref="H19">IFERROR(SMALL(IF('Journal'!$D$8:$D$2007=$C$5,ROW('Journal'!$D$8:$D$2007)-7),12),"")</f>
      </c>
    </row>
    <row r="20">
      <c r="A20" s="13">
        <f>IF($H20="","",INDEX('Journal'!$A$8:$A$2007,$H20))</f>
      </c>
      <c r="B20" s="10">
        <f>IF($H20="","",INDEX('Journal'!$B$8:$B$2007,$H20))</f>
      </c>
      <c r="C20" s="9">
        <f>IF($H20="","",INDEX('Journal'!$C$8:$C$2007,$H20))</f>
      </c>
      <c r="D20" s="9">
        <f>IF($H20="","",INDEX('Journal'!$F$8:$F$2007,$H20))</f>
      </c>
      <c r="E20" s="11">
        <f>IF($H20="","",INDEX('Journal'!$H$8:$H$2007,$H20))</f>
      </c>
      <c r="F20" s="11">
        <f>IF($H20="","",INDEX('Journal'!$I$8:$I$2007,$H20))</f>
      </c>
      <c r="G20" s="11">
        <f>IF($H20="","",N(G19)+N(E20)-N(F20))</f>
      </c>
      <c r="H20" s="10">
        <f t="array" ref="H20">IFERROR(SMALL(IF('Journal'!$D$8:$D$2007=$C$5,ROW('Journal'!$D$8:$D$2007)-7),13),"")</f>
      </c>
    </row>
    <row r="21">
      <c r="A21" s="13">
        <f>IF($H21="","",INDEX('Journal'!$A$8:$A$2007,$H21))</f>
      </c>
      <c r="B21" s="10">
        <f>IF($H21="","",INDEX('Journal'!$B$8:$B$2007,$H21))</f>
      </c>
      <c r="C21" s="9">
        <f>IF($H21="","",INDEX('Journal'!$C$8:$C$2007,$H21))</f>
      </c>
      <c r="D21" s="9">
        <f>IF($H21="","",INDEX('Journal'!$F$8:$F$2007,$H21))</f>
      </c>
      <c r="E21" s="11">
        <f>IF($H21="","",INDEX('Journal'!$H$8:$H$2007,$H21))</f>
      </c>
      <c r="F21" s="11">
        <f>IF($H21="","",INDEX('Journal'!$I$8:$I$2007,$H21))</f>
      </c>
      <c r="G21" s="11">
        <f>IF($H21="","",N(G20)+N(E21)-N(F21))</f>
      </c>
      <c r="H21" s="10">
        <f t="array" ref="H21">IFERROR(SMALL(IF('Journal'!$D$8:$D$2007=$C$5,ROW('Journal'!$D$8:$D$2007)-7),14),"")</f>
      </c>
    </row>
    <row r="22">
      <c r="A22" s="13">
        <f>IF($H22="","",INDEX('Journal'!$A$8:$A$2007,$H22))</f>
      </c>
      <c r="B22" s="10">
        <f>IF($H22="","",INDEX('Journal'!$B$8:$B$2007,$H22))</f>
      </c>
      <c r="C22" s="9">
        <f>IF($H22="","",INDEX('Journal'!$C$8:$C$2007,$H22))</f>
      </c>
      <c r="D22" s="9">
        <f>IF($H22="","",INDEX('Journal'!$F$8:$F$2007,$H22))</f>
      </c>
      <c r="E22" s="11">
        <f>IF($H22="","",INDEX('Journal'!$H$8:$H$2007,$H22))</f>
      </c>
      <c r="F22" s="11">
        <f>IF($H22="","",INDEX('Journal'!$I$8:$I$2007,$H22))</f>
      </c>
      <c r="G22" s="11">
        <f>IF($H22="","",N(G21)+N(E22)-N(F22))</f>
      </c>
      <c r="H22" s="10">
        <f t="array" ref="H22">IFERROR(SMALL(IF('Journal'!$D$8:$D$2007=$C$5,ROW('Journal'!$D$8:$D$2007)-7),15),"")</f>
      </c>
    </row>
    <row r="23">
      <c r="A23" s="13">
        <f>IF($H23="","",INDEX('Journal'!$A$8:$A$2007,$H23))</f>
      </c>
      <c r="B23" s="10">
        <f>IF($H23="","",INDEX('Journal'!$B$8:$B$2007,$H23))</f>
      </c>
      <c r="C23" s="9">
        <f>IF($H23="","",INDEX('Journal'!$C$8:$C$2007,$H23))</f>
      </c>
      <c r="D23" s="9">
        <f>IF($H23="","",INDEX('Journal'!$F$8:$F$2007,$H23))</f>
      </c>
      <c r="E23" s="11">
        <f>IF($H23="","",INDEX('Journal'!$H$8:$H$2007,$H23))</f>
      </c>
      <c r="F23" s="11">
        <f>IF($H23="","",INDEX('Journal'!$I$8:$I$2007,$H23))</f>
      </c>
      <c r="G23" s="11">
        <f>IF($H23="","",N(G22)+N(E23)-N(F23))</f>
      </c>
      <c r="H23" s="10">
        <f t="array" ref="H23">IFERROR(SMALL(IF('Journal'!$D$8:$D$2007=$C$5,ROW('Journal'!$D$8:$D$2007)-7),16),"")</f>
      </c>
    </row>
    <row r="24">
      <c r="A24" s="13">
        <f>IF($H24="","",INDEX('Journal'!$A$8:$A$2007,$H24))</f>
      </c>
      <c r="B24" s="10">
        <f>IF($H24="","",INDEX('Journal'!$B$8:$B$2007,$H24))</f>
      </c>
      <c r="C24" s="9">
        <f>IF($H24="","",INDEX('Journal'!$C$8:$C$2007,$H24))</f>
      </c>
      <c r="D24" s="9">
        <f>IF($H24="","",INDEX('Journal'!$F$8:$F$2007,$H24))</f>
      </c>
      <c r="E24" s="11">
        <f>IF($H24="","",INDEX('Journal'!$H$8:$H$2007,$H24))</f>
      </c>
      <c r="F24" s="11">
        <f>IF($H24="","",INDEX('Journal'!$I$8:$I$2007,$H24))</f>
      </c>
      <c r="G24" s="11">
        <f>IF($H24="","",N(G23)+N(E24)-N(F24))</f>
      </c>
      <c r="H24" s="10">
        <f t="array" ref="H24">IFERROR(SMALL(IF('Journal'!$D$8:$D$2007=$C$5,ROW('Journal'!$D$8:$D$2007)-7),17),"")</f>
      </c>
    </row>
    <row r="25">
      <c r="A25" s="13">
        <f>IF($H25="","",INDEX('Journal'!$A$8:$A$2007,$H25))</f>
      </c>
      <c r="B25" s="10">
        <f>IF($H25="","",INDEX('Journal'!$B$8:$B$2007,$H25))</f>
      </c>
      <c r="C25" s="9">
        <f>IF($H25="","",INDEX('Journal'!$C$8:$C$2007,$H25))</f>
      </c>
      <c r="D25" s="9">
        <f>IF($H25="","",INDEX('Journal'!$F$8:$F$2007,$H25))</f>
      </c>
      <c r="E25" s="11">
        <f>IF($H25="","",INDEX('Journal'!$H$8:$H$2007,$H25))</f>
      </c>
      <c r="F25" s="11">
        <f>IF($H25="","",INDEX('Journal'!$I$8:$I$2007,$H25))</f>
      </c>
      <c r="G25" s="11">
        <f>IF($H25="","",N(G24)+N(E25)-N(F25))</f>
      </c>
      <c r="H25" s="10">
        <f t="array" ref="H25">IFERROR(SMALL(IF('Journal'!$D$8:$D$2007=$C$5,ROW('Journal'!$D$8:$D$2007)-7),18),"")</f>
      </c>
    </row>
    <row r="26">
      <c r="A26" s="13">
        <f>IF($H26="","",INDEX('Journal'!$A$8:$A$2007,$H26))</f>
      </c>
      <c r="B26" s="10">
        <f>IF($H26="","",INDEX('Journal'!$B$8:$B$2007,$H26))</f>
      </c>
      <c r="C26" s="9">
        <f>IF($H26="","",INDEX('Journal'!$C$8:$C$2007,$H26))</f>
      </c>
      <c r="D26" s="9">
        <f>IF($H26="","",INDEX('Journal'!$F$8:$F$2007,$H26))</f>
      </c>
      <c r="E26" s="11">
        <f>IF($H26="","",INDEX('Journal'!$H$8:$H$2007,$H26))</f>
      </c>
      <c r="F26" s="11">
        <f>IF($H26="","",INDEX('Journal'!$I$8:$I$2007,$H26))</f>
      </c>
      <c r="G26" s="11">
        <f>IF($H26="","",N(G25)+N(E26)-N(F26))</f>
      </c>
      <c r="H26" s="10">
        <f t="array" ref="H26">IFERROR(SMALL(IF('Journal'!$D$8:$D$2007=$C$5,ROW('Journal'!$D$8:$D$2007)-7),19),"")</f>
      </c>
    </row>
    <row r="27">
      <c r="A27" s="13">
        <f>IF($H27="","",INDEX('Journal'!$A$8:$A$2007,$H27))</f>
      </c>
      <c r="B27" s="10">
        <f>IF($H27="","",INDEX('Journal'!$B$8:$B$2007,$H27))</f>
      </c>
      <c r="C27" s="9">
        <f>IF($H27="","",INDEX('Journal'!$C$8:$C$2007,$H27))</f>
      </c>
      <c r="D27" s="9">
        <f>IF($H27="","",INDEX('Journal'!$F$8:$F$2007,$H27))</f>
      </c>
      <c r="E27" s="11">
        <f>IF($H27="","",INDEX('Journal'!$H$8:$H$2007,$H27))</f>
      </c>
      <c r="F27" s="11">
        <f>IF($H27="","",INDEX('Journal'!$I$8:$I$2007,$H27))</f>
      </c>
      <c r="G27" s="11">
        <f>IF($H27="","",N(G26)+N(E27)-N(F27))</f>
      </c>
      <c r="H27" s="10">
        <f t="array" ref="H27">IFERROR(SMALL(IF('Journal'!$D$8:$D$2007=$C$5,ROW('Journal'!$D$8:$D$2007)-7),20),"")</f>
      </c>
    </row>
    <row r="28">
      <c r="A28" s="13">
        <f>IF($H28="","",INDEX('Journal'!$A$8:$A$2007,$H28))</f>
      </c>
      <c r="B28" s="10">
        <f>IF($H28="","",INDEX('Journal'!$B$8:$B$2007,$H28))</f>
      </c>
      <c r="C28" s="9">
        <f>IF($H28="","",INDEX('Journal'!$C$8:$C$2007,$H28))</f>
      </c>
      <c r="D28" s="9">
        <f>IF($H28="","",INDEX('Journal'!$F$8:$F$2007,$H28))</f>
      </c>
      <c r="E28" s="11">
        <f>IF($H28="","",INDEX('Journal'!$H$8:$H$2007,$H28))</f>
      </c>
      <c r="F28" s="11">
        <f>IF($H28="","",INDEX('Journal'!$I$8:$I$2007,$H28))</f>
      </c>
      <c r="G28" s="11">
        <f>IF($H28="","",N(G27)+N(E28)-N(F28))</f>
      </c>
      <c r="H28" s="10">
        <f t="array" ref="H28">IFERROR(SMALL(IF('Journal'!$D$8:$D$2007=$C$5,ROW('Journal'!$D$8:$D$2007)-7),21),"")</f>
      </c>
    </row>
    <row r="29">
      <c r="A29" s="13">
        <f>IF($H29="","",INDEX('Journal'!$A$8:$A$2007,$H29))</f>
      </c>
      <c r="B29" s="10">
        <f>IF($H29="","",INDEX('Journal'!$B$8:$B$2007,$H29))</f>
      </c>
      <c r="C29" s="9">
        <f>IF($H29="","",INDEX('Journal'!$C$8:$C$2007,$H29))</f>
      </c>
      <c r="D29" s="9">
        <f>IF($H29="","",INDEX('Journal'!$F$8:$F$2007,$H29))</f>
      </c>
      <c r="E29" s="11">
        <f>IF($H29="","",INDEX('Journal'!$H$8:$H$2007,$H29))</f>
      </c>
      <c r="F29" s="11">
        <f>IF($H29="","",INDEX('Journal'!$I$8:$I$2007,$H29))</f>
      </c>
      <c r="G29" s="11">
        <f>IF($H29="","",N(G28)+N(E29)-N(F29))</f>
      </c>
      <c r="H29" s="10">
        <f t="array" ref="H29">IFERROR(SMALL(IF('Journal'!$D$8:$D$2007=$C$5,ROW('Journal'!$D$8:$D$2007)-7),22),"")</f>
      </c>
    </row>
    <row r="30">
      <c r="A30" s="13">
        <f>IF($H30="","",INDEX('Journal'!$A$8:$A$2007,$H30))</f>
      </c>
      <c r="B30" s="10">
        <f>IF($H30="","",INDEX('Journal'!$B$8:$B$2007,$H30))</f>
      </c>
      <c r="C30" s="9">
        <f>IF($H30="","",INDEX('Journal'!$C$8:$C$2007,$H30))</f>
      </c>
      <c r="D30" s="9">
        <f>IF($H30="","",INDEX('Journal'!$F$8:$F$2007,$H30))</f>
      </c>
      <c r="E30" s="11">
        <f>IF($H30="","",INDEX('Journal'!$H$8:$H$2007,$H30))</f>
      </c>
      <c r="F30" s="11">
        <f>IF($H30="","",INDEX('Journal'!$I$8:$I$2007,$H30))</f>
      </c>
      <c r="G30" s="11">
        <f>IF($H30="","",N(G29)+N(E30)-N(F30))</f>
      </c>
      <c r="H30" s="10">
        <f t="array" ref="H30">IFERROR(SMALL(IF('Journal'!$D$8:$D$2007=$C$5,ROW('Journal'!$D$8:$D$2007)-7),23),"")</f>
      </c>
    </row>
    <row r="31">
      <c r="A31" s="13">
        <f>IF($H31="","",INDEX('Journal'!$A$8:$A$2007,$H31))</f>
      </c>
      <c r="B31" s="10">
        <f>IF($H31="","",INDEX('Journal'!$B$8:$B$2007,$H31))</f>
      </c>
      <c r="C31" s="9">
        <f>IF($H31="","",INDEX('Journal'!$C$8:$C$2007,$H31))</f>
      </c>
      <c r="D31" s="9">
        <f>IF($H31="","",INDEX('Journal'!$F$8:$F$2007,$H31))</f>
      </c>
      <c r="E31" s="11">
        <f>IF($H31="","",INDEX('Journal'!$H$8:$H$2007,$H31))</f>
      </c>
      <c r="F31" s="11">
        <f>IF($H31="","",INDEX('Journal'!$I$8:$I$2007,$H31))</f>
      </c>
      <c r="G31" s="11">
        <f>IF($H31="","",N(G30)+N(E31)-N(F31))</f>
      </c>
      <c r="H31" s="10">
        <f t="array" ref="H31">IFERROR(SMALL(IF('Journal'!$D$8:$D$2007=$C$5,ROW('Journal'!$D$8:$D$2007)-7),24),"")</f>
      </c>
    </row>
    <row r="32">
      <c r="A32" s="13">
        <f>IF($H32="","",INDEX('Journal'!$A$8:$A$2007,$H32))</f>
      </c>
      <c r="B32" s="10">
        <f>IF($H32="","",INDEX('Journal'!$B$8:$B$2007,$H32))</f>
      </c>
      <c r="C32" s="9">
        <f>IF($H32="","",INDEX('Journal'!$C$8:$C$2007,$H32))</f>
      </c>
      <c r="D32" s="9">
        <f>IF($H32="","",INDEX('Journal'!$F$8:$F$2007,$H32))</f>
      </c>
      <c r="E32" s="11">
        <f>IF($H32="","",INDEX('Journal'!$H$8:$H$2007,$H32))</f>
      </c>
      <c r="F32" s="11">
        <f>IF($H32="","",INDEX('Journal'!$I$8:$I$2007,$H32))</f>
      </c>
      <c r="G32" s="11">
        <f>IF($H32="","",N(G31)+N(E32)-N(F32))</f>
      </c>
      <c r="H32" s="10">
        <f t="array" ref="H32">IFERROR(SMALL(IF('Journal'!$D$8:$D$2007=$C$5,ROW('Journal'!$D$8:$D$2007)-7),25),"")</f>
      </c>
    </row>
    <row r="33">
      <c r="A33" s="13">
        <f>IF($H33="","",INDEX('Journal'!$A$8:$A$2007,$H33))</f>
      </c>
      <c r="B33" s="10">
        <f>IF($H33="","",INDEX('Journal'!$B$8:$B$2007,$H33))</f>
      </c>
      <c r="C33" s="9">
        <f>IF($H33="","",INDEX('Journal'!$C$8:$C$2007,$H33))</f>
      </c>
      <c r="D33" s="9">
        <f>IF($H33="","",INDEX('Journal'!$F$8:$F$2007,$H33))</f>
      </c>
      <c r="E33" s="11">
        <f>IF($H33="","",INDEX('Journal'!$H$8:$H$2007,$H33))</f>
      </c>
      <c r="F33" s="11">
        <f>IF($H33="","",INDEX('Journal'!$I$8:$I$2007,$H33))</f>
      </c>
      <c r="G33" s="11">
        <f>IF($H33="","",N(G32)+N(E33)-N(F33))</f>
      </c>
      <c r="H33" s="10">
        <f t="array" ref="H33">IFERROR(SMALL(IF('Journal'!$D$8:$D$2007=$C$5,ROW('Journal'!$D$8:$D$2007)-7),26),"")</f>
      </c>
    </row>
    <row r="34">
      <c r="A34" s="13">
        <f>IF($H34="","",INDEX('Journal'!$A$8:$A$2007,$H34))</f>
      </c>
      <c r="B34" s="10">
        <f>IF($H34="","",INDEX('Journal'!$B$8:$B$2007,$H34))</f>
      </c>
      <c r="C34" s="9">
        <f>IF($H34="","",INDEX('Journal'!$C$8:$C$2007,$H34))</f>
      </c>
      <c r="D34" s="9">
        <f>IF($H34="","",INDEX('Journal'!$F$8:$F$2007,$H34))</f>
      </c>
      <c r="E34" s="11">
        <f>IF($H34="","",INDEX('Journal'!$H$8:$H$2007,$H34))</f>
      </c>
      <c r="F34" s="11">
        <f>IF($H34="","",INDEX('Journal'!$I$8:$I$2007,$H34))</f>
      </c>
      <c r="G34" s="11">
        <f>IF($H34="","",N(G33)+N(E34)-N(F34))</f>
      </c>
      <c r="H34" s="10">
        <f t="array" ref="H34">IFERROR(SMALL(IF('Journal'!$D$8:$D$2007=$C$5,ROW('Journal'!$D$8:$D$2007)-7),27),"")</f>
      </c>
    </row>
    <row r="35">
      <c r="A35" s="13">
        <f>IF($H35="","",INDEX('Journal'!$A$8:$A$2007,$H35))</f>
      </c>
      <c r="B35" s="10">
        <f>IF($H35="","",INDEX('Journal'!$B$8:$B$2007,$H35))</f>
      </c>
      <c r="C35" s="9">
        <f>IF($H35="","",INDEX('Journal'!$C$8:$C$2007,$H35))</f>
      </c>
      <c r="D35" s="9">
        <f>IF($H35="","",INDEX('Journal'!$F$8:$F$2007,$H35))</f>
      </c>
      <c r="E35" s="11">
        <f>IF($H35="","",INDEX('Journal'!$H$8:$H$2007,$H35))</f>
      </c>
      <c r="F35" s="11">
        <f>IF($H35="","",INDEX('Journal'!$I$8:$I$2007,$H35))</f>
      </c>
      <c r="G35" s="11">
        <f>IF($H35="","",N(G34)+N(E35)-N(F35))</f>
      </c>
      <c r="H35" s="10">
        <f t="array" ref="H35">IFERROR(SMALL(IF('Journal'!$D$8:$D$2007=$C$5,ROW('Journal'!$D$8:$D$2007)-7),28),"")</f>
      </c>
    </row>
    <row r="36">
      <c r="A36" s="13">
        <f>IF($H36="","",INDEX('Journal'!$A$8:$A$2007,$H36))</f>
      </c>
      <c r="B36" s="10">
        <f>IF($H36="","",INDEX('Journal'!$B$8:$B$2007,$H36))</f>
      </c>
      <c r="C36" s="9">
        <f>IF($H36="","",INDEX('Journal'!$C$8:$C$2007,$H36))</f>
      </c>
      <c r="D36" s="9">
        <f>IF($H36="","",INDEX('Journal'!$F$8:$F$2007,$H36))</f>
      </c>
      <c r="E36" s="11">
        <f>IF($H36="","",INDEX('Journal'!$H$8:$H$2007,$H36))</f>
      </c>
      <c r="F36" s="11">
        <f>IF($H36="","",INDEX('Journal'!$I$8:$I$2007,$H36))</f>
      </c>
      <c r="G36" s="11">
        <f>IF($H36="","",N(G35)+N(E36)-N(F36))</f>
      </c>
      <c r="H36" s="10">
        <f t="array" ref="H36">IFERROR(SMALL(IF('Journal'!$D$8:$D$2007=$C$5,ROW('Journal'!$D$8:$D$2007)-7),29),"")</f>
      </c>
    </row>
    <row r="37">
      <c r="A37" s="13">
        <f>IF($H37="","",INDEX('Journal'!$A$8:$A$2007,$H37))</f>
      </c>
      <c r="B37" s="10">
        <f>IF($H37="","",INDEX('Journal'!$B$8:$B$2007,$H37))</f>
      </c>
      <c r="C37" s="9">
        <f>IF($H37="","",INDEX('Journal'!$C$8:$C$2007,$H37))</f>
      </c>
      <c r="D37" s="9">
        <f>IF($H37="","",INDEX('Journal'!$F$8:$F$2007,$H37))</f>
      </c>
      <c r="E37" s="11">
        <f>IF($H37="","",INDEX('Journal'!$H$8:$H$2007,$H37))</f>
      </c>
      <c r="F37" s="11">
        <f>IF($H37="","",INDEX('Journal'!$I$8:$I$2007,$H37))</f>
      </c>
      <c r="G37" s="11">
        <f>IF($H37="","",N(G36)+N(E37)-N(F37))</f>
      </c>
      <c r="H37" s="10">
        <f t="array" ref="H37">IFERROR(SMALL(IF('Journal'!$D$8:$D$2007=$C$5,ROW('Journal'!$D$8:$D$2007)-7),30),"")</f>
      </c>
    </row>
    <row r="38">
      <c r="A38" s="13">
        <f>IF($H38="","",INDEX('Journal'!$A$8:$A$2007,$H38))</f>
      </c>
      <c r="B38" s="10">
        <f>IF($H38="","",INDEX('Journal'!$B$8:$B$2007,$H38))</f>
      </c>
      <c r="C38" s="9">
        <f>IF($H38="","",INDEX('Journal'!$C$8:$C$2007,$H38))</f>
      </c>
      <c r="D38" s="9">
        <f>IF($H38="","",INDEX('Journal'!$F$8:$F$2007,$H38))</f>
      </c>
      <c r="E38" s="11">
        <f>IF($H38="","",INDEX('Journal'!$H$8:$H$2007,$H38))</f>
      </c>
      <c r="F38" s="11">
        <f>IF($H38="","",INDEX('Journal'!$I$8:$I$2007,$H38))</f>
      </c>
      <c r="G38" s="11">
        <f>IF($H38="","",N(G37)+N(E38)-N(F38))</f>
      </c>
      <c r="H38" s="10">
        <f t="array" ref="H38">IFERROR(SMALL(IF('Journal'!$D$8:$D$2007=$C$5,ROW('Journal'!$D$8:$D$2007)-7),31),"")</f>
      </c>
    </row>
    <row r="39">
      <c r="A39" s="13">
        <f>IF($H39="","",INDEX('Journal'!$A$8:$A$2007,$H39))</f>
      </c>
      <c r="B39" s="10">
        <f>IF($H39="","",INDEX('Journal'!$B$8:$B$2007,$H39))</f>
      </c>
      <c r="C39" s="9">
        <f>IF($H39="","",INDEX('Journal'!$C$8:$C$2007,$H39))</f>
      </c>
      <c r="D39" s="9">
        <f>IF($H39="","",INDEX('Journal'!$F$8:$F$2007,$H39))</f>
      </c>
      <c r="E39" s="11">
        <f>IF($H39="","",INDEX('Journal'!$H$8:$H$2007,$H39))</f>
      </c>
      <c r="F39" s="11">
        <f>IF($H39="","",INDEX('Journal'!$I$8:$I$2007,$H39))</f>
      </c>
      <c r="G39" s="11">
        <f>IF($H39="","",N(G38)+N(E39)-N(F39))</f>
      </c>
      <c r="H39" s="10">
        <f t="array" ref="H39">IFERROR(SMALL(IF('Journal'!$D$8:$D$2007=$C$5,ROW('Journal'!$D$8:$D$2007)-7),32),"")</f>
      </c>
    </row>
    <row r="40">
      <c r="A40" s="13">
        <f>IF($H40="","",INDEX('Journal'!$A$8:$A$2007,$H40))</f>
      </c>
      <c r="B40" s="10">
        <f>IF($H40="","",INDEX('Journal'!$B$8:$B$2007,$H40))</f>
      </c>
      <c r="C40" s="9">
        <f>IF($H40="","",INDEX('Journal'!$C$8:$C$2007,$H40))</f>
      </c>
      <c r="D40" s="9">
        <f>IF($H40="","",INDEX('Journal'!$F$8:$F$2007,$H40))</f>
      </c>
      <c r="E40" s="11">
        <f>IF($H40="","",INDEX('Journal'!$H$8:$H$2007,$H40))</f>
      </c>
      <c r="F40" s="11">
        <f>IF($H40="","",INDEX('Journal'!$I$8:$I$2007,$H40))</f>
      </c>
      <c r="G40" s="11">
        <f>IF($H40="","",N(G39)+N(E40)-N(F40))</f>
      </c>
      <c r="H40" s="10">
        <f t="array" ref="H40">IFERROR(SMALL(IF('Journal'!$D$8:$D$2007=$C$5,ROW('Journal'!$D$8:$D$2007)-7),33),"")</f>
      </c>
    </row>
    <row r="41">
      <c r="A41" s="13">
        <f>IF($H41="","",INDEX('Journal'!$A$8:$A$2007,$H41))</f>
      </c>
      <c r="B41" s="10">
        <f>IF($H41="","",INDEX('Journal'!$B$8:$B$2007,$H41))</f>
      </c>
      <c r="C41" s="9">
        <f>IF($H41="","",INDEX('Journal'!$C$8:$C$2007,$H41))</f>
      </c>
      <c r="D41" s="9">
        <f>IF($H41="","",INDEX('Journal'!$F$8:$F$2007,$H41))</f>
      </c>
      <c r="E41" s="11">
        <f>IF($H41="","",INDEX('Journal'!$H$8:$H$2007,$H41))</f>
      </c>
      <c r="F41" s="11">
        <f>IF($H41="","",INDEX('Journal'!$I$8:$I$2007,$H41))</f>
      </c>
      <c r="G41" s="11">
        <f>IF($H41="","",N(G40)+N(E41)-N(F41))</f>
      </c>
      <c r="H41" s="10">
        <f t="array" ref="H41">IFERROR(SMALL(IF('Journal'!$D$8:$D$2007=$C$5,ROW('Journal'!$D$8:$D$2007)-7),34),"")</f>
      </c>
    </row>
    <row r="42">
      <c r="A42" s="13">
        <f>IF($H42="","",INDEX('Journal'!$A$8:$A$2007,$H42))</f>
      </c>
      <c r="B42" s="10">
        <f>IF($H42="","",INDEX('Journal'!$B$8:$B$2007,$H42))</f>
      </c>
      <c r="C42" s="9">
        <f>IF($H42="","",INDEX('Journal'!$C$8:$C$2007,$H42))</f>
      </c>
      <c r="D42" s="9">
        <f>IF($H42="","",INDEX('Journal'!$F$8:$F$2007,$H42))</f>
      </c>
      <c r="E42" s="11">
        <f>IF($H42="","",INDEX('Journal'!$H$8:$H$2007,$H42))</f>
      </c>
      <c r="F42" s="11">
        <f>IF($H42="","",INDEX('Journal'!$I$8:$I$2007,$H42))</f>
      </c>
      <c r="G42" s="11">
        <f>IF($H42="","",N(G41)+N(E42)-N(F42))</f>
      </c>
      <c r="H42" s="10">
        <f t="array" ref="H42">IFERROR(SMALL(IF('Journal'!$D$8:$D$2007=$C$5,ROW('Journal'!$D$8:$D$2007)-7),35),"")</f>
      </c>
    </row>
    <row r="43">
      <c r="A43" s="13">
        <f>IF($H43="","",INDEX('Journal'!$A$8:$A$2007,$H43))</f>
      </c>
      <c r="B43" s="10">
        <f>IF($H43="","",INDEX('Journal'!$B$8:$B$2007,$H43))</f>
      </c>
      <c r="C43" s="9">
        <f>IF($H43="","",INDEX('Journal'!$C$8:$C$2007,$H43))</f>
      </c>
      <c r="D43" s="9">
        <f>IF($H43="","",INDEX('Journal'!$F$8:$F$2007,$H43))</f>
      </c>
      <c r="E43" s="11">
        <f>IF($H43="","",INDEX('Journal'!$H$8:$H$2007,$H43))</f>
      </c>
      <c r="F43" s="11">
        <f>IF($H43="","",INDEX('Journal'!$I$8:$I$2007,$H43))</f>
      </c>
      <c r="G43" s="11">
        <f>IF($H43="","",N(G42)+N(E43)-N(F43))</f>
      </c>
      <c r="H43" s="10">
        <f t="array" ref="H43">IFERROR(SMALL(IF('Journal'!$D$8:$D$2007=$C$5,ROW('Journal'!$D$8:$D$2007)-7),36),"")</f>
      </c>
    </row>
    <row r="44">
      <c r="A44" s="13">
        <f>IF($H44="","",INDEX('Journal'!$A$8:$A$2007,$H44))</f>
      </c>
      <c r="B44" s="10">
        <f>IF($H44="","",INDEX('Journal'!$B$8:$B$2007,$H44))</f>
      </c>
      <c r="C44" s="9">
        <f>IF($H44="","",INDEX('Journal'!$C$8:$C$2007,$H44))</f>
      </c>
      <c r="D44" s="9">
        <f>IF($H44="","",INDEX('Journal'!$F$8:$F$2007,$H44))</f>
      </c>
      <c r="E44" s="11">
        <f>IF($H44="","",INDEX('Journal'!$H$8:$H$2007,$H44))</f>
      </c>
      <c r="F44" s="11">
        <f>IF($H44="","",INDEX('Journal'!$I$8:$I$2007,$H44))</f>
      </c>
      <c r="G44" s="11">
        <f>IF($H44="","",N(G43)+N(E44)-N(F44))</f>
      </c>
      <c r="H44" s="10">
        <f t="array" ref="H44">IFERROR(SMALL(IF('Journal'!$D$8:$D$2007=$C$5,ROW('Journal'!$D$8:$D$2007)-7),37),"")</f>
      </c>
    </row>
    <row r="45">
      <c r="A45" s="13">
        <f>IF($H45="","",INDEX('Journal'!$A$8:$A$2007,$H45))</f>
      </c>
      <c r="B45" s="10">
        <f>IF($H45="","",INDEX('Journal'!$B$8:$B$2007,$H45))</f>
      </c>
      <c r="C45" s="9">
        <f>IF($H45="","",INDEX('Journal'!$C$8:$C$2007,$H45))</f>
      </c>
      <c r="D45" s="9">
        <f>IF($H45="","",INDEX('Journal'!$F$8:$F$2007,$H45))</f>
      </c>
      <c r="E45" s="11">
        <f>IF($H45="","",INDEX('Journal'!$H$8:$H$2007,$H45))</f>
      </c>
      <c r="F45" s="11">
        <f>IF($H45="","",INDEX('Journal'!$I$8:$I$2007,$H45))</f>
      </c>
      <c r="G45" s="11">
        <f>IF($H45="","",N(G44)+N(E45)-N(F45))</f>
      </c>
      <c r="H45" s="10">
        <f t="array" ref="H45">IFERROR(SMALL(IF('Journal'!$D$8:$D$2007=$C$5,ROW('Journal'!$D$8:$D$2007)-7),38),"")</f>
      </c>
    </row>
    <row r="46">
      <c r="A46" s="13">
        <f>IF($H46="","",INDEX('Journal'!$A$8:$A$2007,$H46))</f>
      </c>
      <c r="B46" s="10">
        <f>IF($H46="","",INDEX('Journal'!$B$8:$B$2007,$H46))</f>
      </c>
      <c r="C46" s="9">
        <f>IF($H46="","",INDEX('Journal'!$C$8:$C$2007,$H46))</f>
      </c>
      <c r="D46" s="9">
        <f>IF($H46="","",INDEX('Journal'!$F$8:$F$2007,$H46))</f>
      </c>
      <c r="E46" s="11">
        <f>IF($H46="","",INDEX('Journal'!$H$8:$H$2007,$H46))</f>
      </c>
      <c r="F46" s="11">
        <f>IF($H46="","",INDEX('Journal'!$I$8:$I$2007,$H46))</f>
      </c>
      <c r="G46" s="11">
        <f>IF($H46="","",N(G45)+N(E46)-N(F46))</f>
      </c>
      <c r="H46" s="10">
        <f t="array" ref="H46">IFERROR(SMALL(IF('Journal'!$D$8:$D$2007=$C$5,ROW('Journal'!$D$8:$D$2007)-7),39),"")</f>
      </c>
    </row>
    <row r="47">
      <c r="A47" s="13">
        <f>IF($H47="","",INDEX('Journal'!$A$8:$A$2007,$H47))</f>
      </c>
      <c r="B47" s="10">
        <f>IF($H47="","",INDEX('Journal'!$B$8:$B$2007,$H47))</f>
      </c>
      <c r="C47" s="9">
        <f>IF($H47="","",INDEX('Journal'!$C$8:$C$2007,$H47))</f>
      </c>
      <c r="D47" s="9">
        <f>IF($H47="","",INDEX('Journal'!$F$8:$F$2007,$H47))</f>
      </c>
      <c r="E47" s="11">
        <f>IF($H47="","",INDEX('Journal'!$H$8:$H$2007,$H47))</f>
      </c>
      <c r="F47" s="11">
        <f>IF($H47="","",INDEX('Journal'!$I$8:$I$2007,$H47))</f>
      </c>
      <c r="G47" s="11">
        <f>IF($H47="","",N(G46)+N(E47)-N(F47))</f>
      </c>
      <c r="H47" s="10">
        <f t="array" ref="H47">IFERROR(SMALL(IF('Journal'!$D$8:$D$2007=$C$5,ROW('Journal'!$D$8:$D$2007)-7),40),"")</f>
      </c>
    </row>
    <row r="48">
      <c r="A48" s="13">
        <f>IF($H48="","",INDEX('Journal'!$A$8:$A$2007,$H48))</f>
      </c>
      <c r="B48" s="10">
        <f>IF($H48="","",INDEX('Journal'!$B$8:$B$2007,$H48))</f>
      </c>
      <c r="C48" s="9">
        <f>IF($H48="","",INDEX('Journal'!$C$8:$C$2007,$H48))</f>
      </c>
      <c r="D48" s="9">
        <f>IF($H48="","",INDEX('Journal'!$F$8:$F$2007,$H48))</f>
      </c>
      <c r="E48" s="11">
        <f>IF($H48="","",INDEX('Journal'!$H$8:$H$2007,$H48))</f>
      </c>
      <c r="F48" s="11">
        <f>IF($H48="","",INDEX('Journal'!$I$8:$I$2007,$H48))</f>
      </c>
      <c r="G48" s="11">
        <f>IF($H48="","",N(G47)+N(E48)-N(F48))</f>
      </c>
      <c r="H48" s="10">
        <f t="array" ref="H48">IFERROR(SMALL(IF('Journal'!$D$8:$D$2007=$C$5,ROW('Journal'!$D$8:$D$2007)-7),41),"")</f>
      </c>
    </row>
    <row r="49">
      <c r="A49" s="13">
        <f>IF($H49="","",INDEX('Journal'!$A$8:$A$2007,$H49))</f>
      </c>
      <c r="B49" s="10">
        <f>IF($H49="","",INDEX('Journal'!$B$8:$B$2007,$H49))</f>
      </c>
      <c r="C49" s="9">
        <f>IF($H49="","",INDEX('Journal'!$C$8:$C$2007,$H49))</f>
      </c>
      <c r="D49" s="9">
        <f>IF($H49="","",INDEX('Journal'!$F$8:$F$2007,$H49))</f>
      </c>
      <c r="E49" s="11">
        <f>IF($H49="","",INDEX('Journal'!$H$8:$H$2007,$H49))</f>
      </c>
      <c r="F49" s="11">
        <f>IF($H49="","",INDEX('Journal'!$I$8:$I$2007,$H49))</f>
      </c>
      <c r="G49" s="11">
        <f>IF($H49="","",N(G48)+N(E49)-N(F49))</f>
      </c>
      <c r="H49" s="10">
        <f t="array" ref="H49">IFERROR(SMALL(IF('Journal'!$D$8:$D$2007=$C$5,ROW('Journal'!$D$8:$D$2007)-7),42),"")</f>
      </c>
    </row>
    <row r="50">
      <c r="A50" s="13">
        <f>IF($H50="","",INDEX('Journal'!$A$8:$A$2007,$H50))</f>
      </c>
      <c r="B50" s="10">
        <f>IF($H50="","",INDEX('Journal'!$B$8:$B$2007,$H50))</f>
      </c>
      <c r="C50" s="9">
        <f>IF($H50="","",INDEX('Journal'!$C$8:$C$2007,$H50))</f>
      </c>
      <c r="D50" s="9">
        <f>IF($H50="","",INDEX('Journal'!$F$8:$F$2007,$H50))</f>
      </c>
      <c r="E50" s="11">
        <f>IF($H50="","",INDEX('Journal'!$H$8:$H$2007,$H50))</f>
      </c>
      <c r="F50" s="11">
        <f>IF($H50="","",INDEX('Journal'!$I$8:$I$2007,$H50))</f>
      </c>
      <c r="G50" s="11">
        <f>IF($H50="","",N(G49)+N(E50)-N(F50))</f>
      </c>
      <c r="H50" s="10">
        <f t="array" ref="H50">IFERROR(SMALL(IF('Journal'!$D$8:$D$2007=$C$5,ROW('Journal'!$D$8:$D$2007)-7),43),"")</f>
      </c>
    </row>
    <row r="51">
      <c r="A51" s="13">
        <f>IF($H51="","",INDEX('Journal'!$A$8:$A$2007,$H51))</f>
      </c>
      <c r="B51" s="10">
        <f>IF($H51="","",INDEX('Journal'!$B$8:$B$2007,$H51))</f>
      </c>
      <c r="C51" s="9">
        <f>IF($H51="","",INDEX('Journal'!$C$8:$C$2007,$H51))</f>
      </c>
      <c r="D51" s="9">
        <f>IF($H51="","",INDEX('Journal'!$F$8:$F$2007,$H51))</f>
      </c>
      <c r="E51" s="11">
        <f>IF($H51="","",INDEX('Journal'!$H$8:$H$2007,$H51))</f>
      </c>
      <c r="F51" s="11">
        <f>IF($H51="","",INDEX('Journal'!$I$8:$I$2007,$H51))</f>
      </c>
      <c r="G51" s="11">
        <f>IF($H51="","",N(G50)+N(E51)-N(F51))</f>
      </c>
      <c r="H51" s="10">
        <f t="array" ref="H51">IFERROR(SMALL(IF('Journal'!$D$8:$D$2007=$C$5,ROW('Journal'!$D$8:$D$2007)-7),44),"")</f>
      </c>
    </row>
    <row r="52">
      <c r="A52" s="13">
        <f>IF($H52="","",INDEX('Journal'!$A$8:$A$2007,$H52))</f>
      </c>
      <c r="B52" s="10">
        <f>IF($H52="","",INDEX('Journal'!$B$8:$B$2007,$H52))</f>
      </c>
      <c r="C52" s="9">
        <f>IF($H52="","",INDEX('Journal'!$C$8:$C$2007,$H52))</f>
      </c>
      <c r="D52" s="9">
        <f>IF($H52="","",INDEX('Journal'!$F$8:$F$2007,$H52))</f>
      </c>
      <c r="E52" s="11">
        <f>IF($H52="","",INDEX('Journal'!$H$8:$H$2007,$H52))</f>
      </c>
      <c r="F52" s="11">
        <f>IF($H52="","",INDEX('Journal'!$I$8:$I$2007,$H52))</f>
      </c>
      <c r="G52" s="11">
        <f>IF($H52="","",N(G51)+N(E52)-N(F52))</f>
      </c>
      <c r="H52" s="10">
        <f t="array" ref="H52">IFERROR(SMALL(IF('Journal'!$D$8:$D$2007=$C$5,ROW('Journal'!$D$8:$D$2007)-7),45),"")</f>
      </c>
    </row>
    <row r="53">
      <c r="A53" s="13">
        <f>IF($H53="","",INDEX('Journal'!$A$8:$A$2007,$H53))</f>
      </c>
      <c r="B53" s="10">
        <f>IF($H53="","",INDEX('Journal'!$B$8:$B$2007,$H53))</f>
      </c>
      <c r="C53" s="9">
        <f>IF($H53="","",INDEX('Journal'!$C$8:$C$2007,$H53))</f>
      </c>
      <c r="D53" s="9">
        <f>IF($H53="","",INDEX('Journal'!$F$8:$F$2007,$H53))</f>
      </c>
      <c r="E53" s="11">
        <f>IF($H53="","",INDEX('Journal'!$H$8:$H$2007,$H53))</f>
      </c>
      <c r="F53" s="11">
        <f>IF($H53="","",INDEX('Journal'!$I$8:$I$2007,$H53))</f>
      </c>
      <c r="G53" s="11">
        <f>IF($H53="","",N(G52)+N(E53)-N(F53))</f>
      </c>
      <c r="H53" s="10">
        <f t="array" ref="H53">IFERROR(SMALL(IF('Journal'!$D$8:$D$2007=$C$5,ROW('Journal'!$D$8:$D$2007)-7),46),"")</f>
      </c>
    </row>
    <row r="54">
      <c r="A54" s="13">
        <f>IF($H54="","",INDEX('Journal'!$A$8:$A$2007,$H54))</f>
      </c>
      <c r="B54" s="10">
        <f>IF($H54="","",INDEX('Journal'!$B$8:$B$2007,$H54))</f>
      </c>
      <c r="C54" s="9">
        <f>IF($H54="","",INDEX('Journal'!$C$8:$C$2007,$H54))</f>
      </c>
      <c r="D54" s="9">
        <f>IF($H54="","",INDEX('Journal'!$F$8:$F$2007,$H54))</f>
      </c>
      <c r="E54" s="11">
        <f>IF($H54="","",INDEX('Journal'!$H$8:$H$2007,$H54))</f>
      </c>
      <c r="F54" s="11">
        <f>IF($H54="","",INDEX('Journal'!$I$8:$I$2007,$H54))</f>
      </c>
      <c r="G54" s="11">
        <f>IF($H54="","",N(G53)+N(E54)-N(F54))</f>
      </c>
      <c r="H54" s="10">
        <f t="array" ref="H54">IFERROR(SMALL(IF('Journal'!$D$8:$D$2007=$C$5,ROW('Journal'!$D$8:$D$2007)-7),47),"")</f>
      </c>
    </row>
    <row r="55">
      <c r="A55" s="13">
        <f>IF($H55="","",INDEX('Journal'!$A$8:$A$2007,$H55))</f>
      </c>
      <c r="B55" s="10">
        <f>IF($H55="","",INDEX('Journal'!$B$8:$B$2007,$H55))</f>
      </c>
      <c r="C55" s="9">
        <f>IF($H55="","",INDEX('Journal'!$C$8:$C$2007,$H55))</f>
      </c>
      <c r="D55" s="9">
        <f>IF($H55="","",INDEX('Journal'!$F$8:$F$2007,$H55))</f>
      </c>
      <c r="E55" s="11">
        <f>IF($H55="","",INDEX('Journal'!$H$8:$H$2007,$H55))</f>
      </c>
      <c r="F55" s="11">
        <f>IF($H55="","",INDEX('Journal'!$I$8:$I$2007,$H55))</f>
      </c>
      <c r="G55" s="11">
        <f>IF($H55="","",N(G54)+N(E55)-N(F55))</f>
      </c>
      <c r="H55" s="10">
        <f t="array" ref="H55">IFERROR(SMALL(IF('Journal'!$D$8:$D$2007=$C$5,ROW('Journal'!$D$8:$D$2007)-7),48),"")</f>
      </c>
    </row>
    <row r="56">
      <c r="A56" s="13">
        <f>IF($H56="","",INDEX('Journal'!$A$8:$A$2007,$H56))</f>
      </c>
      <c r="B56" s="10">
        <f>IF($H56="","",INDEX('Journal'!$B$8:$B$2007,$H56))</f>
      </c>
      <c r="C56" s="9">
        <f>IF($H56="","",INDEX('Journal'!$C$8:$C$2007,$H56))</f>
      </c>
      <c r="D56" s="9">
        <f>IF($H56="","",INDEX('Journal'!$F$8:$F$2007,$H56))</f>
      </c>
      <c r="E56" s="11">
        <f>IF($H56="","",INDEX('Journal'!$H$8:$H$2007,$H56))</f>
      </c>
      <c r="F56" s="11">
        <f>IF($H56="","",INDEX('Journal'!$I$8:$I$2007,$H56))</f>
      </c>
      <c r="G56" s="11">
        <f>IF($H56="","",N(G55)+N(E56)-N(F56))</f>
      </c>
      <c r="H56" s="10">
        <f t="array" ref="H56">IFERROR(SMALL(IF('Journal'!$D$8:$D$2007=$C$5,ROW('Journal'!$D$8:$D$2007)-7),49),"")</f>
      </c>
    </row>
    <row r="57">
      <c r="A57" s="13">
        <f>IF($H57="","",INDEX('Journal'!$A$8:$A$2007,$H57))</f>
      </c>
      <c r="B57" s="10">
        <f>IF($H57="","",INDEX('Journal'!$B$8:$B$2007,$H57))</f>
      </c>
      <c r="C57" s="9">
        <f>IF($H57="","",INDEX('Journal'!$C$8:$C$2007,$H57))</f>
      </c>
      <c r="D57" s="9">
        <f>IF($H57="","",INDEX('Journal'!$F$8:$F$2007,$H57))</f>
      </c>
      <c r="E57" s="11">
        <f>IF($H57="","",INDEX('Journal'!$H$8:$H$2007,$H57))</f>
      </c>
      <c r="F57" s="11">
        <f>IF($H57="","",INDEX('Journal'!$I$8:$I$2007,$H57))</f>
      </c>
      <c r="G57" s="11">
        <f>IF($H57="","",N(G56)+N(E57)-N(F57))</f>
      </c>
      <c r="H57" s="10">
        <f t="array" ref="H57">IFERROR(SMALL(IF('Journal'!$D$8:$D$2007=$C$5,ROW('Journal'!$D$8:$D$2007)-7),50),"")</f>
      </c>
    </row>
    <row r="58">
      <c r="A58" s="13">
        <f>IF($H58="","",INDEX('Journal'!$A$8:$A$2007,$H58))</f>
      </c>
      <c r="B58" s="10">
        <f>IF($H58="","",INDEX('Journal'!$B$8:$B$2007,$H58))</f>
      </c>
      <c r="C58" s="9">
        <f>IF($H58="","",INDEX('Journal'!$C$8:$C$2007,$H58))</f>
      </c>
      <c r="D58" s="9">
        <f>IF($H58="","",INDEX('Journal'!$F$8:$F$2007,$H58))</f>
      </c>
      <c r="E58" s="11">
        <f>IF($H58="","",INDEX('Journal'!$H$8:$H$2007,$H58))</f>
      </c>
      <c r="F58" s="11">
        <f>IF($H58="","",INDEX('Journal'!$I$8:$I$2007,$H58))</f>
      </c>
      <c r="G58" s="11">
        <f>IF($H58="","",N(G57)+N(E58)-N(F58))</f>
      </c>
      <c r="H58" s="10">
        <f t="array" ref="H58">IFERROR(SMALL(IF('Journal'!$D$8:$D$2007=$C$5,ROW('Journal'!$D$8:$D$2007)-7),51),"")</f>
      </c>
    </row>
    <row r="59">
      <c r="A59" s="13">
        <f>IF($H59="","",INDEX('Journal'!$A$8:$A$2007,$H59))</f>
      </c>
      <c r="B59" s="10">
        <f>IF($H59="","",INDEX('Journal'!$B$8:$B$2007,$H59))</f>
      </c>
      <c r="C59" s="9">
        <f>IF($H59="","",INDEX('Journal'!$C$8:$C$2007,$H59))</f>
      </c>
      <c r="D59" s="9">
        <f>IF($H59="","",INDEX('Journal'!$F$8:$F$2007,$H59))</f>
      </c>
      <c r="E59" s="11">
        <f>IF($H59="","",INDEX('Journal'!$H$8:$H$2007,$H59))</f>
      </c>
      <c r="F59" s="11">
        <f>IF($H59="","",INDEX('Journal'!$I$8:$I$2007,$H59))</f>
      </c>
      <c r="G59" s="11">
        <f>IF($H59="","",N(G58)+N(E59)-N(F59))</f>
      </c>
      <c r="H59" s="10">
        <f t="array" ref="H59">IFERROR(SMALL(IF('Journal'!$D$8:$D$2007=$C$5,ROW('Journal'!$D$8:$D$2007)-7),52),"")</f>
      </c>
    </row>
    <row r="60">
      <c r="A60" s="13">
        <f>IF($H60="","",INDEX('Journal'!$A$8:$A$2007,$H60))</f>
      </c>
      <c r="B60" s="10">
        <f>IF($H60="","",INDEX('Journal'!$B$8:$B$2007,$H60))</f>
      </c>
      <c r="C60" s="9">
        <f>IF($H60="","",INDEX('Journal'!$C$8:$C$2007,$H60))</f>
      </c>
      <c r="D60" s="9">
        <f>IF($H60="","",INDEX('Journal'!$F$8:$F$2007,$H60))</f>
      </c>
      <c r="E60" s="11">
        <f>IF($H60="","",INDEX('Journal'!$H$8:$H$2007,$H60))</f>
      </c>
      <c r="F60" s="11">
        <f>IF($H60="","",INDEX('Journal'!$I$8:$I$2007,$H60))</f>
      </c>
      <c r="G60" s="11">
        <f>IF($H60="","",N(G59)+N(E60)-N(F60))</f>
      </c>
      <c r="H60" s="10">
        <f t="array" ref="H60">IFERROR(SMALL(IF('Journal'!$D$8:$D$2007=$C$5,ROW('Journal'!$D$8:$D$2007)-7),53),"")</f>
      </c>
    </row>
    <row r="61">
      <c r="A61" s="13">
        <f>IF($H61="","",INDEX('Journal'!$A$8:$A$2007,$H61))</f>
      </c>
      <c r="B61" s="10">
        <f>IF($H61="","",INDEX('Journal'!$B$8:$B$2007,$H61))</f>
      </c>
      <c r="C61" s="9">
        <f>IF($H61="","",INDEX('Journal'!$C$8:$C$2007,$H61))</f>
      </c>
      <c r="D61" s="9">
        <f>IF($H61="","",INDEX('Journal'!$F$8:$F$2007,$H61))</f>
      </c>
      <c r="E61" s="11">
        <f>IF($H61="","",INDEX('Journal'!$H$8:$H$2007,$H61))</f>
      </c>
      <c r="F61" s="11">
        <f>IF($H61="","",INDEX('Journal'!$I$8:$I$2007,$H61))</f>
      </c>
      <c r="G61" s="11">
        <f>IF($H61="","",N(G60)+N(E61)-N(F61))</f>
      </c>
      <c r="H61" s="10">
        <f t="array" ref="H61">IFERROR(SMALL(IF('Journal'!$D$8:$D$2007=$C$5,ROW('Journal'!$D$8:$D$2007)-7),54),"")</f>
      </c>
    </row>
    <row r="62">
      <c r="A62" s="13">
        <f>IF($H62="","",INDEX('Journal'!$A$8:$A$2007,$H62))</f>
      </c>
      <c r="B62" s="10">
        <f>IF($H62="","",INDEX('Journal'!$B$8:$B$2007,$H62))</f>
      </c>
      <c r="C62" s="9">
        <f>IF($H62="","",INDEX('Journal'!$C$8:$C$2007,$H62))</f>
      </c>
      <c r="D62" s="9">
        <f>IF($H62="","",INDEX('Journal'!$F$8:$F$2007,$H62))</f>
      </c>
      <c r="E62" s="11">
        <f>IF($H62="","",INDEX('Journal'!$H$8:$H$2007,$H62))</f>
      </c>
      <c r="F62" s="11">
        <f>IF($H62="","",INDEX('Journal'!$I$8:$I$2007,$H62))</f>
      </c>
      <c r="G62" s="11">
        <f>IF($H62="","",N(G61)+N(E62)-N(F62))</f>
      </c>
      <c r="H62" s="10">
        <f t="array" ref="H62">IFERROR(SMALL(IF('Journal'!$D$8:$D$2007=$C$5,ROW('Journal'!$D$8:$D$2007)-7),55),"")</f>
      </c>
    </row>
    <row r="63">
      <c r="A63" s="13">
        <f>IF($H63="","",INDEX('Journal'!$A$8:$A$2007,$H63))</f>
      </c>
      <c r="B63" s="10">
        <f>IF($H63="","",INDEX('Journal'!$B$8:$B$2007,$H63))</f>
      </c>
      <c r="C63" s="9">
        <f>IF($H63="","",INDEX('Journal'!$C$8:$C$2007,$H63))</f>
      </c>
      <c r="D63" s="9">
        <f>IF($H63="","",INDEX('Journal'!$F$8:$F$2007,$H63))</f>
      </c>
      <c r="E63" s="11">
        <f>IF($H63="","",INDEX('Journal'!$H$8:$H$2007,$H63))</f>
      </c>
      <c r="F63" s="11">
        <f>IF($H63="","",INDEX('Journal'!$I$8:$I$2007,$H63))</f>
      </c>
      <c r="G63" s="11">
        <f>IF($H63="","",N(G62)+N(E63)-N(F63))</f>
      </c>
      <c r="H63" s="10">
        <f t="array" ref="H63">IFERROR(SMALL(IF('Journal'!$D$8:$D$2007=$C$5,ROW('Journal'!$D$8:$D$2007)-7),56),"")</f>
      </c>
    </row>
    <row r="64">
      <c r="A64" s="13">
        <f>IF($H64="","",INDEX('Journal'!$A$8:$A$2007,$H64))</f>
      </c>
      <c r="B64" s="10">
        <f>IF($H64="","",INDEX('Journal'!$B$8:$B$2007,$H64))</f>
      </c>
      <c r="C64" s="9">
        <f>IF($H64="","",INDEX('Journal'!$C$8:$C$2007,$H64))</f>
      </c>
      <c r="D64" s="9">
        <f>IF($H64="","",INDEX('Journal'!$F$8:$F$2007,$H64))</f>
      </c>
      <c r="E64" s="11">
        <f>IF($H64="","",INDEX('Journal'!$H$8:$H$2007,$H64))</f>
      </c>
      <c r="F64" s="11">
        <f>IF($H64="","",INDEX('Journal'!$I$8:$I$2007,$H64))</f>
      </c>
      <c r="G64" s="11">
        <f>IF($H64="","",N(G63)+N(E64)-N(F64))</f>
      </c>
      <c r="H64" s="10">
        <f t="array" ref="H64">IFERROR(SMALL(IF('Journal'!$D$8:$D$2007=$C$5,ROW('Journal'!$D$8:$D$2007)-7),57),"")</f>
      </c>
    </row>
    <row r="65">
      <c r="A65" s="13">
        <f>IF($H65="","",INDEX('Journal'!$A$8:$A$2007,$H65))</f>
      </c>
      <c r="B65" s="10">
        <f>IF($H65="","",INDEX('Journal'!$B$8:$B$2007,$H65))</f>
      </c>
      <c r="C65" s="9">
        <f>IF($H65="","",INDEX('Journal'!$C$8:$C$2007,$H65))</f>
      </c>
      <c r="D65" s="9">
        <f>IF($H65="","",INDEX('Journal'!$F$8:$F$2007,$H65))</f>
      </c>
      <c r="E65" s="11">
        <f>IF($H65="","",INDEX('Journal'!$H$8:$H$2007,$H65))</f>
      </c>
      <c r="F65" s="11">
        <f>IF($H65="","",INDEX('Journal'!$I$8:$I$2007,$H65))</f>
      </c>
      <c r="G65" s="11">
        <f>IF($H65="","",N(G64)+N(E65)-N(F65))</f>
      </c>
      <c r="H65" s="10">
        <f t="array" ref="H65">IFERROR(SMALL(IF('Journal'!$D$8:$D$2007=$C$5,ROW('Journal'!$D$8:$D$2007)-7),58),"")</f>
      </c>
    </row>
    <row r="66">
      <c r="A66" s="13">
        <f>IF($H66="","",INDEX('Journal'!$A$8:$A$2007,$H66))</f>
      </c>
      <c r="B66" s="10">
        <f>IF($H66="","",INDEX('Journal'!$B$8:$B$2007,$H66))</f>
      </c>
      <c r="C66" s="9">
        <f>IF($H66="","",INDEX('Journal'!$C$8:$C$2007,$H66))</f>
      </c>
      <c r="D66" s="9">
        <f>IF($H66="","",INDEX('Journal'!$F$8:$F$2007,$H66))</f>
      </c>
      <c r="E66" s="11">
        <f>IF($H66="","",INDEX('Journal'!$H$8:$H$2007,$H66))</f>
      </c>
      <c r="F66" s="11">
        <f>IF($H66="","",INDEX('Journal'!$I$8:$I$2007,$H66))</f>
      </c>
      <c r="G66" s="11">
        <f>IF($H66="","",N(G65)+N(E66)-N(F66))</f>
      </c>
      <c r="H66" s="10">
        <f t="array" ref="H66">IFERROR(SMALL(IF('Journal'!$D$8:$D$2007=$C$5,ROW('Journal'!$D$8:$D$2007)-7),59),"")</f>
      </c>
    </row>
    <row r="67">
      <c r="A67" s="13">
        <f>IF($H67="","",INDEX('Journal'!$A$8:$A$2007,$H67))</f>
      </c>
      <c r="B67" s="10">
        <f>IF($H67="","",INDEX('Journal'!$B$8:$B$2007,$H67))</f>
      </c>
      <c r="C67" s="9">
        <f>IF($H67="","",INDEX('Journal'!$C$8:$C$2007,$H67))</f>
      </c>
      <c r="D67" s="9">
        <f>IF($H67="","",INDEX('Journal'!$F$8:$F$2007,$H67))</f>
      </c>
      <c r="E67" s="11">
        <f>IF($H67="","",INDEX('Journal'!$H$8:$H$2007,$H67))</f>
      </c>
      <c r="F67" s="11">
        <f>IF($H67="","",INDEX('Journal'!$I$8:$I$2007,$H67))</f>
      </c>
      <c r="G67" s="11">
        <f>IF($H67="","",N(G66)+N(E67)-N(F67))</f>
      </c>
      <c r="H67" s="10">
        <f t="array" ref="H67">IFERROR(SMALL(IF('Journal'!$D$8:$D$2007=$C$5,ROW('Journal'!$D$8:$D$2007)-7),60),"")</f>
      </c>
    </row>
    <row r="68">
      <c r="A68" s="13">
        <f>IF($H68="","",INDEX('Journal'!$A$8:$A$2007,$H68))</f>
      </c>
      <c r="B68" s="10">
        <f>IF($H68="","",INDEX('Journal'!$B$8:$B$2007,$H68))</f>
      </c>
      <c r="C68" s="9">
        <f>IF($H68="","",INDEX('Journal'!$C$8:$C$2007,$H68))</f>
      </c>
      <c r="D68" s="9">
        <f>IF($H68="","",INDEX('Journal'!$F$8:$F$2007,$H68))</f>
      </c>
      <c r="E68" s="11">
        <f>IF($H68="","",INDEX('Journal'!$H$8:$H$2007,$H68))</f>
      </c>
      <c r="F68" s="11">
        <f>IF($H68="","",INDEX('Journal'!$I$8:$I$2007,$H68))</f>
      </c>
      <c r="G68" s="11">
        <f>IF($H68="","",N(G67)+N(E68)-N(F68))</f>
      </c>
      <c r="H68" s="10">
        <f t="array" ref="H68">IFERROR(SMALL(IF('Journal'!$D$8:$D$2007=$C$5,ROW('Journal'!$D$8:$D$2007)-7),61),"")</f>
      </c>
    </row>
    <row r="69">
      <c r="A69" s="13">
        <f>IF($H69="","",INDEX('Journal'!$A$8:$A$2007,$H69))</f>
      </c>
      <c r="B69" s="10">
        <f>IF($H69="","",INDEX('Journal'!$B$8:$B$2007,$H69))</f>
      </c>
      <c r="C69" s="9">
        <f>IF($H69="","",INDEX('Journal'!$C$8:$C$2007,$H69))</f>
      </c>
      <c r="D69" s="9">
        <f>IF($H69="","",INDEX('Journal'!$F$8:$F$2007,$H69))</f>
      </c>
      <c r="E69" s="11">
        <f>IF($H69="","",INDEX('Journal'!$H$8:$H$2007,$H69))</f>
      </c>
      <c r="F69" s="11">
        <f>IF($H69="","",INDEX('Journal'!$I$8:$I$2007,$H69))</f>
      </c>
      <c r="G69" s="11">
        <f>IF($H69="","",N(G68)+N(E69)-N(F69))</f>
      </c>
      <c r="H69" s="10">
        <f t="array" ref="H69">IFERROR(SMALL(IF('Journal'!$D$8:$D$2007=$C$5,ROW('Journal'!$D$8:$D$2007)-7),62),"")</f>
      </c>
    </row>
    <row r="70">
      <c r="A70" s="13">
        <f>IF($H70="","",INDEX('Journal'!$A$8:$A$2007,$H70))</f>
      </c>
      <c r="B70" s="10">
        <f>IF($H70="","",INDEX('Journal'!$B$8:$B$2007,$H70))</f>
      </c>
      <c r="C70" s="9">
        <f>IF($H70="","",INDEX('Journal'!$C$8:$C$2007,$H70))</f>
      </c>
      <c r="D70" s="9">
        <f>IF($H70="","",INDEX('Journal'!$F$8:$F$2007,$H70))</f>
      </c>
      <c r="E70" s="11">
        <f>IF($H70="","",INDEX('Journal'!$H$8:$H$2007,$H70))</f>
      </c>
      <c r="F70" s="11">
        <f>IF($H70="","",INDEX('Journal'!$I$8:$I$2007,$H70))</f>
      </c>
      <c r="G70" s="11">
        <f>IF($H70="","",N(G69)+N(E70)-N(F70))</f>
      </c>
      <c r="H70" s="10">
        <f t="array" ref="H70">IFERROR(SMALL(IF('Journal'!$D$8:$D$2007=$C$5,ROW('Journal'!$D$8:$D$2007)-7),63),"")</f>
      </c>
    </row>
    <row r="71">
      <c r="A71" s="13">
        <f>IF($H71="","",INDEX('Journal'!$A$8:$A$2007,$H71))</f>
      </c>
      <c r="B71" s="10">
        <f>IF($H71="","",INDEX('Journal'!$B$8:$B$2007,$H71))</f>
      </c>
      <c r="C71" s="9">
        <f>IF($H71="","",INDEX('Journal'!$C$8:$C$2007,$H71))</f>
      </c>
      <c r="D71" s="9">
        <f>IF($H71="","",INDEX('Journal'!$F$8:$F$2007,$H71))</f>
      </c>
      <c r="E71" s="11">
        <f>IF($H71="","",INDEX('Journal'!$H$8:$H$2007,$H71))</f>
      </c>
      <c r="F71" s="11">
        <f>IF($H71="","",INDEX('Journal'!$I$8:$I$2007,$H71))</f>
      </c>
      <c r="G71" s="11">
        <f>IF($H71="","",N(G70)+N(E71)-N(F71))</f>
      </c>
      <c r="H71" s="10">
        <f t="array" ref="H71">IFERROR(SMALL(IF('Journal'!$D$8:$D$2007=$C$5,ROW('Journal'!$D$8:$D$2007)-7),64),"")</f>
      </c>
    </row>
    <row r="72">
      <c r="A72" s="13">
        <f>IF($H72="","",INDEX('Journal'!$A$8:$A$2007,$H72))</f>
      </c>
      <c r="B72" s="10">
        <f>IF($H72="","",INDEX('Journal'!$B$8:$B$2007,$H72))</f>
      </c>
      <c r="C72" s="9">
        <f>IF($H72="","",INDEX('Journal'!$C$8:$C$2007,$H72))</f>
      </c>
      <c r="D72" s="9">
        <f>IF($H72="","",INDEX('Journal'!$F$8:$F$2007,$H72))</f>
      </c>
      <c r="E72" s="11">
        <f>IF($H72="","",INDEX('Journal'!$H$8:$H$2007,$H72))</f>
      </c>
      <c r="F72" s="11">
        <f>IF($H72="","",INDEX('Journal'!$I$8:$I$2007,$H72))</f>
      </c>
      <c r="G72" s="11">
        <f>IF($H72="","",N(G71)+N(E72)-N(F72))</f>
      </c>
      <c r="H72" s="10">
        <f t="array" ref="H72">IFERROR(SMALL(IF('Journal'!$D$8:$D$2007=$C$5,ROW('Journal'!$D$8:$D$2007)-7),65),"")</f>
      </c>
    </row>
    <row r="73">
      <c r="A73" s="13">
        <f>IF($H73="","",INDEX('Journal'!$A$8:$A$2007,$H73))</f>
      </c>
      <c r="B73" s="10">
        <f>IF($H73="","",INDEX('Journal'!$B$8:$B$2007,$H73))</f>
      </c>
      <c r="C73" s="9">
        <f>IF($H73="","",INDEX('Journal'!$C$8:$C$2007,$H73))</f>
      </c>
      <c r="D73" s="9">
        <f>IF($H73="","",INDEX('Journal'!$F$8:$F$2007,$H73))</f>
      </c>
      <c r="E73" s="11">
        <f>IF($H73="","",INDEX('Journal'!$H$8:$H$2007,$H73))</f>
      </c>
      <c r="F73" s="11">
        <f>IF($H73="","",INDEX('Journal'!$I$8:$I$2007,$H73))</f>
      </c>
      <c r="G73" s="11">
        <f>IF($H73="","",N(G72)+N(E73)-N(F73))</f>
      </c>
      <c r="H73" s="10">
        <f t="array" ref="H73">IFERROR(SMALL(IF('Journal'!$D$8:$D$2007=$C$5,ROW('Journal'!$D$8:$D$2007)-7),66),"")</f>
      </c>
    </row>
    <row r="74">
      <c r="A74" s="13">
        <f>IF($H74="","",INDEX('Journal'!$A$8:$A$2007,$H74))</f>
      </c>
      <c r="B74" s="10">
        <f>IF($H74="","",INDEX('Journal'!$B$8:$B$2007,$H74))</f>
      </c>
      <c r="C74" s="9">
        <f>IF($H74="","",INDEX('Journal'!$C$8:$C$2007,$H74))</f>
      </c>
      <c r="D74" s="9">
        <f>IF($H74="","",INDEX('Journal'!$F$8:$F$2007,$H74))</f>
      </c>
      <c r="E74" s="11">
        <f>IF($H74="","",INDEX('Journal'!$H$8:$H$2007,$H74))</f>
      </c>
      <c r="F74" s="11">
        <f>IF($H74="","",INDEX('Journal'!$I$8:$I$2007,$H74))</f>
      </c>
      <c r="G74" s="11">
        <f>IF($H74="","",N(G73)+N(E74)-N(F74))</f>
      </c>
      <c r="H74" s="10">
        <f t="array" ref="H74">IFERROR(SMALL(IF('Journal'!$D$8:$D$2007=$C$5,ROW('Journal'!$D$8:$D$2007)-7),67),"")</f>
      </c>
    </row>
    <row r="75">
      <c r="A75" s="13">
        <f>IF($H75="","",INDEX('Journal'!$A$8:$A$2007,$H75))</f>
      </c>
      <c r="B75" s="10">
        <f>IF($H75="","",INDEX('Journal'!$B$8:$B$2007,$H75))</f>
      </c>
      <c r="C75" s="9">
        <f>IF($H75="","",INDEX('Journal'!$C$8:$C$2007,$H75))</f>
      </c>
      <c r="D75" s="9">
        <f>IF($H75="","",INDEX('Journal'!$F$8:$F$2007,$H75))</f>
      </c>
      <c r="E75" s="11">
        <f>IF($H75="","",INDEX('Journal'!$H$8:$H$2007,$H75))</f>
      </c>
      <c r="F75" s="11">
        <f>IF($H75="","",INDEX('Journal'!$I$8:$I$2007,$H75))</f>
      </c>
      <c r="G75" s="11">
        <f>IF($H75="","",N(G74)+N(E75)-N(F75))</f>
      </c>
      <c r="H75" s="10">
        <f t="array" ref="H75">IFERROR(SMALL(IF('Journal'!$D$8:$D$2007=$C$5,ROW('Journal'!$D$8:$D$2007)-7),68),"")</f>
      </c>
    </row>
    <row r="76">
      <c r="A76" s="13">
        <f>IF($H76="","",INDEX('Journal'!$A$8:$A$2007,$H76))</f>
      </c>
      <c r="B76" s="10">
        <f>IF($H76="","",INDEX('Journal'!$B$8:$B$2007,$H76))</f>
      </c>
      <c r="C76" s="9">
        <f>IF($H76="","",INDEX('Journal'!$C$8:$C$2007,$H76))</f>
      </c>
      <c r="D76" s="9">
        <f>IF($H76="","",INDEX('Journal'!$F$8:$F$2007,$H76))</f>
      </c>
      <c r="E76" s="11">
        <f>IF($H76="","",INDEX('Journal'!$H$8:$H$2007,$H76))</f>
      </c>
      <c r="F76" s="11">
        <f>IF($H76="","",INDEX('Journal'!$I$8:$I$2007,$H76))</f>
      </c>
      <c r="G76" s="11">
        <f>IF($H76="","",N(G75)+N(E76)-N(F76))</f>
      </c>
      <c r="H76" s="10">
        <f t="array" ref="H76">IFERROR(SMALL(IF('Journal'!$D$8:$D$2007=$C$5,ROW('Journal'!$D$8:$D$2007)-7),69),"")</f>
      </c>
    </row>
    <row r="77">
      <c r="A77" s="13">
        <f>IF($H77="","",INDEX('Journal'!$A$8:$A$2007,$H77))</f>
      </c>
      <c r="B77" s="10">
        <f>IF($H77="","",INDEX('Journal'!$B$8:$B$2007,$H77))</f>
      </c>
      <c r="C77" s="9">
        <f>IF($H77="","",INDEX('Journal'!$C$8:$C$2007,$H77))</f>
      </c>
      <c r="D77" s="9">
        <f>IF($H77="","",INDEX('Journal'!$F$8:$F$2007,$H77))</f>
      </c>
      <c r="E77" s="11">
        <f>IF($H77="","",INDEX('Journal'!$H$8:$H$2007,$H77))</f>
      </c>
      <c r="F77" s="11">
        <f>IF($H77="","",INDEX('Journal'!$I$8:$I$2007,$H77))</f>
      </c>
      <c r="G77" s="11">
        <f>IF($H77="","",N(G76)+N(E77)-N(F77))</f>
      </c>
      <c r="H77" s="10">
        <f t="array" ref="H77">IFERROR(SMALL(IF('Journal'!$D$8:$D$2007=$C$5,ROW('Journal'!$D$8:$D$2007)-7),70),"")</f>
      </c>
    </row>
    <row r="78">
      <c r="A78" s="13">
        <f>IF($H78="","",INDEX('Journal'!$A$8:$A$2007,$H78))</f>
      </c>
      <c r="B78" s="10">
        <f>IF($H78="","",INDEX('Journal'!$B$8:$B$2007,$H78))</f>
      </c>
      <c r="C78" s="9">
        <f>IF($H78="","",INDEX('Journal'!$C$8:$C$2007,$H78))</f>
      </c>
      <c r="D78" s="9">
        <f>IF($H78="","",INDEX('Journal'!$F$8:$F$2007,$H78))</f>
      </c>
      <c r="E78" s="11">
        <f>IF($H78="","",INDEX('Journal'!$H$8:$H$2007,$H78))</f>
      </c>
      <c r="F78" s="11">
        <f>IF($H78="","",INDEX('Journal'!$I$8:$I$2007,$H78))</f>
      </c>
      <c r="G78" s="11">
        <f>IF($H78="","",N(G77)+N(E78)-N(F78))</f>
      </c>
      <c r="H78" s="10">
        <f t="array" ref="H78">IFERROR(SMALL(IF('Journal'!$D$8:$D$2007=$C$5,ROW('Journal'!$D$8:$D$2007)-7),71),"")</f>
      </c>
    </row>
    <row r="79">
      <c r="A79" s="13">
        <f>IF($H79="","",INDEX('Journal'!$A$8:$A$2007,$H79))</f>
      </c>
      <c r="B79" s="10">
        <f>IF($H79="","",INDEX('Journal'!$B$8:$B$2007,$H79))</f>
      </c>
      <c r="C79" s="9">
        <f>IF($H79="","",INDEX('Journal'!$C$8:$C$2007,$H79))</f>
      </c>
      <c r="D79" s="9">
        <f>IF($H79="","",INDEX('Journal'!$F$8:$F$2007,$H79))</f>
      </c>
      <c r="E79" s="11">
        <f>IF($H79="","",INDEX('Journal'!$H$8:$H$2007,$H79))</f>
      </c>
      <c r="F79" s="11">
        <f>IF($H79="","",INDEX('Journal'!$I$8:$I$2007,$H79))</f>
      </c>
      <c r="G79" s="11">
        <f>IF($H79="","",N(G78)+N(E79)-N(F79))</f>
      </c>
      <c r="H79" s="10">
        <f t="array" ref="H79">IFERROR(SMALL(IF('Journal'!$D$8:$D$2007=$C$5,ROW('Journal'!$D$8:$D$2007)-7),72),"")</f>
      </c>
    </row>
    <row r="80">
      <c r="A80" s="13">
        <f>IF($H80="","",INDEX('Journal'!$A$8:$A$2007,$H80))</f>
      </c>
      <c r="B80" s="10">
        <f>IF($H80="","",INDEX('Journal'!$B$8:$B$2007,$H80))</f>
      </c>
      <c r="C80" s="9">
        <f>IF($H80="","",INDEX('Journal'!$C$8:$C$2007,$H80))</f>
      </c>
      <c r="D80" s="9">
        <f>IF($H80="","",INDEX('Journal'!$F$8:$F$2007,$H80))</f>
      </c>
      <c r="E80" s="11">
        <f>IF($H80="","",INDEX('Journal'!$H$8:$H$2007,$H80))</f>
      </c>
      <c r="F80" s="11">
        <f>IF($H80="","",INDEX('Journal'!$I$8:$I$2007,$H80))</f>
      </c>
      <c r="G80" s="11">
        <f>IF($H80="","",N(G79)+N(E80)-N(F80))</f>
      </c>
      <c r="H80" s="10">
        <f t="array" ref="H80">IFERROR(SMALL(IF('Journal'!$D$8:$D$2007=$C$5,ROW('Journal'!$D$8:$D$2007)-7),73),"")</f>
      </c>
    </row>
    <row r="81">
      <c r="A81" s="13">
        <f>IF($H81="","",INDEX('Journal'!$A$8:$A$2007,$H81))</f>
      </c>
      <c r="B81" s="10">
        <f>IF($H81="","",INDEX('Journal'!$B$8:$B$2007,$H81))</f>
      </c>
      <c r="C81" s="9">
        <f>IF($H81="","",INDEX('Journal'!$C$8:$C$2007,$H81))</f>
      </c>
      <c r="D81" s="9">
        <f>IF($H81="","",INDEX('Journal'!$F$8:$F$2007,$H81))</f>
      </c>
      <c r="E81" s="11">
        <f>IF($H81="","",INDEX('Journal'!$H$8:$H$2007,$H81))</f>
      </c>
      <c r="F81" s="11">
        <f>IF($H81="","",INDEX('Journal'!$I$8:$I$2007,$H81))</f>
      </c>
      <c r="G81" s="11">
        <f>IF($H81="","",N(G80)+N(E81)-N(F81))</f>
      </c>
      <c r="H81" s="10">
        <f t="array" ref="H81">IFERROR(SMALL(IF('Journal'!$D$8:$D$2007=$C$5,ROW('Journal'!$D$8:$D$2007)-7),74),"")</f>
      </c>
    </row>
    <row r="82">
      <c r="A82" s="13">
        <f>IF($H82="","",INDEX('Journal'!$A$8:$A$2007,$H82))</f>
      </c>
      <c r="B82" s="10">
        <f>IF($H82="","",INDEX('Journal'!$B$8:$B$2007,$H82))</f>
      </c>
      <c r="C82" s="9">
        <f>IF($H82="","",INDEX('Journal'!$C$8:$C$2007,$H82))</f>
      </c>
      <c r="D82" s="9">
        <f>IF($H82="","",INDEX('Journal'!$F$8:$F$2007,$H82))</f>
      </c>
      <c r="E82" s="11">
        <f>IF($H82="","",INDEX('Journal'!$H$8:$H$2007,$H82))</f>
      </c>
      <c r="F82" s="11">
        <f>IF($H82="","",INDEX('Journal'!$I$8:$I$2007,$H82))</f>
      </c>
      <c r="G82" s="11">
        <f>IF($H82="","",N(G81)+N(E82)-N(F82))</f>
      </c>
      <c r="H82" s="10">
        <f t="array" ref="H82">IFERROR(SMALL(IF('Journal'!$D$8:$D$2007=$C$5,ROW('Journal'!$D$8:$D$2007)-7),75),"")</f>
      </c>
    </row>
    <row r="83">
      <c r="A83" s="13">
        <f>IF($H83="","",INDEX('Journal'!$A$8:$A$2007,$H83))</f>
      </c>
      <c r="B83" s="10">
        <f>IF($H83="","",INDEX('Journal'!$B$8:$B$2007,$H83))</f>
      </c>
      <c r="C83" s="9">
        <f>IF($H83="","",INDEX('Journal'!$C$8:$C$2007,$H83))</f>
      </c>
      <c r="D83" s="9">
        <f>IF($H83="","",INDEX('Journal'!$F$8:$F$2007,$H83))</f>
      </c>
      <c r="E83" s="11">
        <f>IF($H83="","",INDEX('Journal'!$H$8:$H$2007,$H83))</f>
      </c>
      <c r="F83" s="11">
        <f>IF($H83="","",INDEX('Journal'!$I$8:$I$2007,$H83))</f>
      </c>
      <c r="G83" s="11">
        <f>IF($H83="","",N(G82)+N(E83)-N(F83))</f>
      </c>
      <c r="H83" s="10">
        <f t="array" ref="H83">IFERROR(SMALL(IF('Journal'!$D$8:$D$2007=$C$5,ROW('Journal'!$D$8:$D$2007)-7),76),"")</f>
      </c>
    </row>
    <row r="84">
      <c r="A84" s="13">
        <f>IF($H84="","",INDEX('Journal'!$A$8:$A$2007,$H84))</f>
      </c>
      <c r="B84" s="10">
        <f>IF($H84="","",INDEX('Journal'!$B$8:$B$2007,$H84))</f>
      </c>
      <c r="C84" s="9">
        <f>IF($H84="","",INDEX('Journal'!$C$8:$C$2007,$H84))</f>
      </c>
      <c r="D84" s="9">
        <f>IF($H84="","",INDEX('Journal'!$F$8:$F$2007,$H84))</f>
      </c>
      <c r="E84" s="11">
        <f>IF($H84="","",INDEX('Journal'!$H$8:$H$2007,$H84))</f>
      </c>
      <c r="F84" s="11">
        <f>IF($H84="","",INDEX('Journal'!$I$8:$I$2007,$H84))</f>
      </c>
      <c r="G84" s="11">
        <f>IF($H84="","",N(G83)+N(E84)-N(F84))</f>
      </c>
      <c r="H84" s="10">
        <f t="array" ref="H84">IFERROR(SMALL(IF('Journal'!$D$8:$D$2007=$C$5,ROW('Journal'!$D$8:$D$2007)-7),77),"")</f>
      </c>
    </row>
    <row r="85">
      <c r="A85" s="13">
        <f>IF($H85="","",INDEX('Journal'!$A$8:$A$2007,$H85))</f>
      </c>
      <c r="B85" s="10">
        <f>IF($H85="","",INDEX('Journal'!$B$8:$B$2007,$H85))</f>
      </c>
      <c r="C85" s="9">
        <f>IF($H85="","",INDEX('Journal'!$C$8:$C$2007,$H85))</f>
      </c>
      <c r="D85" s="9">
        <f>IF($H85="","",INDEX('Journal'!$F$8:$F$2007,$H85))</f>
      </c>
      <c r="E85" s="11">
        <f>IF($H85="","",INDEX('Journal'!$H$8:$H$2007,$H85))</f>
      </c>
      <c r="F85" s="11">
        <f>IF($H85="","",INDEX('Journal'!$I$8:$I$2007,$H85))</f>
      </c>
      <c r="G85" s="11">
        <f>IF($H85="","",N(G84)+N(E85)-N(F85))</f>
      </c>
      <c r="H85" s="10">
        <f t="array" ref="H85">IFERROR(SMALL(IF('Journal'!$D$8:$D$2007=$C$5,ROW('Journal'!$D$8:$D$2007)-7),78),"")</f>
      </c>
    </row>
    <row r="86">
      <c r="A86" s="13">
        <f>IF($H86="","",INDEX('Journal'!$A$8:$A$2007,$H86))</f>
      </c>
      <c r="B86" s="10">
        <f>IF($H86="","",INDEX('Journal'!$B$8:$B$2007,$H86))</f>
      </c>
      <c r="C86" s="9">
        <f>IF($H86="","",INDEX('Journal'!$C$8:$C$2007,$H86))</f>
      </c>
      <c r="D86" s="9">
        <f>IF($H86="","",INDEX('Journal'!$F$8:$F$2007,$H86))</f>
      </c>
      <c r="E86" s="11">
        <f>IF($H86="","",INDEX('Journal'!$H$8:$H$2007,$H86))</f>
      </c>
      <c r="F86" s="11">
        <f>IF($H86="","",INDEX('Journal'!$I$8:$I$2007,$H86))</f>
      </c>
      <c r="G86" s="11">
        <f>IF($H86="","",N(G85)+N(E86)-N(F86))</f>
      </c>
      <c r="H86" s="10">
        <f t="array" ref="H86">IFERROR(SMALL(IF('Journal'!$D$8:$D$2007=$C$5,ROW('Journal'!$D$8:$D$2007)-7),79),"")</f>
      </c>
    </row>
    <row r="87">
      <c r="A87" s="13">
        <f>IF($H87="","",INDEX('Journal'!$A$8:$A$2007,$H87))</f>
      </c>
      <c r="B87" s="10">
        <f>IF($H87="","",INDEX('Journal'!$B$8:$B$2007,$H87))</f>
      </c>
      <c r="C87" s="9">
        <f>IF($H87="","",INDEX('Journal'!$C$8:$C$2007,$H87))</f>
      </c>
      <c r="D87" s="9">
        <f>IF($H87="","",INDEX('Journal'!$F$8:$F$2007,$H87))</f>
      </c>
      <c r="E87" s="11">
        <f>IF($H87="","",INDEX('Journal'!$H$8:$H$2007,$H87))</f>
      </c>
      <c r="F87" s="11">
        <f>IF($H87="","",INDEX('Journal'!$I$8:$I$2007,$H87))</f>
      </c>
      <c r="G87" s="11">
        <f>IF($H87="","",N(G86)+N(E87)-N(F87))</f>
      </c>
      <c r="H87" s="10">
        <f t="array" ref="H87">IFERROR(SMALL(IF('Journal'!$D$8:$D$2007=$C$5,ROW('Journal'!$D$8:$D$2007)-7),80),"")</f>
      </c>
    </row>
    <row r="88">
      <c r="A88" s="13">
        <f>IF($H88="","",INDEX('Journal'!$A$8:$A$2007,$H88))</f>
      </c>
      <c r="B88" s="10">
        <f>IF($H88="","",INDEX('Journal'!$B$8:$B$2007,$H88))</f>
      </c>
      <c r="C88" s="9">
        <f>IF($H88="","",INDEX('Journal'!$C$8:$C$2007,$H88))</f>
      </c>
      <c r="D88" s="9">
        <f>IF($H88="","",INDEX('Journal'!$F$8:$F$2007,$H88))</f>
      </c>
      <c r="E88" s="11">
        <f>IF($H88="","",INDEX('Journal'!$H$8:$H$2007,$H88))</f>
      </c>
      <c r="F88" s="11">
        <f>IF($H88="","",INDEX('Journal'!$I$8:$I$2007,$H88))</f>
      </c>
      <c r="G88" s="11">
        <f>IF($H88="","",N(G87)+N(E88)-N(F88))</f>
      </c>
      <c r="H88" s="10">
        <f t="array" ref="H88">IFERROR(SMALL(IF('Journal'!$D$8:$D$2007=$C$5,ROW('Journal'!$D$8:$D$2007)-7),81),"")</f>
      </c>
    </row>
    <row r="89">
      <c r="A89" s="13">
        <f>IF($H89="","",INDEX('Journal'!$A$8:$A$2007,$H89))</f>
      </c>
      <c r="B89" s="10">
        <f>IF($H89="","",INDEX('Journal'!$B$8:$B$2007,$H89))</f>
      </c>
      <c r="C89" s="9">
        <f>IF($H89="","",INDEX('Journal'!$C$8:$C$2007,$H89))</f>
      </c>
      <c r="D89" s="9">
        <f>IF($H89="","",INDEX('Journal'!$F$8:$F$2007,$H89))</f>
      </c>
      <c r="E89" s="11">
        <f>IF($H89="","",INDEX('Journal'!$H$8:$H$2007,$H89))</f>
      </c>
      <c r="F89" s="11">
        <f>IF($H89="","",INDEX('Journal'!$I$8:$I$2007,$H89))</f>
      </c>
      <c r="G89" s="11">
        <f>IF($H89="","",N(G88)+N(E89)-N(F89))</f>
      </c>
      <c r="H89" s="10">
        <f t="array" ref="H89">IFERROR(SMALL(IF('Journal'!$D$8:$D$2007=$C$5,ROW('Journal'!$D$8:$D$2007)-7),82),"")</f>
      </c>
    </row>
    <row r="90">
      <c r="A90" s="13">
        <f>IF($H90="","",INDEX('Journal'!$A$8:$A$2007,$H90))</f>
      </c>
      <c r="B90" s="10">
        <f>IF($H90="","",INDEX('Journal'!$B$8:$B$2007,$H90))</f>
      </c>
      <c r="C90" s="9">
        <f>IF($H90="","",INDEX('Journal'!$C$8:$C$2007,$H90))</f>
      </c>
      <c r="D90" s="9">
        <f>IF($H90="","",INDEX('Journal'!$F$8:$F$2007,$H90))</f>
      </c>
      <c r="E90" s="11">
        <f>IF($H90="","",INDEX('Journal'!$H$8:$H$2007,$H90))</f>
      </c>
      <c r="F90" s="11">
        <f>IF($H90="","",INDEX('Journal'!$I$8:$I$2007,$H90))</f>
      </c>
      <c r="G90" s="11">
        <f>IF($H90="","",N(G89)+N(E90)-N(F90))</f>
      </c>
      <c r="H90" s="10">
        <f t="array" ref="H90">IFERROR(SMALL(IF('Journal'!$D$8:$D$2007=$C$5,ROW('Journal'!$D$8:$D$2007)-7),83),"")</f>
      </c>
    </row>
    <row r="91">
      <c r="A91" s="13">
        <f>IF($H91="","",INDEX('Journal'!$A$8:$A$2007,$H91))</f>
      </c>
      <c r="B91" s="10">
        <f>IF($H91="","",INDEX('Journal'!$B$8:$B$2007,$H91))</f>
      </c>
      <c r="C91" s="9">
        <f>IF($H91="","",INDEX('Journal'!$C$8:$C$2007,$H91))</f>
      </c>
      <c r="D91" s="9">
        <f>IF($H91="","",INDEX('Journal'!$F$8:$F$2007,$H91))</f>
      </c>
      <c r="E91" s="11">
        <f>IF($H91="","",INDEX('Journal'!$H$8:$H$2007,$H91))</f>
      </c>
      <c r="F91" s="11">
        <f>IF($H91="","",INDEX('Journal'!$I$8:$I$2007,$H91))</f>
      </c>
      <c r="G91" s="11">
        <f>IF($H91="","",N(G90)+N(E91)-N(F91))</f>
      </c>
      <c r="H91" s="10">
        <f t="array" ref="H91">IFERROR(SMALL(IF('Journal'!$D$8:$D$2007=$C$5,ROW('Journal'!$D$8:$D$2007)-7),84),"")</f>
      </c>
    </row>
    <row r="92">
      <c r="A92" s="13">
        <f>IF($H92="","",INDEX('Journal'!$A$8:$A$2007,$H92))</f>
      </c>
      <c r="B92" s="10">
        <f>IF($H92="","",INDEX('Journal'!$B$8:$B$2007,$H92))</f>
      </c>
      <c r="C92" s="9">
        <f>IF($H92="","",INDEX('Journal'!$C$8:$C$2007,$H92))</f>
      </c>
      <c r="D92" s="9">
        <f>IF($H92="","",INDEX('Journal'!$F$8:$F$2007,$H92))</f>
      </c>
      <c r="E92" s="11">
        <f>IF($H92="","",INDEX('Journal'!$H$8:$H$2007,$H92))</f>
      </c>
      <c r="F92" s="11">
        <f>IF($H92="","",INDEX('Journal'!$I$8:$I$2007,$H92))</f>
      </c>
      <c r="G92" s="11">
        <f>IF($H92="","",N(G91)+N(E92)-N(F92))</f>
      </c>
      <c r="H92" s="10">
        <f t="array" ref="H92">IFERROR(SMALL(IF('Journal'!$D$8:$D$2007=$C$5,ROW('Journal'!$D$8:$D$2007)-7),85),"")</f>
      </c>
    </row>
    <row r="93">
      <c r="A93" s="13">
        <f>IF($H93="","",INDEX('Journal'!$A$8:$A$2007,$H93))</f>
      </c>
      <c r="B93" s="10">
        <f>IF($H93="","",INDEX('Journal'!$B$8:$B$2007,$H93))</f>
      </c>
      <c r="C93" s="9">
        <f>IF($H93="","",INDEX('Journal'!$C$8:$C$2007,$H93))</f>
      </c>
      <c r="D93" s="9">
        <f>IF($H93="","",INDEX('Journal'!$F$8:$F$2007,$H93))</f>
      </c>
      <c r="E93" s="11">
        <f>IF($H93="","",INDEX('Journal'!$H$8:$H$2007,$H93))</f>
      </c>
      <c r="F93" s="11">
        <f>IF($H93="","",INDEX('Journal'!$I$8:$I$2007,$H93))</f>
      </c>
      <c r="G93" s="11">
        <f>IF($H93="","",N(G92)+N(E93)-N(F93))</f>
      </c>
      <c r="H93" s="10">
        <f t="array" ref="H93">IFERROR(SMALL(IF('Journal'!$D$8:$D$2007=$C$5,ROW('Journal'!$D$8:$D$2007)-7),86),"")</f>
      </c>
    </row>
    <row r="94">
      <c r="A94" s="13">
        <f>IF($H94="","",INDEX('Journal'!$A$8:$A$2007,$H94))</f>
      </c>
      <c r="B94" s="10">
        <f>IF($H94="","",INDEX('Journal'!$B$8:$B$2007,$H94))</f>
      </c>
      <c r="C94" s="9">
        <f>IF($H94="","",INDEX('Journal'!$C$8:$C$2007,$H94))</f>
      </c>
      <c r="D94" s="9">
        <f>IF($H94="","",INDEX('Journal'!$F$8:$F$2007,$H94))</f>
      </c>
      <c r="E94" s="11">
        <f>IF($H94="","",INDEX('Journal'!$H$8:$H$2007,$H94))</f>
      </c>
      <c r="F94" s="11">
        <f>IF($H94="","",INDEX('Journal'!$I$8:$I$2007,$H94))</f>
      </c>
      <c r="G94" s="11">
        <f>IF($H94="","",N(G93)+N(E94)-N(F94))</f>
      </c>
      <c r="H94" s="10">
        <f t="array" ref="H94">IFERROR(SMALL(IF('Journal'!$D$8:$D$2007=$C$5,ROW('Journal'!$D$8:$D$2007)-7),87),"")</f>
      </c>
    </row>
    <row r="95">
      <c r="A95" s="13">
        <f>IF($H95="","",INDEX('Journal'!$A$8:$A$2007,$H95))</f>
      </c>
      <c r="B95" s="10">
        <f>IF($H95="","",INDEX('Journal'!$B$8:$B$2007,$H95))</f>
      </c>
      <c r="C95" s="9">
        <f>IF($H95="","",INDEX('Journal'!$C$8:$C$2007,$H95))</f>
      </c>
      <c r="D95" s="9">
        <f>IF($H95="","",INDEX('Journal'!$F$8:$F$2007,$H95))</f>
      </c>
      <c r="E95" s="11">
        <f>IF($H95="","",INDEX('Journal'!$H$8:$H$2007,$H95))</f>
      </c>
      <c r="F95" s="11">
        <f>IF($H95="","",INDEX('Journal'!$I$8:$I$2007,$H95))</f>
      </c>
      <c r="G95" s="11">
        <f>IF($H95="","",N(G94)+N(E95)-N(F95))</f>
      </c>
      <c r="H95" s="10">
        <f t="array" ref="H95">IFERROR(SMALL(IF('Journal'!$D$8:$D$2007=$C$5,ROW('Journal'!$D$8:$D$2007)-7),88),"")</f>
      </c>
    </row>
    <row r="96">
      <c r="A96" s="13">
        <f>IF($H96="","",INDEX('Journal'!$A$8:$A$2007,$H96))</f>
      </c>
      <c r="B96" s="10">
        <f>IF($H96="","",INDEX('Journal'!$B$8:$B$2007,$H96))</f>
      </c>
      <c r="C96" s="9">
        <f>IF($H96="","",INDEX('Journal'!$C$8:$C$2007,$H96))</f>
      </c>
      <c r="D96" s="9">
        <f>IF($H96="","",INDEX('Journal'!$F$8:$F$2007,$H96))</f>
      </c>
      <c r="E96" s="11">
        <f>IF($H96="","",INDEX('Journal'!$H$8:$H$2007,$H96))</f>
      </c>
      <c r="F96" s="11">
        <f>IF($H96="","",INDEX('Journal'!$I$8:$I$2007,$H96))</f>
      </c>
      <c r="G96" s="11">
        <f>IF($H96="","",N(G95)+N(E96)-N(F96))</f>
      </c>
      <c r="H96" s="10">
        <f t="array" ref="H96">IFERROR(SMALL(IF('Journal'!$D$8:$D$2007=$C$5,ROW('Journal'!$D$8:$D$2007)-7),89),"")</f>
      </c>
    </row>
    <row r="97">
      <c r="A97" s="13">
        <f>IF($H97="","",INDEX('Journal'!$A$8:$A$2007,$H97))</f>
      </c>
      <c r="B97" s="10">
        <f>IF($H97="","",INDEX('Journal'!$B$8:$B$2007,$H97))</f>
      </c>
      <c r="C97" s="9">
        <f>IF($H97="","",INDEX('Journal'!$C$8:$C$2007,$H97))</f>
      </c>
      <c r="D97" s="9">
        <f>IF($H97="","",INDEX('Journal'!$F$8:$F$2007,$H97))</f>
      </c>
      <c r="E97" s="11">
        <f>IF($H97="","",INDEX('Journal'!$H$8:$H$2007,$H97))</f>
      </c>
      <c r="F97" s="11">
        <f>IF($H97="","",INDEX('Journal'!$I$8:$I$2007,$H97))</f>
      </c>
      <c r="G97" s="11">
        <f>IF($H97="","",N(G96)+N(E97)-N(F97))</f>
      </c>
      <c r="H97" s="10">
        <f t="array" ref="H97">IFERROR(SMALL(IF('Journal'!$D$8:$D$2007=$C$5,ROW('Journal'!$D$8:$D$2007)-7),90),"")</f>
      </c>
    </row>
    <row r="98">
      <c r="A98" s="13">
        <f>IF($H98="","",INDEX('Journal'!$A$8:$A$2007,$H98))</f>
      </c>
      <c r="B98" s="10">
        <f>IF($H98="","",INDEX('Journal'!$B$8:$B$2007,$H98))</f>
      </c>
      <c r="C98" s="9">
        <f>IF($H98="","",INDEX('Journal'!$C$8:$C$2007,$H98))</f>
      </c>
      <c r="D98" s="9">
        <f>IF($H98="","",INDEX('Journal'!$F$8:$F$2007,$H98))</f>
      </c>
      <c r="E98" s="11">
        <f>IF($H98="","",INDEX('Journal'!$H$8:$H$2007,$H98))</f>
      </c>
      <c r="F98" s="11">
        <f>IF($H98="","",INDEX('Journal'!$I$8:$I$2007,$H98))</f>
      </c>
      <c r="G98" s="11">
        <f>IF($H98="","",N(G97)+N(E98)-N(F98))</f>
      </c>
      <c r="H98" s="10">
        <f t="array" ref="H98">IFERROR(SMALL(IF('Journal'!$D$8:$D$2007=$C$5,ROW('Journal'!$D$8:$D$2007)-7),91),"")</f>
      </c>
    </row>
    <row r="99">
      <c r="A99" s="13">
        <f>IF($H99="","",INDEX('Journal'!$A$8:$A$2007,$H99))</f>
      </c>
      <c r="B99" s="10">
        <f>IF($H99="","",INDEX('Journal'!$B$8:$B$2007,$H99))</f>
      </c>
      <c r="C99" s="9">
        <f>IF($H99="","",INDEX('Journal'!$C$8:$C$2007,$H99))</f>
      </c>
      <c r="D99" s="9">
        <f>IF($H99="","",INDEX('Journal'!$F$8:$F$2007,$H99))</f>
      </c>
      <c r="E99" s="11">
        <f>IF($H99="","",INDEX('Journal'!$H$8:$H$2007,$H99))</f>
      </c>
      <c r="F99" s="11">
        <f>IF($H99="","",INDEX('Journal'!$I$8:$I$2007,$H99))</f>
      </c>
      <c r="G99" s="11">
        <f>IF($H99="","",N(G98)+N(E99)-N(F99))</f>
      </c>
      <c r="H99" s="10">
        <f t="array" ref="H99">IFERROR(SMALL(IF('Journal'!$D$8:$D$2007=$C$5,ROW('Journal'!$D$8:$D$2007)-7),92),"")</f>
      </c>
    </row>
    <row r="100">
      <c r="A100" s="13">
        <f>IF($H100="","",INDEX('Journal'!$A$8:$A$2007,$H100))</f>
      </c>
      <c r="B100" s="10">
        <f>IF($H100="","",INDEX('Journal'!$B$8:$B$2007,$H100))</f>
      </c>
      <c r="C100" s="9">
        <f>IF($H100="","",INDEX('Journal'!$C$8:$C$2007,$H100))</f>
      </c>
      <c r="D100" s="9">
        <f>IF($H100="","",INDEX('Journal'!$F$8:$F$2007,$H100))</f>
      </c>
      <c r="E100" s="11">
        <f>IF($H100="","",INDEX('Journal'!$H$8:$H$2007,$H100))</f>
      </c>
      <c r="F100" s="11">
        <f>IF($H100="","",INDEX('Journal'!$I$8:$I$2007,$H100))</f>
      </c>
      <c r="G100" s="11">
        <f>IF($H100="","",N(G99)+N(E100)-N(F100))</f>
      </c>
      <c r="H100" s="10">
        <f t="array" ref="H100">IFERROR(SMALL(IF('Journal'!$D$8:$D$2007=$C$5,ROW('Journal'!$D$8:$D$2007)-7),93),"")</f>
      </c>
    </row>
    <row r="101">
      <c r="A101" s="13">
        <f>IF($H101="","",INDEX('Journal'!$A$8:$A$2007,$H101))</f>
      </c>
      <c r="B101" s="10">
        <f>IF($H101="","",INDEX('Journal'!$B$8:$B$2007,$H101))</f>
      </c>
      <c r="C101" s="9">
        <f>IF($H101="","",INDEX('Journal'!$C$8:$C$2007,$H101))</f>
      </c>
      <c r="D101" s="9">
        <f>IF($H101="","",INDEX('Journal'!$F$8:$F$2007,$H101))</f>
      </c>
      <c r="E101" s="11">
        <f>IF($H101="","",INDEX('Journal'!$H$8:$H$2007,$H101))</f>
      </c>
      <c r="F101" s="11">
        <f>IF($H101="","",INDEX('Journal'!$I$8:$I$2007,$H101))</f>
      </c>
      <c r="G101" s="11">
        <f>IF($H101="","",N(G100)+N(E101)-N(F101))</f>
      </c>
      <c r="H101" s="10">
        <f t="array" ref="H101">IFERROR(SMALL(IF('Journal'!$D$8:$D$2007=$C$5,ROW('Journal'!$D$8:$D$2007)-7),94),"")</f>
      </c>
    </row>
    <row r="102">
      <c r="A102" s="13">
        <f>IF($H102="","",INDEX('Journal'!$A$8:$A$2007,$H102))</f>
      </c>
      <c r="B102" s="10">
        <f>IF($H102="","",INDEX('Journal'!$B$8:$B$2007,$H102))</f>
      </c>
      <c r="C102" s="9">
        <f>IF($H102="","",INDEX('Journal'!$C$8:$C$2007,$H102))</f>
      </c>
      <c r="D102" s="9">
        <f>IF($H102="","",INDEX('Journal'!$F$8:$F$2007,$H102))</f>
      </c>
      <c r="E102" s="11">
        <f>IF($H102="","",INDEX('Journal'!$H$8:$H$2007,$H102))</f>
      </c>
      <c r="F102" s="11">
        <f>IF($H102="","",INDEX('Journal'!$I$8:$I$2007,$H102))</f>
      </c>
      <c r="G102" s="11">
        <f>IF($H102="","",N(G101)+N(E102)-N(F102))</f>
      </c>
      <c r="H102" s="10">
        <f t="array" ref="H102">IFERROR(SMALL(IF('Journal'!$D$8:$D$2007=$C$5,ROW('Journal'!$D$8:$D$2007)-7),95),"")</f>
      </c>
    </row>
    <row r="103">
      <c r="A103" s="13">
        <f>IF($H103="","",INDEX('Journal'!$A$8:$A$2007,$H103))</f>
      </c>
      <c r="B103" s="10">
        <f>IF($H103="","",INDEX('Journal'!$B$8:$B$2007,$H103))</f>
      </c>
      <c r="C103" s="9">
        <f>IF($H103="","",INDEX('Journal'!$C$8:$C$2007,$H103))</f>
      </c>
      <c r="D103" s="9">
        <f>IF($H103="","",INDEX('Journal'!$F$8:$F$2007,$H103))</f>
      </c>
      <c r="E103" s="11">
        <f>IF($H103="","",INDEX('Journal'!$H$8:$H$2007,$H103))</f>
      </c>
      <c r="F103" s="11">
        <f>IF($H103="","",INDEX('Journal'!$I$8:$I$2007,$H103))</f>
      </c>
      <c r="G103" s="11">
        <f>IF($H103="","",N(G102)+N(E103)-N(F103))</f>
      </c>
      <c r="H103" s="10">
        <f t="array" ref="H103">IFERROR(SMALL(IF('Journal'!$D$8:$D$2007=$C$5,ROW('Journal'!$D$8:$D$2007)-7),96),"")</f>
      </c>
    </row>
    <row r="104">
      <c r="A104" s="13">
        <f>IF($H104="","",INDEX('Journal'!$A$8:$A$2007,$H104))</f>
      </c>
      <c r="B104" s="10">
        <f>IF($H104="","",INDEX('Journal'!$B$8:$B$2007,$H104))</f>
      </c>
      <c r="C104" s="9">
        <f>IF($H104="","",INDEX('Journal'!$C$8:$C$2007,$H104))</f>
      </c>
      <c r="D104" s="9">
        <f>IF($H104="","",INDEX('Journal'!$F$8:$F$2007,$H104))</f>
      </c>
      <c r="E104" s="11">
        <f>IF($H104="","",INDEX('Journal'!$H$8:$H$2007,$H104))</f>
      </c>
      <c r="F104" s="11">
        <f>IF($H104="","",INDEX('Journal'!$I$8:$I$2007,$H104))</f>
      </c>
      <c r="G104" s="11">
        <f>IF($H104="","",N(G103)+N(E104)-N(F104))</f>
      </c>
      <c r="H104" s="10">
        <f t="array" ref="H104">IFERROR(SMALL(IF('Journal'!$D$8:$D$2007=$C$5,ROW('Journal'!$D$8:$D$2007)-7),97),"")</f>
      </c>
    </row>
    <row r="105">
      <c r="A105" s="13">
        <f>IF($H105="","",INDEX('Journal'!$A$8:$A$2007,$H105))</f>
      </c>
      <c r="B105" s="10">
        <f>IF($H105="","",INDEX('Journal'!$B$8:$B$2007,$H105))</f>
      </c>
      <c r="C105" s="9">
        <f>IF($H105="","",INDEX('Journal'!$C$8:$C$2007,$H105))</f>
      </c>
      <c r="D105" s="9">
        <f>IF($H105="","",INDEX('Journal'!$F$8:$F$2007,$H105))</f>
      </c>
      <c r="E105" s="11">
        <f>IF($H105="","",INDEX('Journal'!$H$8:$H$2007,$H105))</f>
      </c>
      <c r="F105" s="11">
        <f>IF($H105="","",INDEX('Journal'!$I$8:$I$2007,$H105))</f>
      </c>
      <c r="G105" s="11">
        <f>IF($H105="","",N(G104)+N(E105)-N(F105))</f>
      </c>
      <c r="H105" s="10">
        <f t="array" ref="H105">IFERROR(SMALL(IF('Journal'!$D$8:$D$2007=$C$5,ROW('Journal'!$D$8:$D$2007)-7),98),"")</f>
      </c>
    </row>
    <row r="106">
      <c r="A106" s="13">
        <f>IF($H106="","",INDEX('Journal'!$A$8:$A$2007,$H106))</f>
      </c>
      <c r="B106" s="10">
        <f>IF($H106="","",INDEX('Journal'!$B$8:$B$2007,$H106))</f>
      </c>
      <c r="C106" s="9">
        <f>IF($H106="","",INDEX('Journal'!$C$8:$C$2007,$H106))</f>
      </c>
      <c r="D106" s="9">
        <f>IF($H106="","",INDEX('Journal'!$F$8:$F$2007,$H106))</f>
      </c>
      <c r="E106" s="11">
        <f>IF($H106="","",INDEX('Journal'!$H$8:$H$2007,$H106))</f>
      </c>
      <c r="F106" s="11">
        <f>IF($H106="","",INDEX('Journal'!$I$8:$I$2007,$H106))</f>
      </c>
      <c r="G106" s="11">
        <f>IF($H106="","",N(G105)+N(E106)-N(F106))</f>
      </c>
      <c r="H106" s="10">
        <f t="array" ref="H106">IFERROR(SMALL(IF('Journal'!$D$8:$D$2007=$C$5,ROW('Journal'!$D$8:$D$2007)-7),99),"")</f>
      </c>
    </row>
    <row r="107">
      <c r="A107" s="13">
        <f>IF($H107="","",INDEX('Journal'!$A$8:$A$2007,$H107))</f>
      </c>
      <c r="B107" s="10">
        <f>IF($H107="","",INDEX('Journal'!$B$8:$B$2007,$H107))</f>
      </c>
      <c r="C107" s="9">
        <f>IF($H107="","",INDEX('Journal'!$C$8:$C$2007,$H107))</f>
      </c>
      <c r="D107" s="9">
        <f>IF($H107="","",INDEX('Journal'!$F$8:$F$2007,$H107))</f>
      </c>
      <c r="E107" s="11">
        <f>IF($H107="","",INDEX('Journal'!$H$8:$H$2007,$H107))</f>
      </c>
      <c r="F107" s="11">
        <f>IF($H107="","",INDEX('Journal'!$I$8:$I$2007,$H107))</f>
      </c>
      <c r="G107" s="11">
        <f>IF($H107="","",N(G106)+N(E107)-N(F107))</f>
      </c>
      <c r="H107" s="10">
        <f t="array" ref="H107">IFERROR(SMALL(IF('Journal'!$D$8:$D$2007=$C$5,ROW('Journal'!$D$8:$D$2007)-7),100),"")</f>
      </c>
    </row>
    <row r="108">
      <c r="A108" s="13">
        <f>IF($H108="","",INDEX('Journal'!$A$8:$A$2007,$H108))</f>
      </c>
      <c r="B108" s="10">
        <f>IF($H108="","",INDEX('Journal'!$B$8:$B$2007,$H108))</f>
      </c>
      <c r="C108" s="9">
        <f>IF($H108="","",INDEX('Journal'!$C$8:$C$2007,$H108))</f>
      </c>
      <c r="D108" s="9">
        <f>IF($H108="","",INDEX('Journal'!$F$8:$F$2007,$H108))</f>
      </c>
      <c r="E108" s="11">
        <f>IF($H108="","",INDEX('Journal'!$H$8:$H$2007,$H108))</f>
      </c>
      <c r="F108" s="11">
        <f>IF($H108="","",INDEX('Journal'!$I$8:$I$2007,$H108))</f>
      </c>
      <c r="G108" s="11">
        <f>IF($H108="","",N(G107)+N(E108)-N(F108))</f>
      </c>
      <c r="H108" s="10">
        <f t="array" ref="H108">IFERROR(SMALL(IF('Journal'!$D$8:$D$2007=$C$5,ROW('Journal'!$D$8:$D$2007)-7),101),"")</f>
      </c>
    </row>
    <row r="109">
      <c r="A109" s="13">
        <f>IF($H109="","",INDEX('Journal'!$A$8:$A$2007,$H109))</f>
      </c>
      <c r="B109" s="10">
        <f>IF($H109="","",INDEX('Journal'!$B$8:$B$2007,$H109))</f>
      </c>
      <c r="C109" s="9">
        <f>IF($H109="","",INDEX('Journal'!$C$8:$C$2007,$H109))</f>
      </c>
      <c r="D109" s="9">
        <f>IF($H109="","",INDEX('Journal'!$F$8:$F$2007,$H109))</f>
      </c>
      <c r="E109" s="11">
        <f>IF($H109="","",INDEX('Journal'!$H$8:$H$2007,$H109))</f>
      </c>
      <c r="F109" s="11">
        <f>IF($H109="","",INDEX('Journal'!$I$8:$I$2007,$H109))</f>
      </c>
      <c r="G109" s="11">
        <f>IF($H109="","",N(G108)+N(E109)-N(F109))</f>
      </c>
      <c r="H109" s="10">
        <f t="array" ref="H109">IFERROR(SMALL(IF('Journal'!$D$8:$D$2007=$C$5,ROW('Journal'!$D$8:$D$2007)-7),102),"")</f>
      </c>
    </row>
    <row r="110">
      <c r="A110" s="13">
        <f>IF($H110="","",INDEX('Journal'!$A$8:$A$2007,$H110))</f>
      </c>
      <c r="B110" s="10">
        <f>IF($H110="","",INDEX('Journal'!$B$8:$B$2007,$H110))</f>
      </c>
      <c r="C110" s="9">
        <f>IF($H110="","",INDEX('Journal'!$C$8:$C$2007,$H110))</f>
      </c>
      <c r="D110" s="9">
        <f>IF($H110="","",INDEX('Journal'!$F$8:$F$2007,$H110))</f>
      </c>
      <c r="E110" s="11">
        <f>IF($H110="","",INDEX('Journal'!$H$8:$H$2007,$H110))</f>
      </c>
      <c r="F110" s="11">
        <f>IF($H110="","",INDEX('Journal'!$I$8:$I$2007,$H110))</f>
      </c>
      <c r="G110" s="11">
        <f>IF($H110="","",N(G109)+N(E110)-N(F110))</f>
      </c>
      <c r="H110" s="10">
        <f t="array" ref="H110">IFERROR(SMALL(IF('Journal'!$D$8:$D$2007=$C$5,ROW('Journal'!$D$8:$D$2007)-7),103),"")</f>
      </c>
    </row>
    <row r="111">
      <c r="A111" s="13">
        <f>IF($H111="","",INDEX('Journal'!$A$8:$A$2007,$H111))</f>
      </c>
      <c r="B111" s="10">
        <f>IF($H111="","",INDEX('Journal'!$B$8:$B$2007,$H111))</f>
      </c>
      <c r="C111" s="9">
        <f>IF($H111="","",INDEX('Journal'!$C$8:$C$2007,$H111))</f>
      </c>
      <c r="D111" s="9">
        <f>IF($H111="","",INDEX('Journal'!$F$8:$F$2007,$H111))</f>
      </c>
      <c r="E111" s="11">
        <f>IF($H111="","",INDEX('Journal'!$H$8:$H$2007,$H111))</f>
      </c>
      <c r="F111" s="11">
        <f>IF($H111="","",INDEX('Journal'!$I$8:$I$2007,$H111))</f>
      </c>
      <c r="G111" s="11">
        <f>IF($H111="","",N(G110)+N(E111)-N(F111))</f>
      </c>
      <c r="H111" s="10">
        <f t="array" ref="H111">IFERROR(SMALL(IF('Journal'!$D$8:$D$2007=$C$5,ROW('Journal'!$D$8:$D$2007)-7),104),"")</f>
      </c>
    </row>
    <row r="112">
      <c r="A112" s="13">
        <f>IF($H112="","",INDEX('Journal'!$A$8:$A$2007,$H112))</f>
      </c>
      <c r="B112" s="10">
        <f>IF($H112="","",INDEX('Journal'!$B$8:$B$2007,$H112))</f>
      </c>
      <c r="C112" s="9">
        <f>IF($H112="","",INDEX('Journal'!$C$8:$C$2007,$H112))</f>
      </c>
      <c r="D112" s="9">
        <f>IF($H112="","",INDEX('Journal'!$F$8:$F$2007,$H112))</f>
      </c>
      <c r="E112" s="11">
        <f>IF($H112="","",INDEX('Journal'!$H$8:$H$2007,$H112))</f>
      </c>
      <c r="F112" s="11">
        <f>IF($H112="","",INDEX('Journal'!$I$8:$I$2007,$H112))</f>
      </c>
      <c r="G112" s="11">
        <f>IF($H112="","",N(G111)+N(E112)-N(F112))</f>
      </c>
      <c r="H112" s="10">
        <f t="array" ref="H112">IFERROR(SMALL(IF('Journal'!$D$8:$D$2007=$C$5,ROW('Journal'!$D$8:$D$2007)-7),105),"")</f>
      </c>
    </row>
    <row r="113">
      <c r="A113" s="13">
        <f>IF($H113="","",INDEX('Journal'!$A$8:$A$2007,$H113))</f>
      </c>
      <c r="B113" s="10">
        <f>IF($H113="","",INDEX('Journal'!$B$8:$B$2007,$H113))</f>
      </c>
      <c r="C113" s="9">
        <f>IF($H113="","",INDEX('Journal'!$C$8:$C$2007,$H113))</f>
      </c>
      <c r="D113" s="9">
        <f>IF($H113="","",INDEX('Journal'!$F$8:$F$2007,$H113))</f>
      </c>
      <c r="E113" s="11">
        <f>IF($H113="","",INDEX('Journal'!$H$8:$H$2007,$H113))</f>
      </c>
      <c r="F113" s="11">
        <f>IF($H113="","",INDEX('Journal'!$I$8:$I$2007,$H113))</f>
      </c>
      <c r="G113" s="11">
        <f>IF($H113="","",N(G112)+N(E113)-N(F113))</f>
      </c>
      <c r="H113" s="10">
        <f t="array" ref="H113">IFERROR(SMALL(IF('Journal'!$D$8:$D$2007=$C$5,ROW('Journal'!$D$8:$D$2007)-7),106),"")</f>
      </c>
    </row>
    <row r="114">
      <c r="A114" s="13">
        <f>IF($H114="","",INDEX('Journal'!$A$8:$A$2007,$H114))</f>
      </c>
      <c r="B114" s="10">
        <f>IF($H114="","",INDEX('Journal'!$B$8:$B$2007,$H114))</f>
      </c>
      <c r="C114" s="9">
        <f>IF($H114="","",INDEX('Journal'!$C$8:$C$2007,$H114))</f>
      </c>
      <c r="D114" s="9">
        <f>IF($H114="","",INDEX('Journal'!$F$8:$F$2007,$H114))</f>
      </c>
      <c r="E114" s="11">
        <f>IF($H114="","",INDEX('Journal'!$H$8:$H$2007,$H114))</f>
      </c>
      <c r="F114" s="11">
        <f>IF($H114="","",INDEX('Journal'!$I$8:$I$2007,$H114))</f>
      </c>
      <c r="G114" s="11">
        <f>IF($H114="","",N(G113)+N(E114)-N(F114))</f>
      </c>
      <c r="H114" s="10">
        <f t="array" ref="H114">IFERROR(SMALL(IF('Journal'!$D$8:$D$2007=$C$5,ROW('Journal'!$D$8:$D$2007)-7),107),"")</f>
      </c>
    </row>
    <row r="115">
      <c r="A115" s="13">
        <f>IF($H115="","",INDEX('Journal'!$A$8:$A$2007,$H115))</f>
      </c>
      <c r="B115" s="10">
        <f>IF($H115="","",INDEX('Journal'!$B$8:$B$2007,$H115))</f>
      </c>
      <c r="C115" s="9">
        <f>IF($H115="","",INDEX('Journal'!$C$8:$C$2007,$H115))</f>
      </c>
      <c r="D115" s="9">
        <f>IF($H115="","",INDEX('Journal'!$F$8:$F$2007,$H115))</f>
      </c>
      <c r="E115" s="11">
        <f>IF($H115="","",INDEX('Journal'!$H$8:$H$2007,$H115))</f>
      </c>
      <c r="F115" s="11">
        <f>IF($H115="","",INDEX('Journal'!$I$8:$I$2007,$H115))</f>
      </c>
      <c r="G115" s="11">
        <f>IF($H115="","",N(G114)+N(E115)-N(F115))</f>
      </c>
      <c r="H115" s="10">
        <f t="array" ref="H115">IFERROR(SMALL(IF('Journal'!$D$8:$D$2007=$C$5,ROW('Journal'!$D$8:$D$2007)-7),108),"")</f>
      </c>
    </row>
    <row r="116">
      <c r="A116" s="13">
        <f>IF($H116="","",INDEX('Journal'!$A$8:$A$2007,$H116))</f>
      </c>
      <c r="B116" s="10">
        <f>IF($H116="","",INDEX('Journal'!$B$8:$B$2007,$H116))</f>
      </c>
      <c r="C116" s="9">
        <f>IF($H116="","",INDEX('Journal'!$C$8:$C$2007,$H116))</f>
      </c>
      <c r="D116" s="9">
        <f>IF($H116="","",INDEX('Journal'!$F$8:$F$2007,$H116))</f>
      </c>
      <c r="E116" s="11">
        <f>IF($H116="","",INDEX('Journal'!$H$8:$H$2007,$H116))</f>
      </c>
      <c r="F116" s="11">
        <f>IF($H116="","",INDEX('Journal'!$I$8:$I$2007,$H116))</f>
      </c>
      <c r="G116" s="11">
        <f>IF($H116="","",N(G115)+N(E116)-N(F116))</f>
      </c>
      <c r="H116" s="10">
        <f t="array" ref="H116">IFERROR(SMALL(IF('Journal'!$D$8:$D$2007=$C$5,ROW('Journal'!$D$8:$D$2007)-7),109),"")</f>
      </c>
    </row>
    <row r="117">
      <c r="A117" s="13">
        <f>IF($H117="","",INDEX('Journal'!$A$8:$A$2007,$H117))</f>
      </c>
      <c r="B117" s="10">
        <f>IF($H117="","",INDEX('Journal'!$B$8:$B$2007,$H117))</f>
      </c>
      <c r="C117" s="9">
        <f>IF($H117="","",INDEX('Journal'!$C$8:$C$2007,$H117))</f>
      </c>
      <c r="D117" s="9">
        <f>IF($H117="","",INDEX('Journal'!$F$8:$F$2007,$H117))</f>
      </c>
      <c r="E117" s="11">
        <f>IF($H117="","",INDEX('Journal'!$H$8:$H$2007,$H117))</f>
      </c>
      <c r="F117" s="11">
        <f>IF($H117="","",INDEX('Journal'!$I$8:$I$2007,$H117))</f>
      </c>
      <c r="G117" s="11">
        <f>IF($H117="","",N(G116)+N(E117)-N(F117))</f>
      </c>
      <c r="H117" s="10">
        <f t="array" ref="H117">IFERROR(SMALL(IF('Journal'!$D$8:$D$2007=$C$5,ROW('Journal'!$D$8:$D$2007)-7),110),"")</f>
      </c>
    </row>
    <row r="118">
      <c r="A118" s="13">
        <f>IF($H118="","",INDEX('Journal'!$A$8:$A$2007,$H118))</f>
      </c>
      <c r="B118" s="10">
        <f>IF($H118="","",INDEX('Journal'!$B$8:$B$2007,$H118))</f>
      </c>
      <c r="C118" s="9">
        <f>IF($H118="","",INDEX('Journal'!$C$8:$C$2007,$H118))</f>
      </c>
      <c r="D118" s="9">
        <f>IF($H118="","",INDEX('Journal'!$F$8:$F$2007,$H118))</f>
      </c>
      <c r="E118" s="11">
        <f>IF($H118="","",INDEX('Journal'!$H$8:$H$2007,$H118))</f>
      </c>
      <c r="F118" s="11">
        <f>IF($H118="","",INDEX('Journal'!$I$8:$I$2007,$H118))</f>
      </c>
      <c r="G118" s="11">
        <f>IF($H118="","",N(G117)+N(E118)-N(F118))</f>
      </c>
      <c r="H118" s="10">
        <f t="array" ref="H118">IFERROR(SMALL(IF('Journal'!$D$8:$D$2007=$C$5,ROW('Journal'!$D$8:$D$2007)-7),111),"")</f>
      </c>
    </row>
    <row r="119">
      <c r="A119" s="13">
        <f>IF($H119="","",INDEX('Journal'!$A$8:$A$2007,$H119))</f>
      </c>
      <c r="B119" s="10">
        <f>IF($H119="","",INDEX('Journal'!$B$8:$B$2007,$H119))</f>
      </c>
      <c r="C119" s="9">
        <f>IF($H119="","",INDEX('Journal'!$C$8:$C$2007,$H119))</f>
      </c>
      <c r="D119" s="9">
        <f>IF($H119="","",INDEX('Journal'!$F$8:$F$2007,$H119))</f>
      </c>
      <c r="E119" s="11">
        <f>IF($H119="","",INDEX('Journal'!$H$8:$H$2007,$H119))</f>
      </c>
      <c r="F119" s="11">
        <f>IF($H119="","",INDEX('Journal'!$I$8:$I$2007,$H119))</f>
      </c>
      <c r="G119" s="11">
        <f>IF($H119="","",N(G118)+N(E119)-N(F119))</f>
      </c>
      <c r="H119" s="10">
        <f t="array" ref="H119">IFERROR(SMALL(IF('Journal'!$D$8:$D$2007=$C$5,ROW('Journal'!$D$8:$D$2007)-7),112),"")</f>
      </c>
    </row>
    <row r="120">
      <c r="A120" s="13">
        <f>IF($H120="","",INDEX('Journal'!$A$8:$A$2007,$H120))</f>
      </c>
      <c r="B120" s="10">
        <f>IF($H120="","",INDEX('Journal'!$B$8:$B$2007,$H120))</f>
      </c>
      <c r="C120" s="9">
        <f>IF($H120="","",INDEX('Journal'!$C$8:$C$2007,$H120))</f>
      </c>
      <c r="D120" s="9">
        <f>IF($H120="","",INDEX('Journal'!$F$8:$F$2007,$H120))</f>
      </c>
      <c r="E120" s="11">
        <f>IF($H120="","",INDEX('Journal'!$H$8:$H$2007,$H120))</f>
      </c>
      <c r="F120" s="11">
        <f>IF($H120="","",INDEX('Journal'!$I$8:$I$2007,$H120))</f>
      </c>
      <c r="G120" s="11">
        <f>IF($H120="","",N(G119)+N(E120)-N(F120))</f>
      </c>
      <c r="H120" s="10">
        <f t="array" ref="H120">IFERROR(SMALL(IF('Journal'!$D$8:$D$2007=$C$5,ROW('Journal'!$D$8:$D$2007)-7),113),"")</f>
      </c>
    </row>
    <row r="121">
      <c r="A121" s="13">
        <f>IF($H121="","",INDEX('Journal'!$A$8:$A$2007,$H121))</f>
      </c>
      <c r="B121" s="10">
        <f>IF($H121="","",INDEX('Journal'!$B$8:$B$2007,$H121))</f>
      </c>
      <c r="C121" s="9">
        <f>IF($H121="","",INDEX('Journal'!$C$8:$C$2007,$H121))</f>
      </c>
      <c r="D121" s="9">
        <f>IF($H121="","",INDEX('Journal'!$F$8:$F$2007,$H121))</f>
      </c>
      <c r="E121" s="11">
        <f>IF($H121="","",INDEX('Journal'!$H$8:$H$2007,$H121))</f>
      </c>
      <c r="F121" s="11">
        <f>IF($H121="","",INDEX('Journal'!$I$8:$I$2007,$H121))</f>
      </c>
      <c r="G121" s="11">
        <f>IF($H121="","",N(G120)+N(E121)-N(F121))</f>
      </c>
      <c r="H121" s="10">
        <f t="array" ref="H121">IFERROR(SMALL(IF('Journal'!$D$8:$D$2007=$C$5,ROW('Journal'!$D$8:$D$2007)-7),114),"")</f>
      </c>
    </row>
    <row r="122">
      <c r="A122" s="13">
        <f>IF($H122="","",INDEX('Journal'!$A$8:$A$2007,$H122))</f>
      </c>
      <c r="B122" s="10">
        <f>IF($H122="","",INDEX('Journal'!$B$8:$B$2007,$H122))</f>
      </c>
      <c r="C122" s="9">
        <f>IF($H122="","",INDEX('Journal'!$C$8:$C$2007,$H122))</f>
      </c>
      <c r="D122" s="9">
        <f>IF($H122="","",INDEX('Journal'!$F$8:$F$2007,$H122))</f>
      </c>
      <c r="E122" s="11">
        <f>IF($H122="","",INDEX('Journal'!$H$8:$H$2007,$H122))</f>
      </c>
      <c r="F122" s="11">
        <f>IF($H122="","",INDEX('Journal'!$I$8:$I$2007,$H122))</f>
      </c>
      <c r="G122" s="11">
        <f>IF($H122="","",N(G121)+N(E122)-N(F122))</f>
      </c>
      <c r="H122" s="10">
        <f t="array" ref="H122">IFERROR(SMALL(IF('Journal'!$D$8:$D$2007=$C$5,ROW('Journal'!$D$8:$D$2007)-7),115),"")</f>
      </c>
    </row>
    <row r="123">
      <c r="A123" s="13">
        <f>IF($H123="","",INDEX('Journal'!$A$8:$A$2007,$H123))</f>
      </c>
      <c r="B123" s="10">
        <f>IF($H123="","",INDEX('Journal'!$B$8:$B$2007,$H123))</f>
      </c>
      <c r="C123" s="9">
        <f>IF($H123="","",INDEX('Journal'!$C$8:$C$2007,$H123))</f>
      </c>
      <c r="D123" s="9">
        <f>IF($H123="","",INDEX('Journal'!$F$8:$F$2007,$H123))</f>
      </c>
      <c r="E123" s="11">
        <f>IF($H123="","",INDEX('Journal'!$H$8:$H$2007,$H123))</f>
      </c>
      <c r="F123" s="11">
        <f>IF($H123="","",INDEX('Journal'!$I$8:$I$2007,$H123))</f>
      </c>
      <c r="G123" s="11">
        <f>IF($H123="","",N(G122)+N(E123)-N(F123))</f>
      </c>
      <c r="H123" s="10">
        <f t="array" ref="H123">IFERROR(SMALL(IF('Journal'!$D$8:$D$2007=$C$5,ROW('Journal'!$D$8:$D$2007)-7),116),"")</f>
      </c>
    </row>
    <row r="124">
      <c r="A124" s="13">
        <f>IF($H124="","",INDEX('Journal'!$A$8:$A$2007,$H124))</f>
      </c>
      <c r="B124" s="10">
        <f>IF($H124="","",INDEX('Journal'!$B$8:$B$2007,$H124))</f>
      </c>
      <c r="C124" s="9">
        <f>IF($H124="","",INDEX('Journal'!$C$8:$C$2007,$H124))</f>
      </c>
      <c r="D124" s="9">
        <f>IF($H124="","",INDEX('Journal'!$F$8:$F$2007,$H124))</f>
      </c>
      <c r="E124" s="11">
        <f>IF($H124="","",INDEX('Journal'!$H$8:$H$2007,$H124))</f>
      </c>
      <c r="F124" s="11">
        <f>IF($H124="","",INDEX('Journal'!$I$8:$I$2007,$H124))</f>
      </c>
      <c r="G124" s="11">
        <f>IF($H124="","",N(G123)+N(E124)-N(F124))</f>
      </c>
      <c r="H124" s="10">
        <f t="array" ref="H124">IFERROR(SMALL(IF('Journal'!$D$8:$D$2007=$C$5,ROW('Journal'!$D$8:$D$2007)-7),117),"")</f>
      </c>
    </row>
    <row r="125">
      <c r="A125" s="13">
        <f>IF($H125="","",INDEX('Journal'!$A$8:$A$2007,$H125))</f>
      </c>
      <c r="B125" s="10">
        <f>IF($H125="","",INDEX('Journal'!$B$8:$B$2007,$H125))</f>
      </c>
      <c r="C125" s="9">
        <f>IF($H125="","",INDEX('Journal'!$C$8:$C$2007,$H125))</f>
      </c>
      <c r="D125" s="9">
        <f>IF($H125="","",INDEX('Journal'!$F$8:$F$2007,$H125))</f>
      </c>
      <c r="E125" s="11">
        <f>IF($H125="","",INDEX('Journal'!$H$8:$H$2007,$H125))</f>
      </c>
      <c r="F125" s="11">
        <f>IF($H125="","",INDEX('Journal'!$I$8:$I$2007,$H125))</f>
      </c>
      <c r="G125" s="11">
        <f>IF($H125="","",N(G124)+N(E125)-N(F125))</f>
      </c>
      <c r="H125" s="10">
        <f t="array" ref="H125">IFERROR(SMALL(IF('Journal'!$D$8:$D$2007=$C$5,ROW('Journal'!$D$8:$D$2007)-7),118),"")</f>
      </c>
    </row>
    <row r="126">
      <c r="A126" s="13">
        <f>IF($H126="","",INDEX('Journal'!$A$8:$A$2007,$H126))</f>
      </c>
      <c r="B126" s="10">
        <f>IF($H126="","",INDEX('Journal'!$B$8:$B$2007,$H126))</f>
      </c>
      <c r="C126" s="9">
        <f>IF($H126="","",INDEX('Journal'!$C$8:$C$2007,$H126))</f>
      </c>
      <c r="D126" s="9">
        <f>IF($H126="","",INDEX('Journal'!$F$8:$F$2007,$H126))</f>
      </c>
      <c r="E126" s="11">
        <f>IF($H126="","",INDEX('Journal'!$H$8:$H$2007,$H126))</f>
      </c>
      <c r="F126" s="11">
        <f>IF($H126="","",INDEX('Journal'!$I$8:$I$2007,$H126))</f>
      </c>
      <c r="G126" s="11">
        <f>IF($H126="","",N(G125)+N(E126)-N(F126))</f>
      </c>
      <c r="H126" s="10">
        <f t="array" ref="H126">IFERROR(SMALL(IF('Journal'!$D$8:$D$2007=$C$5,ROW('Journal'!$D$8:$D$2007)-7),119),"")</f>
      </c>
    </row>
    <row r="127">
      <c r="A127" s="13">
        <f>IF($H127="","",INDEX('Journal'!$A$8:$A$2007,$H127))</f>
      </c>
      <c r="B127" s="10">
        <f>IF($H127="","",INDEX('Journal'!$B$8:$B$2007,$H127))</f>
      </c>
      <c r="C127" s="9">
        <f>IF($H127="","",INDEX('Journal'!$C$8:$C$2007,$H127))</f>
      </c>
      <c r="D127" s="9">
        <f>IF($H127="","",INDEX('Journal'!$F$8:$F$2007,$H127))</f>
      </c>
      <c r="E127" s="11">
        <f>IF($H127="","",INDEX('Journal'!$H$8:$H$2007,$H127))</f>
      </c>
      <c r="F127" s="11">
        <f>IF($H127="","",INDEX('Journal'!$I$8:$I$2007,$H127))</f>
      </c>
      <c r="G127" s="11">
        <f>IF($H127="","",N(G126)+N(E127)-N(F127))</f>
      </c>
      <c r="H127" s="10">
        <f t="array" ref="H127">IFERROR(SMALL(IF('Journal'!$D$8:$D$2007=$C$5,ROW('Journal'!$D$8:$D$2007)-7),120),"")</f>
      </c>
    </row>
    <row r="128">
      <c r="A128" s="13">
        <f>IF($H128="","",INDEX('Journal'!$A$8:$A$2007,$H128))</f>
      </c>
      <c r="B128" s="10">
        <f>IF($H128="","",INDEX('Journal'!$B$8:$B$2007,$H128))</f>
      </c>
      <c r="C128" s="9">
        <f>IF($H128="","",INDEX('Journal'!$C$8:$C$2007,$H128))</f>
      </c>
      <c r="D128" s="9">
        <f>IF($H128="","",INDEX('Journal'!$F$8:$F$2007,$H128))</f>
      </c>
      <c r="E128" s="11">
        <f>IF($H128="","",INDEX('Journal'!$H$8:$H$2007,$H128))</f>
      </c>
      <c r="F128" s="11">
        <f>IF($H128="","",INDEX('Journal'!$I$8:$I$2007,$H128))</f>
      </c>
      <c r="G128" s="11">
        <f>IF($H128="","",N(G127)+N(E128)-N(F128))</f>
      </c>
      <c r="H128" s="10">
        <f t="array" ref="H128">IFERROR(SMALL(IF('Journal'!$D$8:$D$2007=$C$5,ROW('Journal'!$D$8:$D$2007)-7),121),"")</f>
      </c>
    </row>
    <row r="129">
      <c r="A129" s="13">
        <f>IF($H129="","",INDEX('Journal'!$A$8:$A$2007,$H129))</f>
      </c>
      <c r="B129" s="10">
        <f>IF($H129="","",INDEX('Journal'!$B$8:$B$2007,$H129))</f>
      </c>
      <c r="C129" s="9">
        <f>IF($H129="","",INDEX('Journal'!$C$8:$C$2007,$H129))</f>
      </c>
      <c r="D129" s="9">
        <f>IF($H129="","",INDEX('Journal'!$F$8:$F$2007,$H129))</f>
      </c>
      <c r="E129" s="11">
        <f>IF($H129="","",INDEX('Journal'!$H$8:$H$2007,$H129))</f>
      </c>
      <c r="F129" s="11">
        <f>IF($H129="","",INDEX('Journal'!$I$8:$I$2007,$H129))</f>
      </c>
      <c r="G129" s="11">
        <f>IF($H129="","",N(G128)+N(E129)-N(F129))</f>
      </c>
      <c r="H129" s="10">
        <f t="array" ref="H129">IFERROR(SMALL(IF('Journal'!$D$8:$D$2007=$C$5,ROW('Journal'!$D$8:$D$2007)-7),122),"")</f>
      </c>
    </row>
    <row r="130">
      <c r="A130" s="13">
        <f>IF($H130="","",INDEX('Journal'!$A$8:$A$2007,$H130))</f>
      </c>
      <c r="B130" s="10">
        <f>IF($H130="","",INDEX('Journal'!$B$8:$B$2007,$H130))</f>
      </c>
      <c r="C130" s="9">
        <f>IF($H130="","",INDEX('Journal'!$C$8:$C$2007,$H130))</f>
      </c>
      <c r="D130" s="9">
        <f>IF($H130="","",INDEX('Journal'!$F$8:$F$2007,$H130))</f>
      </c>
      <c r="E130" s="11">
        <f>IF($H130="","",INDEX('Journal'!$H$8:$H$2007,$H130))</f>
      </c>
      <c r="F130" s="11">
        <f>IF($H130="","",INDEX('Journal'!$I$8:$I$2007,$H130))</f>
      </c>
      <c r="G130" s="11">
        <f>IF($H130="","",N(G129)+N(E130)-N(F130))</f>
      </c>
      <c r="H130" s="10">
        <f t="array" ref="H130">IFERROR(SMALL(IF('Journal'!$D$8:$D$2007=$C$5,ROW('Journal'!$D$8:$D$2007)-7),123),"")</f>
      </c>
    </row>
    <row r="131">
      <c r="A131" s="13">
        <f>IF($H131="","",INDEX('Journal'!$A$8:$A$2007,$H131))</f>
      </c>
      <c r="B131" s="10">
        <f>IF($H131="","",INDEX('Journal'!$B$8:$B$2007,$H131))</f>
      </c>
      <c r="C131" s="9">
        <f>IF($H131="","",INDEX('Journal'!$C$8:$C$2007,$H131))</f>
      </c>
      <c r="D131" s="9">
        <f>IF($H131="","",INDEX('Journal'!$F$8:$F$2007,$H131))</f>
      </c>
      <c r="E131" s="11">
        <f>IF($H131="","",INDEX('Journal'!$H$8:$H$2007,$H131))</f>
      </c>
      <c r="F131" s="11">
        <f>IF($H131="","",INDEX('Journal'!$I$8:$I$2007,$H131))</f>
      </c>
      <c r="G131" s="11">
        <f>IF($H131="","",N(G130)+N(E131)-N(F131))</f>
      </c>
      <c r="H131" s="10">
        <f t="array" ref="H131">IFERROR(SMALL(IF('Journal'!$D$8:$D$2007=$C$5,ROW('Journal'!$D$8:$D$2007)-7),124),"")</f>
      </c>
    </row>
    <row r="132">
      <c r="A132" s="13">
        <f>IF($H132="","",INDEX('Journal'!$A$8:$A$2007,$H132))</f>
      </c>
      <c r="B132" s="10">
        <f>IF($H132="","",INDEX('Journal'!$B$8:$B$2007,$H132))</f>
      </c>
      <c r="C132" s="9">
        <f>IF($H132="","",INDEX('Journal'!$C$8:$C$2007,$H132))</f>
      </c>
      <c r="D132" s="9">
        <f>IF($H132="","",INDEX('Journal'!$F$8:$F$2007,$H132))</f>
      </c>
      <c r="E132" s="11">
        <f>IF($H132="","",INDEX('Journal'!$H$8:$H$2007,$H132))</f>
      </c>
      <c r="F132" s="11">
        <f>IF($H132="","",INDEX('Journal'!$I$8:$I$2007,$H132))</f>
      </c>
      <c r="G132" s="11">
        <f>IF($H132="","",N(G131)+N(E132)-N(F132))</f>
      </c>
      <c r="H132" s="10">
        <f t="array" ref="H132">IFERROR(SMALL(IF('Journal'!$D$8:$D$2007=$C$5,ROW('Journal'!$D$8:$D$2007)-7),125),"")</f>
      </c>
    </row>
    <row r="133">
      <c r="A133" s="13">
        <f>IF($H133="","",INDEX('Journal'!$A$8:$A$2007,$H133))</f>
      </c>
      <c r="B133" s="10">
        <f>IF($H133="","",INDEX('Journal'!$B$8:$B$2007,$H133))</f>
      </c>
      <c r="C133" s="9">
        <f>IF($H133="","",INDEX('Journal'!$C$8:$C$2007,$H133))</f>
      </c>
      <c r="D133" s="9">
        <f>IF($H133="","",INDEX('Journal'!$F$8:$F$2007,$H133))</f>
      </c>
      <c r="E133" s="11">
        <f>IF($H133="","",INDEX('Journal'!$H$8:$H$2007,$H133))</f>
      </c>
      <c r="F133" s="11">
        <f>IF($H133="","",INDEX('Journal'!$I$8:$I$2007,$H133))</f>
      </c>
      <c r="G133" s="11">
        <f>IF($H133="","",N(G132)+N(E133)-N(F133))</f>
      </c>
      <c r="H133" s="10">
        <f t="array" ref="H133">IFERROR(SMALL(IF('Journal'!$D$8:$D$2007=$C$5,ROW('Journal'!$D$8:$D$2007)-7),126),"")</f>
      </c>
    </row>
    <row r="134">
      <c r="A134" s="13">
        <f>IF($H134="","",INDEX('Journal'!$A$8:$A$2007,$H134))</f>
      </c>
      <c r="B134" s="10">
        <f>IF($H134="","",INDEX('Journal'!$B$8:$B$2007,$H134))</f>
      </c>
      <c r="C134" s="9">
        <f>IF($H134="","",INDEX('Journal'!$C$8:$C$2007,$H134))</f>
      </c>
      <c r="D134" s="9">
        <f>IF($H134="","",INDEX('Journal'!$F$8:$F$2007,$H134))</f>
      </c>
      <c r="E134" s="11">
        <f>IF($H134="","",INDEX('Journal'!$H$8:$H$2007,$H134))</f>
      </c>
      <c r="F134" s="11">
        <f>IF($H134="","",INDEX('Journal'!$I$8:$I$2007,$H134))</f>
      </c>
      <c r="G134" s="11">
        <f>IF($H134="","",N(G133)+N(E134)-N(F134))</f>
      </c>
      <c r="H134" s="10">
        <f t="array" ref="H134">IFERROR(SMALL(IF('Journal'!$D$8:$D$2007=$C$5,ROW('Journal'!$D$8:$D$2007)-7),127),"")</f>
      </c>
    </row>
    <row r="135">
      <c r="A135" s="13">
        <f>IF($H135="","",INDEX('Journal'!$A$8:$A$2007,$H135))</f>
      </c>
      <c r="B135" s="10">
        <f>IF($H135="","",INDEX('Journal'!$B$8:$B$2007,$H135))</f>
      </c>
      <c r="C135" s="9">
        <f>IF($H135="","",INDEX('Journal'!$C$8:$C$2007,$H135))</f>
      </c>
      <c r="D135" s="9">
        <f>IF($H135="","",INDEX('Journal'!$F$8:$F$2007,$H135))</f>
      </c>
      <c r="E135" s="11">
        <f>IF($H135="","",INDEX('Journal'!$H$8:$H$2007,$H135))</f>
      </c>
      <c r="F135" s="11">
        <f>IF($H135="","",INDEX('Journal'!$I$8:$I$2007,$H135))</f>
      </c>
      <c r="G135" s="11">
        <f>IF($H135="","",N(G134)+N(E135)-N(F135))</f>
      </c>
      <c r="H135" s="10">
        <f t="array" ref="H135">IFERROR(SMALL(IF('Journal'!$D$8:$D$2007=$C$5,ROW('Journal'!$D$8:$D$2007)-7),128),"")</f>
      </c>
    </row>
    <row r="136">
      <c r="A136" s="13">
        <f>IF($H136="","",INDEX('Journal'!$A$8:$A$2007,$H136))</f>
      </c>
      <c r="B136" s="10">
        <f>IF($H136="","",INDEX('Journal'!$B$8:$B$2007,$H136))</f>
      </c>
      <c r="C136" s="9">
        <f>IF($H136="","",INDEX('Journal'!$C$8:$C$2007,$H136))</f>
      </c>
      <c r="D136" s="9">
        <f>IF($H136="","",INDEX('Journal'!$F$8:$F$2007,$H136))</f>
      </c>
      <c r="E136" s="11">
        <f>IF($H136="","",INDEX('Journal'!$H$8:$H$2007,$H136))</f>
      </c>
      <c r="F136" s="11">
        <f>IF($H136="","",INDEX('Journal'!$I$8:$I$2007,$H136))</f>
      </c>
      <c r="G136" s="11">
        <f>IF($H136="","",N(G135)+N(E136)-N(F136))</f>
      </c>
      <c r="H136" s="10">
        <f t="array" ref="H136">IFERROR(SMALL(IF('Journal'!$D$8:$D$2007=$C$5,ROW('Journal'!$D$8:$D$2007)-7),129),"")</f>
      </c>
    </row>
    <row r="137">
      <c r="A137" s="13">
        <f>IF($H137="","",INDEX('Journal'!$A$8:$A$2007,$H137))</f>
      </c>
      <c r="B137" s="10">
        <f>IF($H137="","",INDEX('Journal'!$B$8:$B$2007,$H137))</f>
      </c>
      <c r="C137" s="9">
        <f>IF($H137="","",INDEX('Journal'!$C$8:$C$2007,$H137))</f>
      </c>
      <c r="D137" s="9">
        <f>IF($H137="","",INDEX('Journal'!$F$8:$F$2007,$H137))</f>
      </c>
      <c r="E137" s="11">
        <f>IF($H137="","",INDEX('Journal'!$H$8:$H$2007,$H137))</f>
      </c>
      <c r="F137" s="11">
        <f>IF($H137="","",INDEX('Journal'!$I$8:$I$2007,$H137))</f>
      </c>
      <c r="G137" s="11">
        <f>IF($H137="","",N(G136)+N(E137)-N(F137))</f>
      </c>
      <c r="H137" s="10">
        <f t="array" ref="H137">IFERROR(SMALL(IF('Journal'!$D$8:$D$2007=$C$5,ROW('Journal'!$D$8:$D$2007)-7),130),"")</f>
      </c>
    </row>
    <row r="138">
      <c r="A138" s="13">
        <f>IF($H138="","",INDEX('Journal'!$A$8:$A$2007,$H138))</f>
      </c>
      <c r="B138" s="10">
        <f>IF($H138="","",INDEX('Journal'!$B$8:$B$2007,$H138))</f>
      </c>
      <c r="C138" s="9">
        <f>IF($H138="","",INDEX('Journal'!$C$8:$C$2007,$H138))</f>
      </c>
      <c r="D138" s="9">
        <f>IF($H138="","",INDEX('Journal'!$F$8:$F$2007,$H138))</f>
      </c>
      <c r="E138" s="11">
        <f>IF($H138="","",INDEX('Journal'!$H$8:$H$2007,$H138))</f>
      </c>
      <c r="F138" s="11">
        <f>IF($H138="","",INDEX('Journal'!$I$8:$I$2007,$H138))</f>
      </c>
      <c r="G138" s="11">
        <f>IF($H138="","",N(G137)+N(E138)-N(F138))</f>
      </c>
      <c r="H138" s="10">
        <f t="array" ref="H138">IFERROR(SMALL(IF('Journal'!$D$8:$D$2007=$C$5,ROW('Journal'!$D$8:$D$2007)-7),131),"")</f>
      </c>
    </row>
    <row r="139">
      <c r="A139" s="13">
        <f>IF($H139="","",INDEX('Journal'!$A$8:$A$2007,$H139))</f>
      </c>
      <c r="B139" s="10">
        <f>IF($H139="","",INDEX('Journal'!$B$8:$B$2007,$H139))</f>
      </c>
      <c r="C139" s="9">
        <f>IF($H139="","",INDEX('Journal'!$C$8:$C$2007,$H139))</f>
      </c>
      <c r="D139" s="9">
        <f>IF($H139="","",INDEX('Journal'!$F$8:$F$2007,$H139))</f>
      </c>
      <c r="E139" s="11">
        <f>IF($H139="","",INDEX('Journal'!$H$8:$H$2007,$H139))</f>
      </c>
      <c r="F139" s="11">
        <f>IF($H139="","",INDEX('Journal'!$I$8:$I$2007,$H139))</f>
      </c>
      <c r="G139" s="11">
        <f>IF($H139="","",N(G138)+N(E139)-N(F139))</f>
      </c>
      <c r="H139" s="10">
        <f t="array" ref="H139">IFERROR(SMALL(IF('Journal'!$D$8:$D$2007=$C$5,ROW('Journal'!$D$8:$D$2007)-7),132),"")</f>
      </c>
    </row>
    <row r="140">
      <c r="A140" s="13">
        <f>IF($H140="","",INDEX('Journal'!$A$8:$A$2007,$H140))</f>
      </c>
      <c r="B140" s="10">
        <f>IF($H140="","",INDEX('Journal'!$B$8:$B$2007,$H140))</f>
      </c>
      <c r="C140" s="9">
        <f>IF($H140="","",INDEX('Journal'!$C$8:$C$2007,$H140))</f>
      </c>
      <c r="D140" s="9">
        <f>IF($H140="","",INDEX('Journal'!$F$8:$F$2007,$H140))</f>
      </c>
      <c r="E140" s="11">
        <f>IF($H140="","",INDEX('Journal'!$H$8:$H$2007,$H140))</f>
      </c>
      <c r="F140" s="11">
        <f>IF($H140="","",INDEX('Journal'!$I$8:$I$2007,$H140))</f>
      </c>
      <c r="G140" s="11">
        <f>IF($H140="","",N(G139)+N(E140)-N(F140))</f>
      </c>
      <c r="H140" s="10">
        <f t="array" ref="H140">IFERROR(SMALL(IF('Journal'!$D$8:$D$2007=$C$5,ROW('Journal'!$D$8:$D$2007)-7),133),"")</f>
      </c>
    </row>
    <row r="141">
      <c r="A141" s="13">
        <f>IF($H141="","",INDEX('Journal'!$A$8:$A$2007,$H141))</f>
      </c>
      <c r="B141" s="10">
        <f>IF($H141="","",INDEX('Journal'!$B$8:$B$2007,$H141))</f>
      </c>
      <c r="C141" s="9">
        <f>IF($H141="","",INDEX('Journal'!$C$8:$C$2007,$H141))</f>
      </c>
      <c r="D141" s="9">
        <f>IF($H141="","",INDEX('Journal'!$F$8:$F$2007,$H141))</f>
      </c>
      <c r="E141" s="11">
        <f>IF($H141="","",INDEX('Journal'!$H$8:$H$2007,$H141))</f>
      </c>
      <c r="F141" s="11">
        <f>IF($H141="","",INDEX('Journal'!$I$8:$I$2007,$H141))</f>
      </c>
      <c r="G141" s="11">
        <f>IF($H141="","",N(G140)+N(E141)-N(F141))</f>
      </c>
      <c r="H141" s="10">
        <f t="array" ref="H141">IFERROR(SMALL(IF('Journal'!$D$8:$D$2007=$C$5,ROW('Journal'!$D$8:$D$2007)-7),134),"")</f>
      </c>
    </row>
    <row r="142">
      <c r="A142" s="13">
        <f>IF($H142="","",INDEX('Journal'!$A$8:$A$2007,$H142))</f>
      </c>
      <c r="B142" s="10">
        <f>IF($H142="","",INDEX('Journal'!$B$8:$B$2007,$H142))</f>
      </c>
      <c r="C142" s="9">
        <f>IF($H142="","",INDEX('Journal'!$C$8:$C$2007,$H142))</f>
      </c>
      <c r="D142" s="9">
        <f>IF($H142="","",INDEX('Journal'!$F$8:$F$2007,$H142))</f>
      </c>
      <c r="E142" s="11">
        <f>IF($H142="","",INDEX('Journal'!$H$8:$H$2007,$H142))</f>
      </c>
      <c r="F142" s="11">
        <f>IF($H142="","",INDEX('Journal'!$I$8:$I$2007,$H142))</f>
      </c>
      <c r="G142" s="11">
        <f>IF($H142="","",N(G141)+N(E142)-N(F142))</f>
      </c>
      <c r="H142" s="10">
        <f t="array" ref="H142">IFERROR(SMALL(IF('Journal'!$D$8:$D$2007=$C$5,ROW('Journal'!$D$8:$D$2007)-7),135),"")</f>
      </c>
    </row>
    <row r="143">
      <c r="A143" s="13">
        <f>IF($H143="","",INDEX('Journal'!$A$8:$A$2007,$H143))</f>
      </c>
      <c r="B143" s="10">
        <f>IF($H143="","",INDEX('Journal'!$B$8:$B$2007,$H143))</f>
      </c>
      <c r="C143" s="9">
        <f>IF($H143="","",INDEX('Journal'!$C$8:$C$2007,$H143))</f>
      </c>
      <c r="D143" s="9">
        <f>IF($H143="","",INDEX('Journal'!$F$8:$F$2007,$H143))</f>
      </c>
      <c r="E143" s="11">
        <f>IF($H143="","",INDEX('Journal'!$H$8:$H$2007,$H143))</f>
      </c>
      <c r="F143" s="11">
        <f>IF($H143="","",INDEX('Journal'!$I$8:$I$2007,$H143))</f>
      </c>
      <c r="G143" s="11">
        <f>IF($H143="","",N(G142)+N(E143)-N(F143))</f>
      </c>
      <c r="H143" s="10">
        <f t="array" ref="H143">IFERROR(SMALL(IF('Journal'!$D$8:$D$2007=$C$5,ROW('Journal'!$D$8:$D$2007)-7),136),"")</f>
      </c>
    </row>
    <row r="144">
      <c r="A144" s="13">
        <f>IF($H144="","",INDEX('Journal'!$A$8:$A$2007,$H144))</f>
      </c>
      <c r="B144" s="10">
        <f>IF($H144="","",INDEX('Journal'!$B$8:$B$2007,$H144))</f>
      </c>
      <c r="C144" s="9">
        <f>IF($H144="","",INDEX('Journal'!$C$8:$C$2007,$H144))</f>
      </c>
      <c r="D144" s="9">
        <f>IF($H144="","",INDEX('Journal'!$F$8:$F$2007,$H144))</f>
      </c>
      <c r="E144" s="11">
        <f>IF($H144="","",INDEX('Journal'!$H$8:$H$2007,$H144))</f>
      </c>
      <c r="F144" s="11">
        <f>IF($H144="","",INDEX('Journal'!$I$8:$I$2007,$H144))</f>
      </c>
      <c r="G144" s="11">
        <f>IF($H144="","",N(G143)+N(E144)-N(F144))</f>
      </c>
      <c r="H144" s="10">
        <f t="array" ref="H144">IFERROR(SMALL(IF('Journal'!$D$8:$D$2007=$C$5,ROW('Journal'!$D$8:$D$2007)-7),137),"")</f>
      </c>
    </row>
    <row r="145">
      <c r="A145" s="13">
        <f>IF($H145="","",INDEX('Journal'!$A$8:$A$2007,$H145))</f>
      </c>
      <c r="B145" s="10">
        <f>IF($H145="","",INDEX('Journal'!$B$8:$B$2007,$H145))</f>
      </c>
      <c r="C145" s="9">
        <f>IF($H145="","",INDEX('Journal'!$C$8:$C$2007,$H145))</f>
      </c>
      <c r="D145" s="9">
        <f>IF($H145="","",INDEX('Journal'!$F$8:$F$2007,$H145))</f>
      </c>
      <c r="E145" s="11">
        <f>IF($H145="","",INDEX('Journal'!$H$8:$H$2007,$H145))</f>
      </c>
      <c r="F145" s="11">
        <f>IF($H145="","",INDEX('Journal'!$I$8:$I$2007,$H145))</f>
      </c>
      <c r="G145" s="11">
        <f>IF($H145="","",N(G144)+N(E145)-N(F145))</f>
      </c>
      <c r="H145" s="10">
        <f t="array" ref="H145">IFERROR(SMALL(IF('Journal'!$D$8:$D$2007=$C$5,ROW('Journal'!$D$8:$D$2007)-7),138),"")</f>
      </c>
    </row>
    <row r="146">
      <c r="A146" s="13">
        <f>IF($H146="","",INDEX('Journal'!$A$8:$A$2007,$H146))</f>
      </c>
      <c r="B146" s="10">
        <f>IF($H146="","",INDEX('Journal'!$B$8:$B$2007,$H146))</f>
      </c>
      <c r="C146" s="9">
        <f>IF($H146="","",INDEX('Journal'!$C$8:$C$2007,$H146))</f>
      </c>
      <c r="D146" s="9">
        <f>IF($H146="","",INDEX('Journal'!$F$8:$F$2007,$H146))</f>
      </c>
      <c r="E146" s="11">
        <f>IF($H146="","",INDEX('Journal'!$H$8:$H$2007,$H146))</f>
      </c>
      <c r="F146" s="11">
        <f>IF($H146="","",INDEX('Journal'!$I$8:$I$2007,$H146))</f>
      </c>
      <c r="G146" s="11">
        <f>IF($H146="","",N(G145)+N(E146)-N(F146))</f>
      </c>
      <c r="H146" s="10">
        <f t="array" ref="H146">IFERROR(SMALL(IF('Journal'!$D$8:$D$2007=$C$5,ROW('Journal'!$D$8:$D$2007)-7),139),"")</f>
      </c>
    </row>
    <row r="147">
      <c r="A147" s="13">
        <f>IF($H147="","",INDEX('Journal'!$A$8:$A$2007,$H147))</f>
      </c>
      <c r="B147" s="10">
        <f>IF($H147="","",INDEX('Journal'!$B$8:$B$2007,$H147))</f>
      </c>
      <c r="C147" s="9">
        <f>IF($H147="","",INDEX('Journal'!$C$8:$C$2007,$H147))</f>
      </c>
      <c r="D147" s="9">
        <f>IF($H147="","",INDEX('Journal'!$F$8:$F$2007,$H147))</f>
      </c>
      <c r="E147" s="11">
        <f>IF($H147="","",INDEX('Journal'!$H$8:$H$2007,$H147))</f>
      </c>
      <c r="F147" s="11">
        <f>IF($H147="","",INDEX('Journal'!$I$8:$I$2007,$H147))</f>
      </c>
      <c r="G147" s="11">
        <f>IF($H147="","",N(G146)+N(E147)-N(F147))</f>
      </c>
      <c r="H147" s="10">
        <f t="array" ref="H147">IFERROR(SMALL(IF('Journal'!$D$8:$D$2007=$C$5,ROW('Journal'!$D$8:$D$2007)-7),140),"")</f>
      </c>
    </row>
    <row r="148">
      <c r="A148" s="13">
        <f>IF($H148="","",INDEX('Journal'!$A$8:$A$2007,$H148))</f>
      </c>
      <c r="B148" s="10">
        <f>IF($H148="","",INDEX('Journal'!$B$8:$B$2007,$H148))</f>
      </c>
      <c r="C148" s="9">
        <f>IF($H148="","",INDEX('Journal'!$C$8:$C$2007,$H148))</f>
      </c>
      <c r="D148" s="9">
        <f>IF($H148="","",INDEX('Journal'!$F$8:$F$2007,$H148))</f>
      </c>
      <c r="E148" s="11">
        <f>IF($H148="","",INDEX('Journal'!$H$8:$H$2007,$H148))</f>
      </c>
      <c r="F148" s="11">
        <f>IF($H148="","",INDEX('Journal'!$I$8:$I$2007,$H148))</f>
      </c>
      <c r="G148" s="11">
        <f>IF($H148="","",N(G147)+N(E148)-N(F148))</f>
      </c>
      <c r="H148" s="10">
        <f t="array" ref="H148">IFERROR(SMALL(IF('Journal'!$D$8:$D$2007=$C$5,ROW('Journal'!$D$8:$D$2007)-7),141),"")</f>
      </c>
    </row>
    <row r="149">
      <c r="A149" s="13">
        <f>IF($H149="","",INDEX('Journal'!$A$8:$A$2007,$H149))</f>
      </c>
      <c r="B149" s="10">
        <f>IF($H149="","",INDEX('Journal'!$B$8:$B$2007,$H149))</f>
      </c>
      <c r="C149" s="9">
        <f>IF($H149="","",INDEX('Journal'!$C$8:$C$2007,$H149))</f>
      </c>
      <c r="D149" s="9">
        <f>IF($H149="","",INDEX('Journal'!$F$8:$F$2007,$H149))</f>
      </c>
      <c r="E149" s="11">
        <f>IF($H149="","",INDEX('Journal'!$H$8:$H$2007,$H149))</f>
      </c>
      <c r="F149" s="11">
        <f>IF($H149="","",INDEX('Journal'!$I$8:$I$2007,$H149))</f>
      </c>
      <c r="G149" s="11">
        <f>IF($H149="","",N(G148)+N(E149)-N(F149))</f>
      </c>
      <c r="H149" s="10">
        <f t="array" ref="H149">IFERROR(SMALL(IF('Journal'!$D$8:$D$2007=$C$5,ROW('Journal'!$D$8:$D$2007)-7),142),"")</f>
      </c>
    </row>
    <row r="150">
      <c r="A150" s="13">
        <f>IF($H150="","",INDEX('Journal'!$A$8:$A$2007,$H150))</f>
      </c>
      <c r="B150" s="10">
        <f>IF($H150="","",INDEX('Journal'!$B$8:$B$2007,$H150))</f>
      </c>
      <c r="C150" s="9">
        <f>IF($H150="","",INDEX('Journal'!$C$8:$C$2007,$H150))</f>
      </c>
      <c r="D150" s="9">
        <f>IF($H150="","",INDEX('Journal'!$F$8:$F$2007,$H150))</f>
      </c>
      <c r="E150" s="11">
        <f>IF($H150="","",INDEX('Journal'!$H$8:$H$2007,$H150))</f>
      </c>
      <c r="F150" s="11">
        <f>IF($H150="","",INDEX('Journal'!$I$8:$I$2007,$H150))</f>
      </c>
      <c r="G150" s="11">
        <f>IF($H150="","",N(G149)+N(E150)-N(F150))</f>
      </c>
      <c r="H150" s="10">
        <f t="array" ref="H150">IFERROR(SMALL(IF('Journal'!$D$8:$D$2007=$C$5,ROW('Journal'!$D$8:$D$2007)-7),143),"")</f>
      </c>
    </row>
    <row r="151">
      <c r="A151" s="13">
        <f>IF($H151="","",INDEX('Journal'!$A$8:$A$2007,$H151))</f>
      </c>
      <c r="B151" s="10">
        <f>IF($H151="","",INDEX('Journal'!$B$8:$B$2007,$H151))</f>
      </c>
      <c r="C151" s="9">
        <f>IF($H151="","",INDEX('Journal'!$C$8:$C$2007,$H151))</f>
      </c>
      <c r="D151" s="9">
        <f>IF($H151="","",INDEX('Journal'!$F$8:$F$2007,$H151))</f>
      </c>
      <c r="E151" s="11">
        <f>IF($H151="","",INDEX('Journal'!$H$8:$H$2007,$H151))</f>
      </c>
      <c r="F151" s="11">
        <f>IF($H151="","",INDEX('Journal'!$I$8:$I$2007,$H151))</f>
      </c>
      <c r="G151" s="11">
        <f>IF($H151="","",N(G150)+N(E151)-N(F151))</f>
      </c>
      <c r="H151" s="10">
        <f t="array" ref="H151">IFERROR(SMALL(IF('Journal'!$D$8:$D$2007=$C$5,ROW('Journal'!$D$8:$D$2007)-7),144),"")</f>
      </c>
    </row>
    <row r="152">
      <c r="A152" s="13">
        <f>IF($H152="","",INDEX('Journal'!$A$8:$A$2007,$H152))</f>
      </c>
      <c r="B152" s="10">
        <f>IF($H152="","",INDEX('Journal'!$B$8:$B$2007,$H152))</f>
      </c>
      <c r="C152" s="9">
        <f>IF($H152="","",INDEX('Journal'!$C$8:$C$2007,$H152))</f>
      </c>
      <c r="D152" s="9">
        <f>IF($H152="","",INDEX('Journal'!$F$8:$F$2007,$H152))</f>
      </c>
      <c r="E152" s="11">
        <f>IF($H152="","",INDEX('Journal'!$H$8:$H$2007,$H152))</f>
      </c>
      <c r="F152" s="11">
        <f>IF($H152="","",INDEX('Journal'!$I$8:$I$2007,$H152))</f>
      </c>
      <c r="G152" s="11">
        <f>IF($H152="","",N(G151)+N(E152)-N(F152))</f>
      </c>
      <c r="H152" s="10">
        <f t="array" ref="H152">IFERROR(SMALL(IF('Journal'!$D$8:$D$2007=$C$5,ROW('Journal'!$D$8:$D$2007)-7),145),"")</f>
      </c>
    </row>
    <row r="153">
      <c r="A153" s="13">
        <f>IF($H153="","",INDEX('Journal'!$A$8:$A$2007,$H153))</f>
      </c>
      <c r="B153" s="10">
        <f>IF($H153="","",INDEX('Journal'!$B$8:$B$2007,$H153))</f>
      </c>
      <c r="C153" s="9">
        <f>IF($H153="","",INDEX('Journal'!$C$8:$C$2007,$H153))</f>
      </c>
      <c r="D153" s="9">
        <f>IF($H153="","",INDEX('Journal'!$F$8:$F$2007,$H153))</f>
      </c>
      <c r="E153" s="11">
        <f>IF($H153="","",INDEX('Journal'!$H$8:$H$2007,$H153))</f>
      </c>
      <c r="F153" s="11">
        <f>IF($H153="","",INDEX('Journal'!$I$8:$I$2007,$H153))</f>
      </c>
      <c r="G153" s="11">
        <f>IF($H153="","",N(G152)+N(E153)-N(F153))</f>
      </c>
      <c r="H153" s="10">
        <f t="array" ref="H153">IFERROR(SMALL(IF('Journal'!$D$8:$D$2007=$C$5,ROW('Journal'!$D$8:$D$2007)-7),146),"")</f>
      </c>
    </row>
    <row r="154">
      <c r="A154" s="13">
        <f>IF($H154="","",INDEX('Journal'!$A$8:$A$2007,$H154))</f>
      </c>
      <c r="B154" s="10">
        <f>IF($H154="","",INDEX('Journal'!$B$8:$B$2007,$H154))</f>
      </c>
      <c r="C154" s="9">
        <f>IF($H154="","",INDEX('Journal'!$C$8:$C$2007,$H154))</f>
      </c>
      <c r="D154" s="9">
        <f>IF($H154="","",INDEX('Journal'!$F$8:$F$2007,$H154))</f>
      </c>
      <c r="E154" s="11">
        <f>IF($H154="","",INDEX('Journal'!$H$8:$H$2007,$H154))</f>
      </c>
      <c r="F154" s="11">
        <f>IF($H154="","",INDEX('Journal'!$I$8:$I$2007,$H154))</f>
      </c>
      <c r="G154" s="11">
        <f>IF($H154="","",N(G153)+N(E154)-N(F154))</f>
      </c>
      <c r="H154" s="10">
        <f t="array" ref="H154">IFERROR(SMALL(IF('Journal'!$D$8:$D$2007=$C$5,ROW('Journal'!$D$8:$D$2007)-7),147),"")</f>
      </c>
    </row>
    <row r="155">
      <c r="A155" s="13">
        <f>IF($H155="","",INDEX('Journal'!$A$8:$A$2007,$H155))</f>
      </c>
      <c r="B155" s="10">
        <f>IF($H155="","",INDEX('Journal'!$B$8:$B$2007,$H155))</f>
      </c>
      <c r="C155" s="9">
        <f>IF($H155="","",INDEX('Journal'!$C$8:$C$2007,$H155))</f>
      </c>
      <c r="D155" s="9">
        <f>IF($H155="","",INDEX('Journal'!$F$8:$F$2007,$H155))</f>
      </c>
      <c r="E155" s="11">
        <f>IF($H155="","",INDEX('Journal'!$H$8:$H$2007,$H155))</f>
      </c>
      <c r="F155" s="11">
        <f>IF($H155="","",INDEX('Journal'!$I$8:$I$2007,$H155))</f>
      </c>
      <c r="G155" s="11">
        <f>IF($H155="","",N(G154)+N(E155)-N(F155))</f>
      </c>
      <c r="H155" s="10">
        <f t="array" ref="H155">IFERROR(SMALL(IF('Journal'!$D$8:$D$2007=$C$5,ROW('Journal'!$D$8:$D$2007)-7),148),"")</f>
      </c>
    </row>
    <row r="156">
      <c r="A156" s="13">
        <f>IF($H156="","",INDEX('Journal'!$A$8:$A$2007,$H156))</f>
      </c>
      <c r="B156" s="10">
        <f>IF($H156="","",INDEX('Journal'!$B$8:$B$2007,$H156))</f>
      </c>
      <c r="C156" s="9">
        <f>IF($H156="","",INDEX('Journal'!$C$8:$C$2007,$H156))</f>
      </c>
      <c r="D156" s="9">
        <f>IF($H156="","",INDEX('Journal'!$F$8:$F$2007,$H156))</f>
      </c>
      <c r="E156" s="11">
        <f>IF($H156="","",INDEX('Journal'!$H$8:$H$2007,$H156))</f>
      </c>
      <c r="F156" s="11">
        <f>IF($H156="","",INDEX('Journal'!$I$8:$I$2007,$H156))</f>
      </c>
      <c r="G156" s="11">
        <f>IF($H156="","",N(G155)+N(E156)-N(F156))</f>
      </c>
      <c r="H156" s="10">
        <f t="array" ref="H156">IFERROR(SMALL(IF('Journal'!$D$8:$D$2007=$C$5,ROW('Journal'!$D$8:$D$2007)-7),149),"")</f>
      </c>
    </row>
    <row r="157">
      <c r="A157" s="13">
        <f>IF($H157="","",INDEX('Journal'!$A$8:$A$2007,$H157))</f>
      </c>
      <c r="B157" s="10">
        <f>IF($H157="","",INDEX('Journal'!$B$8:$B$2007,$H157))</f>
      </c>
      <c r="C157" s="9">
        <f>IF($H157="","",INDEX('Journal'!$C$8:$C$2007,$H157))</f>
      </c>
      <c r="D157" s="9">
        <f>IF($H157="","",INDEX('Journal'!$F$8:$F$2007,$H157))</f>
      </c>
      <c r="E157" s="11">
        <f>IF($H157="","",INDEX('Journal'!$H$8:$H$2007,$H157))</f>
      </c>
      <c r="F157" s="11">
        <f>IF($H157="","",INDEX('Journal'!$I$8:$I$2007,$H157))</f>
      </c>
      <c r="G157" s="11">
        <f>IF($H157="","",N(G156)+N(E157)-N(F157))</f>
      </c>
      <c r="H157" s="10">
        <f t="array" ref="H157">IFERROR(SMALL(IF('Journal'!$D$8:$D$2007=$C$5,ROW('Journal'!$D$8:$D$2007)-7),150),"")</f>
      </c>
    </row>
    <row r="158">
      <c r="A158" s="13">
        <f>IF($H158="","",INDEX('Journal'!$A$8:$A$2007,$H158))</f>
      </c>
      <c r="B158" s="10">
        <f>IF($H158="","",INDEX('Journal'!$B$8:$B$2007,$H158))</f>
      </c>
      <c r="C158" s="9">
        <f>IF($H158="","",INDEX('Journal'!$C$8:$C$2007,$H158))</f>
      </c>
      <c r="D158" s="9">
        <f>IF($H158="","",INDEX('Journal'!$F$8:$F$2007,$H158))</f>
      </c>
      <c r="E158" s="11">
        <f>IF($H158="","",INDEX('Journal'!$H$8:$H$2007,$H158))</f>
      </c>
      <c r="F158" s="11">
        <f>IF($H158="","",INDEX('Journal'!$I$8:$I$2007,$H158))</f>
      </c>
      <c r="G158" s="11">
        <f>IF($H158="","",N(G157)+N(E158)-N(F158))</f>
      </c>
      <c r="H158" s="10">
        <f t="array" ref="H158">IFERROR(SMALL(IF('Journal'!$D$8:$D$2007=$C$5,ROW('Journal'!$D$8:$D$2007)-7),151),"")</f>
      </c>
    </row>
    <row r="159">
      <c r="A159" s="13">
        <f>IF($H159="","",INDEX('Journal'!$A$8:$A$2007,$H159))</f>
      </c>
      <c r="B159" s="10">
        <f>IF($H159="","",INDEX('Journal'!$B$8:$B$2007,$H159))</f>
      </c>
      <c r="C159" s="9">
        <f>IF($H159="","",INDEX('Journal'!$C$8:$C$2007,$H159))</f>
      </c>
      <c r="D159" s="9">
        <f>IF($H159="","",INDEX('Journal'!$F$8:$F$2007,$H159))</f>
      </c>
      <c r="E159" s="11">
        <f>IF($H159="","",INDEX('Journal'!$H$8:$H$2007,$H159))</f>
      </c>
      <c r="F159" s="11">
        <f>IF($H159="","",INDEX('Journal'!$I$8:$I$2007,$H159))</f>
      </c>
      <c r="G159" s="11">
        <f>IF($H159="","",N(G158)+N(E159)-N(F159))</f>
      </c>
      <c r="H159" s="10">
        <f t="array" ref="H159">IFERROR(SMALL(IF('Journal'!$D$8:$D$2007=$C$5,ROW('Journal'!$D$8:$D$2007)-7),152),"")</f>
      </c>
    </row>
    <row r="160">
      <c r="A160" s="13">
        <f>IF($H160="","",INDEX('Journal'!$A$8:$A$2007,$H160))</f>
      </c>
      <c r="B160" s="10">
        <f>IF($H160="","",INDEX('Journal'!$B$8:$B$2007,$H160))</f>
      </c>
      <c r="C160" s="9">
        <f>IF($H160="","",INDEX('Journal'!$C$8:$C$2007,$H160))</f>
      </c>
      <c r="D160" s="9">
        <f>IF($H160="","",INDEX('Journal'!$F$8:$F$2007,$H160))</f>
      </c>
      <c r="E160" s="11">
        <f>IF($H160="","",INDEX('Journal'!$H$8:$H$2007,$H160))</f>
      </c>
      <c r="F160" s="11">
        <f>IF($H160="","",INDEX('Journal'!$I$8:$I$2007,$H160))</f>
      </c>
      <c r="G160" s="11">
        <f>IF($H160="","",N(G159)+N(E160)-N(F160))</f>
      </c>
      <c r="H160" s="10">
        <f t="array" ref="H160">IFERROR(SMALL(IF('Journal'!$D$8:$D$2007=$C$5,ROW('Journal'!$D$8:$D$2007)-7),153),"")</f>
      </c>
    </row>
    <row r="161">
      <c r="A161" s="13">
        <f>IF($H161="","",INDEX('Journal'!$A$8:$A$2007,$H161))</f>
      </c>
      <c r="B161" s="10">
        <f>IF($H161="","",INDEX('Journal'!$B$8:$B$2007,$H161))</f>
      </c>
      <c r="C161" s="9">
        <f>IF($H161="","",INDEX('Journal'!$C$8:$C$2007,$H161))</f>
      </c>
      <c r="D161" s="9">
        <f>IF($H161="","",INDEX('Journal'!$F$8:$F$2007,$H161))</f>
      </c>
      <c r="E161" s="11">
        <f>IF($H161="","",INDEX('Journal'!$H$8:$H$2007,$H161))</f>
      </c>
      <c r="F161" s="11">
        <f>IF($H161="","",INDEX('Journal'!$I$8:$I$2007,$H161))</f>
      </c>
      <c r="G161" s="11">
        <f>IF($H161="","",N(G160)+N(E161)-N(F161))</f>
      </c>
      <c r="H161" s="10">
        <f t="array" ref="H161">IFERROR(SMALL(IF('Journal'!$D$8:$D$2007=$C$5,ROW('Journal'!$D$8:$D$2007)-7),154),"")</f>
      </c>
    </row>
    <row r="162">
      <c r="A162" s="13">
        <f>IF($H162="","",INDEX('Journal'!$A$8:$A$2007,$H162))</f>
      </c>
      <c r="B162" s="10">
        <f>IF($H162="","",INDEX('Journal'!$B$8:$B$2007,$H162))</f>
      </c>
      <c r="C162" s="9">
        <f>IF($H162="","",INDEX('Journal'!$C$8:$C$2007,$H162))</f>
      </c>
      <c r="D162" s="9">
        <f>IF($H162="","",INDEX('Journal'!$F$8:$F$2007,$H162))</f>
      </c>
      <c r="E162" s="11">
        <f>IF($H162="","",INDEX('Journal'!$H$8:$H$2007,$H162))</f>
      </c>
      <c r="F162" s="11">
        <f>IF($H162="","",INDEX('Journal'!$I$8:$I$2007,$H162))</f>
      </c>
      <c r="G162" s="11">
        <f>IF($H162="","",N(G161)+N(E162)-N(F162))</f>
      </c>
      <c r="H162" s="10">
        <f t="array" ref="H162">IFERROR(SMALL(IF('Journal'!$D$8:$D$2007=$C$5,ROW('Journal'!$D$8:$D$2007)-7),155),"")</f>
      </c>
    </row>
    <row r="163">
      <c r="A163" s="13">
        <f>IF($H163="","",INDEX('Journal'!$A$8:$A$2007,$H163))</f>
      </c>
      <c r="B163" s="10">
        <f>IF($H163="","",INDEX('Journal'!$B$8:$B$2007,$H163))</f>
      </c>
      <c r="C163" s="9">
        <f>IF($H163="","",INDEX('Journal'!$C$8:$C$2007,$H163))</f>
      </c>
      <c r="D163" s="9">
        <f>IF($H163="","",INDEX('Journal'!$F$8:$F$2007,$H163))</f>
      </c>
      <c r="E163" s="11">
        <f>IF($H163="","",INDEX('Journal'!$H$8:$H$2007,$H163))</f>
      </c>
      <c r="F163" s="11">
        <f>IF($H163="","",INDEX('Journal'!$I$8:$I$2007,$H163))</f>
      </c>
      <c r="G163" s="11">
        <f>IF($H163="","",N(G162)+N(E163)-N(F163))</f>
      </c>
      <c r="H163" s="10">
        <f t="array" ref="H163">IFERROR(SMALL(IF('Journal'!$D$8:$D$2007=$C$5,ROW('Journal'!$D$8:$D$2007)-7),156),"")</f>
      </c>
    </row>
    <row r="164">
      <c r="A164" s="13">
        <f>IF($H164="","",INDEX('Journal'!$A$8:$A$2007,$H164))</f>
      </c>
      <c r="B164" s="10">
        <f>IF($H164="","",INDEX('Journal'!$B$8:$B$2007,$H164))</f>
      </c>
      <c r="C164" s="9">
        <f>IF($H164="","",INDEX('Journal'!$C$8:$C$2007,$H164))</f>
      </c>
      <c r="D164" s="9">
        <f>IF($H164="","",INDEX('Journal'!$F$8:$F$2007,$H164))</f>
      </c>
      <c r="E164" s="11">
        <f>IF($H164="","",INDEX('Journal'!$H$8:$H$2007,$H164))</f>
      </c>
      <c r="F164" s="11">
        <f>IF($H164="","",INDEX('Journal'!$I$8:$I$2007,$H164))</f>
      </c>
      <c r="G164" s="11">
        <f>IF($H164="","",N(G163)+N(E164)-N(F164))</f>
      </c>
      <c r="H164" s="10">
        <f t="array" ref="H164">IFERROR(SMALL(IF('Journal'!$D$8:$D$2007=$C$5,ROW('Journal'!$D$8:$D$2007)-7),157),"")</f>
      </c>
    </row>
    <row r="165">
      <c r="A165" s="13">
        <f>IF($H165="","",INDEX('Journal'!$A$8:$A$2007,$H165))</f>
      </c>
      <c r="B165" s="10">
        <f>IF($H165="","",INDEX('Journal'!$B$8:$B$2007,$H165))</f>
      </c>
      <c r="C165" s="9">
        <f>IF($H165="","",INDEX('Journal'!$C$8:$C$2007,$H165))</f>
      </c>
      <c r="D165" s="9">
        <f>IF($H165="","",INDEX('Journal'!$F$8:$F$2007,$H165))</f>
      </c>
      <c r="E165" s="11">
        <f>IF($H165="","",INDEX('Journal'!$H$8:$H$2007,$H165))</f>
      </c>
      <c r="F165" s="11">
        <f>IF($H165="","",INDEX('Journal'!$I$8:$I$2007,$H165))</f>
      </c>
      <c r="G165" s="11">
        <f>IF($H165="","",N(G164)+N(E165)-N(F165))</f>
      </c>
      <c r="H165" s="10">
        <f t="array" ref="H165">IFERROR(SMALL(IF('Journal'!$D$8:$D$2007=$C$5,ROW('Journal'!$D$8:$D$2007)-7),158),"")</f>
      </c>
    </row>
    <row r="166">
      <c r="A166" s="13">
        <f>IF($H166="","",INDEX('Journal'!$A$8:$A$2007,$H166))</f>
      </c>
      <c r="B166" s="10">
        <f>IF($H166="","",INDEX('Journal'!$B$8:$B$2007,$H166))</f>
      </c>
      <c r="C166" s="9">
        <f>IF($H166="","",INDEX('Journal'!$C$8:$C$2007,$H166))</f>
      </c>
      <c r="D166" s="9">
        <f>IF($H166="","",INDEX('Journal'!$F$8:$F$2007,$H166))</f>
      </c>
      <c r="E166" s="11">
        <f>IF($H166="","",INDEX('Journal'!$H$8:$H$2007,$H166))</f>
      </c>
      <c r="F166" s="11">
        <f>IF($H166="","",INDEX('Journal'!$I$8:$I$2007,$H166))</f>
      </c>
      <c r="G166" s="11">
        <f>IF($H166="","",N(G165)+N(E166)-N(F166))</f>
      </c>
      <c r="H166" s="10">
        <f t="array" ref="H166">IFERROR(SMALL(IF('Journal'!$D$8:$D$2007=$C$5,ROW('Journal'!$D$8:$D$2007)-7),159),"")</f>
      </c>
    </row>
    <row r="167">
      <c r="A167" s="13">
        <f>IF($H167="","",INDEX('Journal'!$A$8:$A$2007,$H167))</f>
      </c>
      <c r="B167" s="10">
        <f>IF($H167="","",INDEX('Journal'!$B$8:$B$2007,$H167))</f>
      </c>
      <c r="C167" s="9">
        <f>IF($H167="","",INDEX('Journal'!$C$8:$C$2007,$H167))</f>
      </c>
      <c r="D167" s="9">
        <f>IF($H167="","",INDEX('Journal'!$F$8:$F$2007,$H167))</f>
      </c>
      <c r="E167" s="11">
        <f>IF($H167="","",INDEX('Journal'!$H$8:$H$2007,$H167))</f>
      </c>
      <c r="F167" s="11">
        <f>IF($H167="","",INDEX('Journal'!$I$8:$I$2007,$H167))</f>
      </c>
      <c r="G167" s="11">
        <f>IF($H167="","",N(G166)+N(E167)-N(F167))</f>
      </c>
      <c r="H167" s="10">
        <f t="array" ref="H167">IFERROR(SMALL(IF('Journal'!$D$8:$D$2007=$C$5,ROW('Journal'!$D$8:$D$2007)-7),160),"")</f>
      </c>
    </row>
    <row r="168">
      <c r="A168" s="13">
        <f>IF($H168="","",INDEX('Journal'!$A$8:$A$2007,$H168))</f>
      </c>
      <c r="B168" s="10">
        <f>IF($H168="","",INDEX('Journal'!$B$8:$B$2007,$H168))</f>
      </c>
      <c r="C168" s="9">
        <f>IF($H168="","",INDEX('Journal'!$C$8:$C$2007,$H168))</f>
      </c>
      <c r="D168" s="9">
        <f>IF($H168="","",INDEX('Journal'!$F$8:$F$2007,$H168))</f>
      </c>
      <c r="E168" s="11">
        <f>IF($H168="","",INDEX('Journal'!$H$8:$H$2007,$H168))</f>
      </c>
      <c r="F168" s="11">
        <f>IF($H168="","",INDEX('Journal'!$I$8:$I$2007,$H168))</f>
      </c>
      <c r="G168" s="11">
        <f>IF($H168="","",N(G167)+N(E168)-N(F168))</f>
      </c>
      <c r="H168" s="10">
        <f t="array" ref="H168">IFERROR(SMALL(IF('Journal'!$D$8:$D$2007=$C$5,ROW('Journal'!$D$8:$D$2007)-7),161),"")</f>
      </c>
    </row>
    <row r="169">
      <c r="A169" s="13">
        <f>IF($H169="","",INDEX('Journal'!$A$8:$A$2007,$H169))</f>
      </c>
      <c r="B169" s="10">
        <f>IF($H169="","",INDEX('Journal'!$B$8:$B$2007,$H169))</f>
      </c>
      <c r="C169" s="9">
        <f>IF($H169="","",INDEX('Journal'!$C$8:$C$2007,$H169))</f>
      </c>
      <c r="D169" s="9">
        <f>IF($H169="","",INDEX('Journal'!$F$8:$F$2007,$H169))</f>
      </c>
      <c r="E169" s="11">
        <f>IF($H169="","",INDEX('Journal'!$H$8:$H$2007,$H169))</f>
      </c>
      <c r="F169" s="11">
        <f>IF($H169="","",INDEX('Journal'!$I$8:$I$2007,$H169))</f>
      </c>
      <c r="G169" s="11">
        <f>IF($H169="","",N(G168)+N(E169)-N(F169))</f>
      </c>
      <c r="H169" s="10">
        <f t="array" ref="H169">IFERROR(SMALL(IF('Journal'!$D$8:$D$2007=$C$5,ROW('Journal'!$D$8:$D$2007)-7),162),"")</f>
      </c>
    </row>
    <row r="170">
      <c r="A170" s="13">
        <f>IF($H170="","",INDEX('Journal'!$A$8:$A$2007,$H170))</f>
      </c>
      <c r="B170" s="10">
        <f>IF($H170="","",INDEX('Journal'!$B$8:$B$2007,$H170))</f>
      </c>
      <c r="C170" s="9">
        <f>IF($H170="","",INDEX('Journal'!$C$8:$C$2007,$H170))</f>
      </c>
      <c r="D170" s="9">
        <f>IF($H170="","",INDEX('Journal'!$F$8:$F$2007,$H170))</f>
      </c>
      <c r="E170" s="11">
        <f>IF($H170="","",INDEX('Journal'!$H$8:$H$2007,$H170))</f>
      </c>
      <c r="F170" s="11">
        <f>IF($H170="","",INDEX('Journal'!$I$8:$I$2007,$H170))</f>
      </c>
      <c r="G170" s="11">
        <f>IF($H170="","",N(G169)+N(E170)-N(F170))</f>
      </c>
      <c r="H170" s="10">
        <f t="array" ref="H170">IFERROR(SMALL(IF('Journal'!$D$8:$D$2007=$C$5,ROW('Journal'!$D$8:$D$2007)-7),163),"")</f>
      </c>
    </row>
    <row r="171">
      <c r="A171" s="13">
        <f>IF($H171="","",INDEX('Journal'!$A$8:$A$2007,$H171))</f>
      </c>
      <c r="B171" s="10">
        <f>IF($H171="","",INDEX('Journal'!$B$8:$B$2007,$H171))</f>
      </c>
      <c r="C171" s="9">
        <f>IF($H171="","",INDEX('Journal'!$C$8:$C$2007,$H171))</f>
      </c>
      <c r="D171" s="9">
        <f>IF($H171="","",INDEX('Journal'!$F$8:$F$2007,$H171))</f>
      </c>
      <c r="E171" s="11">
        <f>IF($H171="","",INDEX('Journal'!$H$8:$H$2007,$H171))</f>
      </c>
      <c r="F171" s="11">
        <f>IF($H171="","",INDEX('Journal'!$I$8:$I$2007,$H171))</f>
      </c>
      <c r="G171" s="11">
        <f>IF($H171="","",N(G170)+N(E171)-N(F171))</f>
      </c>
      <c r="H171" s="10">
        <f t="array" ref="H171">IFERROR(SMALL(IF('Journal'!$D$8:$D$2007=$C$5,ROW('Journal'!$D$8:$D$2007)-7),164),"")</f>
      </c>
    </row>
    <row r="172">
      <c r="A172" s="13">
        <f>IF($H172="","",INDEX('Journal'!$A$8:$A$2007,$H172))</f>
      </c>
      <c r="B172" s="10">
        <f>IF($H172="","",INDEX('Journal'!$B$8:$B$2007,$H172))</f>
      </c>
      <c r="C172" s="9">
        <f>IF($H172="","",INDEX('Journal'!$C$8:$C$2007,$H172))</f>
      </c>
      <c r="D172" s="9">
        <f>IF($H172="","",INDEX('Journal'!$F$8:$F$2007,$H172))</f>
      </c>
      <c r="E172" s="11">
        <f>IF($H172="","",INDEX('Journal'!$H$8:$H$2007,$H172))</f>
      </c>
      <c r="F172" s="11">
        <f>IF($H172="","",INDEX('Journal'!$I$8:$I$2007,$H172))</f>
      </c>
      <c r="G172" s="11">
        <f>IF($H172="","",N(G171)+N(E172)-N(F172))</f>
      </c>
      <c r="H172" s="10">
        <f t="array" ref="H172">IFERROR(SMALL(IF('Journal'!$D$8:$D$2007=$C$5,ROW('Journal'!$D$8:$D$2007)-7),165),"")</f>
      </c>
    </row>
    <row r="173">
      <c r="A173" s="13">
        <f>IF($H173="","",INDEX('Journal'!$A$8:$A$2007,$H173))</f>
      </c>
      <c r="B173" s="10">
        <f>IF($H173="","",INDEX('Journal'!$B$8:$B$2007,$H173))</f>
      </c>
      <c r="C173" s="9">
        <f>IF($H173="","",INDEX('Journal'!$C$8:$C$2007,$H173))</f>
      </c>
      <c r="D173" s="9">
        <f>IF($H173="","",INDEX('Journal'!$F$8:$F$2007,$H173))</f>
      </c>
      <c r="E173" s="11">
        <f>IF($H173="","",INDEX('Journal'!$H$8:$H$2007,$H173))</f>
      </c>
      <c r="F173" s="11">
        <f>IF($H173="","",INDEX('Journal'!$I$8:$I$2007,$H173))</f>
      </c>
      <c r="G173" s="11">
        <f>IF($H173="","",N(G172)+N(E173)-N(F173))</f>
      </c>
      <c r="H173" s="10">
        <f t="array" ref="H173">IFERROR(SMALL(IF('Journal'!$D$8:$D$2007=$C$5,ROW('Journal'!$D$8:$D$2007)-7),166),"")</f>
      </c>
    </row>
    <row r="174">
      <c r="A174" s="13">
        <f>IF($H174="","",INDEX('Journal'!$A$8:$A$2007,$H174))</f>
      </c>
      <c r="B174" s="10">
        <f>IF($H174="","",INDEX('Journal'!$B$8:$B$2007,$H174))</f>
      </c>
      <c r="C174" s="9">
        <f>IF($H174="","",INDEX('Journal'!$C$8:$C$2007,$H174))</f>
      </c>
      <c r="D174" s="9">
        <f>IF($H174="","",INDEX('Journal'!$F$8:$F$2007,$H174))</f>
      </c>
      <c r="E174" s="11">
        <f>IF($H174="","",INDEX('Journal'!$H$8:$H$2007,$H174))</f>
      </c>
      <c r="F174" s="11">
        <f>IF($H174="","",INDEX('Journal'!$I$8:$I$2007,$H174))</f>
      </c>
      <c r="G174" s="11">
        <f>IF($H174="","",N(G173)+N(E174)-N(F174))</f>
      </c>
      <c r="H174" s="10">
        <f t="array" ref="H174">IFERROR(SMALL(IF('Journal'!$D$8:$D$2007=$C$5,ROW('Journal'!$D$8:$D$2007)-7),167),"")</f>
      </c>
    </row>
    <row r="175">
      <c r="A175" s="13">
        <f>IF($H175="","",INDEX('Journal'!$A$8:$A$2007,$H175))</f>
      </c>
      <c r="B175" s="10">
        <f>IF($H175="","",INDEX('Journal'!$B$8:$B$2007,$H175))</f>
      </c>
      <c r="C175" s="9">
        <f>IF($H175="","",INDEX('Journal'!$C$8:$C$2007,$H175))</f>
      </c>
      <c r="D175" s="9">
        <f>IF($H175="","",INDEX('Journal'!$F$8:$F$2007,$H175))</f>
      </c>
      <c r="E175" s="11">
        <f>IF($H175="","",INDEX('Journal'!$H$8:$H$2007,$H175))</f>
      </c>
      <c r="F175" s="11">
        <f>IF($H175="","",INDEX('Journal'!$I$8:$I$2007,$H175))</f>
      </c>
      <c r="G175" s="11">
        <f>IF($H175="","",N(G174)+N(E175)-N(F175))</f>
      </c>
      <c r="H175" s="10">
        <f t="array" ref="H175">IFERROR(SMALL(IF('Journal'!$D$8:$D$2007=$C$5,ROW('Journal'!$D$8:$D$2007)-7),168),"")</f>
      </c>
    </row>
    <row r="176">
      <c r="A176" s="13">
        <f>IF($H176="","",INDEX('Journal'!$A$8:$A$2007,$H176))</f>
      </c>
      <c r="B176" s="10">
        <f>IF($H176="","",INDEX('Journal'!$B$8:$B$2007,$H176))</f>
      </c>
      <c r="C176" s="9">
        <f>IF($H176="","",INDEX('Journal'!$C$8:$C$2007,$H176))</f>
      </c>
      <c r="D176" s="9">
        <f>IF($H176="","",INDEX('Journal'!$F$8:$F$2007,$H176))</f>
      </c>
      <c r="E176" s="11">
        <f>IF($H176="","",INDEX('Journal'!$H$8:$H$2007,$H176))</f>
      </c>
      <c r="F176" s="11">
        <f>IF($H176="","",INDEX('Journal'!$I$8:$I$2007,$H176))</f>
      </c>
      <c r="G176" s="11">
        <f>IF($H176="","",N(G175)+N(E176)-N(F176))</f>
      </c>
      <c r="H176" s="10">
        <f t="array" ref="H176">IFERROR(SMALL(IF('Journal'!$D$8:$D$2007=$C$5,ROW('Journal'!$D$8:$D$2007)-7),169),"")</f>
      </c>
    </row>
    <row r="177">
      <c r="A177" s="13">
        <f>IF($H177="","",INDEX('Journal'!$A$8:$A$2007,$H177))</f>
      </c>
      <c r="B177" s="10">
        <f>IF($H177="","",INDEX('Journal'!$B$8:$B$2007,$H177))</f>
      </c>
      <c r="C177" s="9">
        <f>IF($H177="","",INDEX('Journal'!$C$8:$C$2007,$H177))</f>
      </c>
      <c r="D177" s="9">
        <f>IF($H177="","",INDEX('Journal'!$F$8:$F$2007,$H177))</f>
      </c>
      <c r="E177" s="11">
        <f>IF($H177="","",INDEX('Journal'!$H$8:$H$2007,$H177))</f>
      </c>
      <c r="F177" s="11">
        <f>IF($H177="","",INDEX('Journal'!$I$8:$I$2007,$H177))</f>
      </c>
      <c r="G177" s="11">
        <f>IF($H177="","",N(G176)+N(E177)-N(F177))</f>
      </c>
      <c r="H177" s="10">
        <f t="array" ref="H177">IFERROR(SMALL(IF('Journal'!$D$8:$D$2007=$C$5,ROW('Journal'!$D$8:$D$2007)-7),170),"")</f>
      </c>
    </row>
    <row r="178">
      <c r="A178" s="13">
        <f>IF($H178="","",INDEX('Journal'!$A$8:$A$2007,$H178))</f>
      </c>
      <c r="B178" s="10">
        <f>IF($H178="","",INDEX('Journal'!$B$8:$B$2007,$H178))</f>
      </c>
      <c r="C178" s="9">
        <f>IF($H178="","",INDEX('Journal'!$C$8:$C$2007,$H178))</f>
      </c>
      <c r="D178" s="9">
        <f>IF($H178="","",INDEX('Journal'!$F$8:$F$2007,$H178))</f>
      </c>
      <c r="E178" s="11">
        <f>IF($H178="","",INDEX('Journal'!$H$8:$H$2007,$H178))</f>
      </c>
      <c r="F178" s="11">
        <f>IF($H178="","",INDEX('Journal'!$I$8:$I$2007,$H178))</f>
      </c>
      <c r="G178" s="11">
        <f>IF($H178="","",N(G177)+N(E178)-N(F178))</f>
      </c>
      <c r="H178" s="10">
        <f t="array" ref="H178">IFERROR(SMALL(IF('Journal'!$D$8:$D$2007=$C$5,ROW('Journal'!$D$8:$D$2007)-7),171),"")</f>
      </c>
    </row>
    <row r="179">
      <c r="A179" s="13">
        <f>IF($H179="","",INDEX('Journal'!$A$8:$A$2007,$H179))</f>
      </c>
      <c r="B179" s="10">
        <f>IF($H179="","",INDEX('Journal'!$B$8:$B$2007,$H179))</f>
      </c>
      <c r="C179" s="9">
        <f>IF($H179="","",INDEX('Journal'!$C$8:$C$2007,$H179))</f>
      </c>
      <c r="D179" s="9">
        <f>IF($H179="","",INDEX('Journal'!$F$8:$F$2007,$H179))</f>
      </c>
      <c r="E179" s="11">
        <f>IF($H179="","",INDEX('Journal'!$H$8:$H$2007,$H179))</f>
      </c>
      <c r="F179" s="11">
        <f>IF($H179="","",INDEX('Journal'!$I$8:$I$2007,$H179))</f>
      </c>
      <c r="G179" s="11">
        <f>IF($H179="","",N(G178)+N(E179)-N(F179))</f>
      </c>
      <c r="H179" s="10">
        <f t="array" ref="H179">IFERROR(SMALL(IF('Journal'!$D$8:$D$2007=$C$5,ROW('Journal'!$D$8:$D$2007)-7),172),"")</f>
      </c>
    </row>
    <row r="180">
      <c r="A180" s="13">
        <f>IF($H180="","",INDEX('Journal'!$A$8:$A$2007,$H180))</f>
      </c>
      <c r="B180" s="10">
        <f>IF($H180="","",INDEX('Journal'!$B$8:$B$2007,$H180))</f>
      </c>
      <c r="C180" s="9">
        <f>IF($H180="","",INDEX('Journal'!$C$8:$C$2007,$H180))</f>
      </c>
      <c r="D180" s="9">
        <f>IF($H180="","",INDEX('Journal'!$F$8:$F$2007,$H180))</f>
      </c>
      <c r="E180" s="11">
        <f>IF($H180="","",INDEX('Journal'!$H$8:$H$2007,$H180))</f>
      </c>
      <c r="F180" s="11">
        <f>IF($H180="","",INDEX('Journal'!$I$8:$I$2007,$H180))</f>
      </c>
      <c r="G180" s="11">
        <f>IF($H180="","",N(G179)+N(E180)-N(F180))</f>
      </c>
      <c r="H180" s="10">
        <f t="array" ref="H180">IFERROR(SMALL(IF('Journal'!$D$8:$D$2007=$C$5,ROW('Journal'!$D$8:$D$2007)-7),173),"")</f>
      </c>
    </row>
    <row r="181">
      <c r="A181" s="13">
        <f>IF($H181="","",INDEX('Journal'!$A$8:$A$2007,$H181))</f>
      </c>
      <c r="B181" s="10">
        <f>IF($H181="","",INDEX('Journal'!$B$8:$B$2007,$H181))</f>
      </c>
      <c r="C181" s="9">
        <f>IF($H181="","",INDEX('Journal'!$C$8:$C$2007,$H181))</f>
      </c>
      <c r="D181" s="9">
        <f>IF($H181="","",INDEX('Journal'!$F$8:$F$2007,$H181))</f>
      </c>
      <c r="E181" s="11">
        <f>IF($H181="","",INDEX('Journal'!$H$8:$H$2007,$H181))</f>
      </c>
      <c r="F181" s="11">
        <f>IF($H181="","",INDEX('Journal'!$I$8:$I$2007,$H181))</f>
      </c>
      <c r="G181" s="11">
        <f>IF($H181="","",N(G180)+N(E181)-N(F181))</f>
      </c>
      <c r="H181" s="10">
        <f t="array" ref="H181">IFERROR(SMALL(IF('Journal'!$D$8:$D$2007=$C$5,ROW('Journal'!$D$8:$D$2007)-7),174),"")</f>
      </c>
    </row>
    <row r="182">
      <c r="A182" s="13">
        <f>IF($H182="","",INDEX('Journal'!$A$8:$A$2007,$H182))</f>
      </c>
      <c r="B182" s="10">
        <f>IF($H182="","",INDEX('Journal'!$B$8:$B$2007,$H182))</f>
      </c>
      <c r="C182" s="9">
        <f>IF($H182="","",INDEX('Journal'!$C$8:$C$2007,$H182))</f>
      </c>
      <c r="D182" s="9">
        <f>IF($H182="","",INDEX('Journal'!$F$8:$F$2007,$H182))</f>
      </c>
      <c r="E182" s="11">
        <f>IF($H182="","",INDEX('Journal'!$H$8:$H$2007,$H182))</f>
      </c>
      <c r="F182" s="11">
        <f>IF($H182="","",INDEX('Journal'!$I$8:$I$2007,$H182))</f>
      </c>
      <c r="G182" s="11">
        <f>IF($H182="","",N(G181)+N(E182)-N(F182))</f>
      </c>
      <c r="H182" s="10">
        <f t="array" ref="H182">IFERROR(SMALL(IF('Journal'!$D$8:$D$2007=$C$5,ROW('Journal'!$D$8:$D$2007)-7),175),"")</f>
      </c>
    </row>
    <row r="183">
      <c r="A183" s="13">
        <f>IF($H183="","",INDEX('Journal'!$A$8:$A$2007,$H183))</f>
      </c>
      <c r="B183" s="10">
        <f>IF($H183="","",INDEX('Journal'!$B$8:$B$2007,$H183))</f>
      </c>
      <c r="C183" s="9">
        <f>IF($H183="","",INDEX('Journal'!$C$8:$C$2007,$H183))</f>
      </c>
      <c r="D183" s="9">
        <f>IF($H183="","",INDEX('Journal'!$F$8:$F$2007,$H183))</f>
      </c>
      <c r="E183" s="11">
        <f>IF($H183="","",INDEX('Journal'!$H$8:$H$2007,$H183))</f>
      </c>
      <c r="F183" s="11">
        <f>IF($H183="","",INDEX('Journal'!$I$8:$I$2007,$H183))</f>
      </c>
      <c r="G183" s="11">
        <f>IF($H183="","",N(G182)+N(E183)-N(F183))</f>
      </c>
      <c r="H183" s="10">
        <f t="array" ref="H183">IFERROR(SMALL(IF('Journal'!$D$8:$D$2007=$C$5,ROW('Journal'!$D$8:$D$2007)-7),176),"")</f>
      </c>
    </row>
    <row r="184">
      <c r="A184" s="13">
        <f>IF($H184="","",INDEX('Journal'!$A$8:$A$2007,$H184))</f>
      </c>
      <c r="B184" s="10">
        <f>IF($H184="","",INDEX('Journal'!$B$8:$B$2007,$H184))</f>
      </c>
      <c r="C184" s="9">
        <f>IF($H184="","",INDEX('Journal'!$C$8:$C$2007,$H184))</f>
      </c>
      <c r="D184" s="9">
        <f>IF($H184="","",INDEX('Journal'!$F$8:$F$2007,$H184))</f>
      </c>
      <c r="E184" s="11">
        <f>IF($H184="","",INDEX('Journal'!$H$8:$H$2007,$H184))</f>
      </c>
      <c r="F184" s="11">
        <f>IF($H184="","",INDEX('Journal'!$I$8:$I$2007,$H184))</f>
      </c>
      <c r="G184" s="11">
        <f>IF($H184="","",N(G183)+N(E184)-N(F184))</f>
      </c>
      <c r="H184" s="10">
        <f t="array" ref="H184">IFERROR(SMALL(IF('Journal'!$D$8:$D$2007=$C$5,ROW('Journal'!$D$8:$D$2007)-7),177),"")</f>
      </c>
    </row>
    <row r="185">
      <c r="A185" s="13">
        <f>IF($H185="","",INDEX('Journal'!$A$8:$A$2007,$H185))</f>
      </c>
      <c r="B185" s="10">
        <f>IF($H185="","",INDEX('Journal'!$B$8:$B$2007,$H185))</f>
      </c>
      <c r="C185" s="9">
        <f>IF($H185="","",INDEX('Journal'!$C$8:$C$2007,$H185))</f>
      </c>
      <c r="D185" s="9">
        <f>IF($H185="","",INDEX('Journal'!$F$8:$F$2007,$H185))</f>
      </c>
      <c r="E185" s="11">
        <f>IF($H185="","",INDEX('Journal'!$H$8:$H$2007,$H185))</f>
      </c>
      <c r="F185" s="11">
        <f>IF($H185="","",INDEX('Journal'!$I$8:$I$2007,$H185))</f>
      </c>
      <c r="G185" s="11">
        <f>IF($H185="","",N(G184)+N(E185)-N(F185))</f>
      </c>
      <c r="H185" s="10">
        <f t="array" ref="H185">IFERROR(SMALL(IF('Journal'!$D$8:$D$2007=$C$5,ROW('Journal'!$D$8:$D$2007)-7),178),"")</f>
      </c>
    </row>
    <row r="186">
      <c r="A186" s="13">
        <f>IF($H186="","",INDEX('Journal'!$A$8:$A$2007,$H186))</f>
      </c>
      <c r="B186" s="10">
        <f>IF($H186="","",INDEX('Journal'!$B$8:$B$2007,$H186))</f>
      </c>
      <c r="C186" s="9">
        <f>IF($H186="","",INDEX('Journal'!$C$8:$C$2007,$H186))</f>
      </c>
      <c r="D186" s="9">
        <f>IF($H186="","",INDEX('Journal'!$F$8:$F$2007,$H186))</f>
      </c>
      <c r="E186" s="11">
        <f>IF($H186="","",INDEX('Journal'!$H$8:$H$2007,$H186))</f>
      </c>
      <c r="F186" s="11">
        <f>IF($H186="","",INDEX('Journal'!$I$8:$I$2007,$H186))</f>
      </c>
      <c r="G186" s="11">
        <f>IF($H186="","",N(G185)+N(E186)-N(F186))</f>
      </c>
      <c r="H186" s="10">
        <f t="array" ref="H186">IFERROR(SMALL(IF('Journal'!$D$8:$D$2007=$C$5,ROW('Journal'!$D$8:$D$2007)-7),179),"")</f>
      </c>
    </row>
    <row r="187">
      <c r="A187" s="13">
        <f>IF($H187="","",INDEX('Journal'!$A$8:$A$2007,$H187))</f>
      </c>
      <c r="B187" s="10">
        <f>IF($H187="","",INDEX('Journal'!$B$8:$B$2007,$H187))</f>
      </c>
      <c r="C187" s="9">
        <f>IF($H187="","",INDEX('Journal'!$C$8:$C$2007,$H187))</f>
      </c>
      <c r="D187" s="9">
        <f>IF($H187="","",INDEX('Journal'!$F$8:$F$2007,$H187))</f>
      </c>
      <c r="E187" s="11">
        <f>IF($H187="","",INDEX('Journal'!$H$8:$H$2007,$H187))</f>
      </c>
      <c r="F187" s="11">
        <f>IF($H187="","",INDEX('Journal'!$I$8:$I$2007,$H187))</f>
      </c>
      <c r="G187" s="11">
        <f>IF($H187="","",N(G186)+N(E187)-N(F187))</f>
      </c>
      <c r="H187" s="10">
        <f t="array" ref="H187">IFERROR(SMALL(IF('Journal'!$D$8:$D$2007=$C$5,ROW('Journal'!$D$8:$D$2007)-7),180),"")</f>
      </c>
    </row>
    <row r="188">
      <c r="A188" s="13">
        <f>IF($H188="","",INDEX('Journal'!$A$8:$A$2007,$H188))</f>
      </c>
      <c r="B188" s="10">
        <f>IF($H188="","",INDEX('Journal'!$B$8:$B$2007,$H188))</f>
      </c>
      <c r="C188" s="9">
        <f>IF($H188="","",INDEX('Journal'!$C$8:$C$2007,$H188))</f>
      </c>
      <c r="D188" s="9">
        <f>IF($H188="","",INDEX('Journal'!$F$8:$F$2007,$H188))</f>
      </c>
      <c r="E188" s="11">
        <f>IF($H188="","",INDEX('Journal'!$H$8:$H$2007,$H188))</f>
      </c>
      <c r="F188" s="11">
        <f>IF($H188="","",INDEX('Journal'!$I$8:$I$2007,$H188))</f>
      </c>
      <c r="G188" s="11">
        <f>IF($H188="","",N(G187)+N(E188)-N(F188))</f>
      </c>
      <c r="H188" s="10">
        <f t="array" ref="H188">IFERROR(SMALL(IF('Journal'!$D$8:$D$2007=$C$5,ROW('Journal'!$D$8:$D$2007)-7),181),"")</f>
      </c>
    </row>
    <row r="189">
      <c r="A189" s="13">
        <f>IF($H189="","",INDEX('Journal'!$A$8:$A$2007,$H189))</f>
      </c>
      <c r="B189" s="10">
        <f>IF($H189="","",INDEX('Journal'!$B$8:$B$2007,$H189))</f>
      </c>
      <c r="C189" s="9">
        <f>IF($H189="","",INDEX('Journal'!$C$8:$C$2007,$H189))</f>
      </c>
      <c r="D189" s="9">
        <f>IF($H189="","",INDEX('Journal'!$F$8:$F$2007,$H189))</f>
      </c>
      <c r="E189" s="11">
        <f>IF($H189="","",INDEX('Journal'!$H$8:$H$2007,$H189))</f>
      </c>
      <c r="F189" s="11">
        <f>IF($H189="","",INDEX('Journal'!$I$8:$I$2007,$H189))</f>
      </c>
      <c r="G189" s="11">
        <f>IF($H189="","",N(G188)+N(E189)-N(F189))</f>
      </c>
      <c r="H189" s="10">
        <f t="array" ref="H189">IFERROR(SMALL(IF('Journal'!$D$8:$D$2007=$C$5,ROW('Journal'!$D$8:$D$2007)-7),182),"")</f>
      </c>
    </row>
    <row r="190">
      <c r="A190" s="13">
        <f>IF($H190="","",INDEX('Journal'!$A$8:$A$2007,$H190))</f>
      </c>
      <c r="B190" s="10">
        <f>IF($H190="","",INDEX('Journal'!$B$8:$B$2007,$H190))</f>
      </c>
      <c r="C190" s="9">
        <f>IF($H190="","",INDEX('Journal'!$C$8:$C$2007,$H190))</f>
      </c>
      <c r="D190" s="9">
        <f>IF($H190="","",INDEX('Journal'!$F$8:$F$2007,$H190))</f>
      </c>
      <c r="E190" s="11">
        <f>IF($H190="","",INDEX('Journal'!$H$8:$H$2007,$H190))</f>
      </c>
      <c r="F190" s="11">
        <f>IF($H190="","",INDEX('Journal'!$I$8:$I$2007,$H190))</f>
      </c>
      <c r="G190" s="11">
        <f>IF($H190="","",N(G189)+N(E190)-N(F190))</f>
      </c>
      <c r="H190" s="10">
        <f t="array" ref="H190">IFERROR(SMALL(IF('Journal'!$D$8:$D$2007=$C$5,ROW('Journal'!$D$8:$D$2007)-7),183),"")</f>
      </c>
    </row>
    <row r="191">
      <c r="A191" s="13">
        <f>IF($H191="","",INDEX('Journal'!$A$8:$A$2007,$H191))</f>
      </c>
      <c r="B191" s="10">
        <f>IF($H191="","",INDEX('Journal'!$B$8:$B$2007,$H191))</f>
      </c>
      <c r="C191" s="9">
        <f>IF($H191="","",INDEX('Journal'!$C$8:$C$2007,$H191))</f>
      </c>
      <c r="D191" s="9">
        <f>IF($H191="","",INDEX('Journal'!$F$8:$F$2007,$H191))</f>
      </c>
      <c r="E191" s="11">
        <f>IF($H191="","",INDEX('Journal'!$H$8:$H$2007,$H191))</f>
      </c>
      <c r="F191" s="11">
        <f>IF($H191="","",INDEX('Journal'!$I$8:$I$2007,$H191))</f>
      </c>
      <c r="G191" s="11">
        <f>IF($H191="","",N(G190)+N(E191)-N(F191))</f>
      </c>
      <c r="H191" s="10">
        <f t="array" ref="H191">IFERROR(SMALL(IF('Journal'!$D$8:$D$2007=$C$5,ROW('Journal'!$D$8:$D$2007)-7),184),"")</f>
      </c>
    </row>
    <row r="192">
      <c r="A192" s="13">
        <f>IF($H192="","",INDEX('Journal'!$A$8:$A$2007,$H192))</f>
      </c>
      <c r="B192" s="10">
        <f>IF($H192="","",INDEX('Journal'!$B$8:$B$2007,$H192))</f>
      </c>
      <c r="C192" s="9">
        <f>IF($H192="","",INDEX('Journal'!$C$8:$C$2007,$H192))</f>
      </c>
      <c r="D192" s="9">
        <f>IF($H192="","",INDEX('Journal'!$F$8:$F$2007,$H192))</f>
      </c>
      <c r="E192" s="11">
        <f>IF($H192="","",INDEX('Journal'!$H$8:$H$2007,$H192))</f>
      </c>
      <c r="F192" s="11">
        <f>IF($H192="","",INDEX('Journal'!$I$8:$I$2007,$H192))</f>
      </c>
      <c r="G192" s="11">
        <f>IF($H192="","",N(G191)+N(E192)-N(F192))</f>
      </c>
      <c r="H192" s="10">
        <f t="array" ref="H192">IFERROR(SMALL(IF('Journal'!$D$8:$D$2007=$C$5,ROW('Journal'!$D$8:$D$2007)-7),185),"")</f>
      </c>
    </row>
    <row r="193">
      <c r="A193" s="13">
        <f>IF($H193="","",INDEX('Journal'!$A$8:$A$2007,$H193))</f>
      </c>
      <c r="B193" s="10">
        <f>IF($H193="","",INDEX('Journal'!$B$8:$B$2007,$H193))</f>
      </c>
      <c r="C193" s="9">
        <f>IF($H193="","",INDEX('Journal'!$C$8:$C$2007,$H193))</f>
      </c>
      <c r="D193" s="9">
        <f>IF($H193="","",INDEX('Journal'!$F$8:$F$2007,$H193))</f>
      </c>
      <c r="E193" s="11">
        <f>IF($H193="","",INDEX('Journal'!$H$8:$H$2007,$H193))</f>
      </c>
      <c r="F193" s="11">
        <f>IF($H193="","",INDEX('Journal'!$I$8:$I$2007,$H193))</f>
      </c>
      <c r="G193" s="11">
        <f>IF($H193="","",N(G192)+N(E193)-N(F193))</f>
      </c>
      <c r="H193" s="10">
        <f t="array" ref="H193">IFERROR(SMALL(IF('Journal'!$D$8:$D$2007=$C$5,ROW('Journal'!$D$8:$D$2007)-7),186),"")</f>
      </c>
    </row>
    <row r="194">
      <c r="A194" s="13">
        <f>IF($H194="","",INDEX('Journal'!$A$8:$A$2007,$H194))</f>
      </c>
      <c r="B194" s="10">
        <f>IF($H194="","",INDEX('Journal'!$B$8:$B$2007,$H194))</f>
      </c>
      <c r="C194" s="9">
        <f>IF($H194="","",INDEX('Journal'!$C$8:$C$2007,$H194))</f>
      </c>
      <c r="D194" s="9">
        <f>IF($H194="","",INDEX('Journal'!$F$8:$F$2007,$H194))</f>
      </c>
      <c r="E194" s="11">
        <f>IF($H194="","",INDEX('Journal'!$H$8:$H$2007,$H194))</f>
      </c>
      <c r="F194" s="11">
        <f>IF($H194="","",INDEX('Journal'!$I$8:$I$2007,$H194))</f>
      </c>
      <c r="G194" s="11">
        <f>IF($H194="","",N(G193)+N(E194)-N(F194))</f>
      </c>
      <c r="H194" s="10">
        <f t="array" ref="H194">IFERROR(SMALL(IF('Journal'!$D$8:$D$2007=$C$5,ROW('Journal'!$D$8:$D$2007)-7),187),"")</f>
      </c>
    </row>
    <row r="195">
      <c r="A195" s="13">
        <f>IF($H195="","",INDEX('Journal'!$A$8:$A$2007,$H195))</f>
      </c>
      <c r="B195" s="10">
        <f>IF($H195="","",INDEX('Journal'!$B$8:$B$2007,$H195))</f>
      </c>
      <c r="C195" s="9">
        <f>IF($H195="","",INDEX('Journal'!$C$8:$C$2007,$H195))</f>
      </c>
      <c r="D195" s="9">
        <f>IF($H195="","",INDEX('Journal'!$F$8:$F$2007,$H195))</f>
      </c>
      <c r="E195" s="11">
        <f>IF($H195="","",INDEX('Journal'!$H$8:$H$2007,$H195))</f>
      </c>
      <c r="F195" s="11">
        <f>IF($H195="","",INDEX('Journal'!$I$8:$I$2007,$H195))</f>
      </c>
      <c r="G195" s="11">
        <f>IF($H195="","",N(G194)+N(E195)-N(F195))</f>
      </c>
      <c r="H195" s="10">
        <f t="array" ref="H195">IFERROR(SMALL(IF('Journal'!$D$8:$D$2007=$C$5,ROW('Journal'!$D$8:$D$2007)-7),188),"")</f>
      </c>
    </row>
    <row r="196">
      <c r="A196" s="13">
        <f>IF($H196="","",INDEX('Journal'!$A$8:$A$2007,$H196))</f>
      </c>
      <c r="B196" s="10">
        <f>IF($H196="","",INDEX('Journal'!$B$8:$B$2007,$H196))</f>
      </c>
      <c r="C196" s="9">
        <f>IF($H196="","",INDEX('Journal'!$C$8:$C$2007,$H196))</f>
      </c>
      <c r="D196" s="9">
        <f>IF($H196="","",INDEX('Journal'!$F$8:$F$2007,$H196))</f>
      </c>
      <c r="E196" s="11">
        <f>IF($H196="","",INDEX('Journal'!$H$8:$H$2007,$H196))</f>
      </c>
      <c r="F196" s="11">
        <f>IF($H196="","",INDEX('Journal'!$I$8:$I$2007,$H196))</f>
      </c>
      <c r="G196" s="11">
        <f>IF($H196="","",N(G195)+N(E196)-N(F196))</f>
      </c>
      <c r="H196" s="10">
        <f t="array" ref="H196">IFERROR(SMALL(IF('Journal'!$D$8:$D$2007=$C$5,ROW('Journal'!$D$8:$D$2007)-7),189),"")</f>
      </c>
    </row>
    <row r="197">
      <c r="A197" s="13">
        <f>IF($H197="","",INDEX('Journal'!$A$8:$A$2007,$H197))</f>
      </c>
      <c r="B197" s="10">
        <f>IF($H197="","",INDEX('Journal'!$B$8:$B$2007,$H197))</f>
      </c>
      <c r="C197" s="9">
        <f>IF($H197="","",INDEX('Journal'!$C$8:$C$2007,$H197))</f>
      </c>
      <c r="D197" s="9">
        <f>IF($H197="","",INDEX('Journal'!$F$8:$F$2007,$H197))</f>
      </c>
      <c r="E197" s="11">
        <f>IF($H197="","",INDEX('Journal'!$H$8:$H$2007,$H197))</f>
      </c>
      <c r="F197" s="11">
        <f>IF($H197="","",INDEX('Journal'!$I$8:$I$2007,$H197))</f>
      </c>
      <c r="G197" s="11">
        <f>IF($H197="","",N(G196)+N(E197)-N(F197))</f>
      </c>
      <c r="H197" s="10">
        <f t="array" ref="H197">IFERROR(SMALL(IF('Journal'!$D$8:$D$2007=$C$5,ROW('Journal'!$D$8:$D$2007)-7),190),"")</f>
      </c>
    </row>
    <row r="198">
      <c r="A198" s="13">
        <f>IF($H198="","",INDEX('Journal'!$A$8:$A$2007,$H198))</f>
      </c>
      <c r="B198" s="10">
        <f>IF($H198="","",INDEX('Journal'!$B$8:$B$2007,$H198))</f>
      </c>
      <c r="C198" s="9">
        <f>IF($H198="","",INDEX('Journal'!$C$8:$C$2007,$H198))</f>
      </c>
      <c r="D198" s="9">
        <f>IF($H198="","",INDEX('Journal'!$F$8:$F$2007,$H198))</f>
      </c>
      <c r="E198" s="11">
        <f>IF($H198="","",INDEX('Journal'!$H$8:$H$2007,$H198))</f>
      </c>
      <c r="F198" s="11">
        <f>IF($H198="","",INDEX('Journal'!$I$8:$I$2007,$H198))</f>
      </c>
      <c r="G198" s="11">
        <f>IF($H198="","",N(G197)+N(E198)-N(F198))</f>
      </c>
      <c r="H198" s="10">
        <f t="array" ref="H198">IFERROR(SMALL(IF('Journal'!$D$8:$D$2007=$C$5,ROW('Journal'!$D$8:$D$2007)-7),191),"")</f>
      </c>
    </row>
    <row r="199">
      <c r="A199" s="13">
        <f>IF($H199="","",INDEX('Journal'!$A$8:$A$2007,$H199))</f>
      </c>
      <c r="B199" s="10">
        <f>IF($H199="","",INDEX('Journal'!$B$8:$B$2007,$H199))</f>
      </c>
      <c r="C199" s="9">
        <f>IF($H199="","",INDEX('Journal'!$C$8:$C$2007,$H199))</f>
      </c>
      <c r="D199" s="9">
        <f>IF($H199="","",INDEX('Journal'!$F$8:$F$2007,$H199))</f>
      </c>
      <c r="E199" s="11">
        <f>IF($H199="","",INDEX('Journal'!$H$8:$H$2007,$H199))</f>
      </c>
      <c r="F199" s="11">
        <f>IF($H199="","",INDEX('Journal'!$I$8:$I$2007,$H199))</f>
      </c>
      <c r="G199" s="11">
        <f>IF($H199="","",N(G198)+N(E199)-N(F199))</f>
      </c>
      <c r="H199" s="10">
        <f t="array" ref="H199">IFERROR(SMALL(IF('Journal'!$D$8:$D$2007=$C$5,ROW('Journal'!$D$8:$D$2007)-7),192),"")</f>
      </c>
    </row>
    <row r="200">
      <c r="A200" s="13">
        <f>IF($H200="","",INDEX('Journal'!$A$8:$A$2007,$H200))</f>
      </c>
      <c r="B200" s="10">
        <f>IF($H200="","",INDEX('Journal'!$B$8:$B$2007,$H200))</f>
      </c>
      <c r="C200" s="9">
        <f>IF($H200="","",INDEX('Journal'!$C$8:$C$2007,$H200))</f>
      </c>
      <c r="D200" s="9">
        <f>IF($H200="","",INDEX('Journal'!$F$8:$F$2007,$H200))</f>
      </c>
      <c r="E200" s="11">
        <f>IF($H200="","",INDEX('Journal'!$H$8:$H$2007,$H200))</f>
      </c>
      <c r="F200" s="11">
        <f>IF($H200="","",INDEX('Journal'!$I$8:$I$2007,$H200))</f>
      </c>
      <c r="G200" s="11">
        <f>IF($H200="","",N(G199)+N(E200)-N(F200))</f>
      </c>
      <c r="H200" s="10">
        <f t="array" ref="H200">IFERROR(SMALL(IF('Journal'!$D$8:$D$2007=$C$5,ROW('Journal'!$D$8:$D$2007)-7),193),"")</f>
      </c>
    </row>
    <row r="201">
      <c r="A201" s="13">
        <f>IF($H201="","",INDEX('Journal'!$A$8:$A$2007,$H201))</f>
      </c>
      <c r="B201" s="10">
        <f>IF($H201="","",INDEX('Journal'!$B$8:$B$2007,$H201))</f>
      </c>
      <c r="C201" s="9">
        <f>IF($H201="","",INDEX('Journal'!$C$8:$C$2007,$H201))</f>
      </c>
      <c r="D201" s="9">
        <f>IF($H201="","",INDEX('Journal'!$F$8:$F$2007,$H201))</f>
      </c>
      <c r="E201" s="11">
        <f>IF($H201="","",INDEX('Journal'!$H$8:$H$2007,$H201))</f>
      </c>
      <c r="F201" s="11">
        <f>IF($H201="","",INDEX('Journal'!$I$8:$I$2007,$H201))</f>
      </c>
      <c r="G201" s="11">
        <f>IF($H201="","",N(G200)+N(E201)-N(F201))</f>
      </c>
      <c r="H201" s="10">
        <f t="array" ref="H201">IFERROR(SMALL(IF('Journal'!$D$8:$D$2007=$C$5,ROW('Journal'!$D$8:$D$2007)-7),194),"")</f>
      </c>
    </row>
    <row r="202">
      <c r="A202" s="13">
        <f>IF($H202="","",INDEX('Journal'!$A$8:$A$2007,$H202))</f>
      </c>
      <c r="B202" s="10">
        <f>IF($H202="","",INDEX('Journal'!$B$8:$B$2007,$H202))</f>
      </c>
      <c r="C202" s="9">
        <f>IF($H202="","",INDEX('Journal'!$C$8:$C$2007,$H202))</f>
      </c>
      <c r="D202" s="9">
        <f>IF($H202="","",INDEX('Journal'!$F$8:$F$2007,$H202))</f>
      </c>
      <c r="E202" s="11">
        <f>IF($H202="","",INDEX('Journal'!$H$8:$H$2007,$H202))</f>
      </c>
      <c r="F202" s="11">
        <f>IF($H202="","",INDEX('Journal'!$I$8:$I$2007,$H202))</f>
      </c>
      <c r="G202" s="11">
        <f>IF($H202="","",N(G201)+N(E202)-N(F202))</f>
      </c>
      <c r="H202" s="10">
        <f t="array" ref="H202">IFERROR(SMALL(IF('Journal'!$D$8:$D$2007=$C$5,ROW('Journal'!$D$8:$D$2007)-7),195),"")</f>
      </c>
    </row>
    <row r="203">
      <c r="A203" s="13">
        <f>IF($H203="","",INDEX('Journal'!$A$8:$A$2007,$H203))</f>
      </c>
      <c r="B203" s="10">
        <f>IF($H203="","",INDEX('Journal'!$B$8:$B$2007,$H203))</f>
      </c>
      <c r="C203" s="9">
        <f>IF($H203="","",INDEX('Journal'!$C$8:$C$2007,$H203))</f>
      </c>
      <c r="D203" s="9">
        <f>IF($H203="","",INDEX('Journal'!$F$8:$F$2007,$H203))</f>
      </c>
      <c r="E203" s="11">
        <f>IF($H203="","",INDEX('Journal'!$H$8:$H$2007,$H203))</f>
      </c>
      <c r="F203" s="11">
        <f>IF($H203="","",INDEX('Journal'!$I$8:$I$2007,$H203))</f>
      </c>
      <c r="G203" s="11">
        <f>IF($H203="","",N(G202)+N(E203)-N(F203))</f>
      </c>
      <c r="H203" s="10">
        <f t="array" ref="H203">IFERROR(SMALL(IF('Journal'!$D$8:$D$2007=$C$5,ROW('Journal'!$D$8:$D$2007)-7),196),"")</f>
      </c>
    </row>
    <row r="204">
      <c r="A204" s="13">
        <f>IF($H204="","",INDEX('Journal'!$A$8:$A$2007,$H204))</f>
      </c>
      <c r="B204" s="10">
        <f>IF($H204="","",INDEX('Journal'!$B$8:$B$2007,$H204))</f>
      </c>
      <c r="C204" s="9">
        <f>IF($H204="","",INDEX('Journal'!$C$8:$C$2007,$H204))</f>
      </c>
      <c r="D204" s="9">
        <f>IF($H204="","",INDEX('Journal'!$F$8:$F$2007,$H204))</f>
      </c>
      <c r="E204" s="11">
        <f>IF($H204="","",INDEX('Journal'!$H$8:$H$2007,$H204))</f>
      </c>
      <c r="F204" s="11">
        <f>IF($H204="","",INDEX('Journal'!$I$8:$I$2007,$H204))</f>
      </c>
      <c r="G204" s="11">
        <f>IF($H204="","",N(G203)+N(E204)-N(F204))</f>
      </c>
      <c r="H204" s="10">
        <f t="array" ref="H204">IFERROR(SMALL(IF('Journal'!$D$8:$D$2007=$C$5,ROW('Journal'!$D$8:$D$2007)-7),197),"")</f>
      </c>
    </row>
    <row r="205">
      <c r="A205" s="13">
        <f>IF($H205="","",INDEX('Journal'!$A$8:$A$2007,$H205))</f>
      </c>
      <c r="B205" s="10">
        <f>IF($H205="","",INDEX('Journal'!$B$8:$B$2007,$H205))</f>
      </c>
      <c r="C205" s="9">
        <f>IF($H205="","",INDEX('Journal'!$C$8:$C$2007,$H205))</f>
      </c>
      <c r="D205" s="9">
        <f>IF($H205="","",INDEX('Journal'!$F$8:$F$2007,$H205))</f>
      </c>
      <c r="E205" s="11">
        <f>IF($H205="","",INDEX('Journal'!$H$8:$H$2007,$H205))</f>
      </c>
      <c r="F205" s="11">
        <f>IF($H205="","",INDEX('Journal'!$I$8:$I$2007,$H205))</f>
      </c>
      <c r="G205" s="11">
        <f>IF($H205="","",N(G204)+N(E205)-N(F205))</f>
      </c>
      <c r="H205" s="10">
        <f t="array" ref="H205">IFERROR(SMALL(IF('Journal'!$D$8:$D$2007=$C$5,ROW('Journal'!$D$8:$D$2007)-7),198),"")</f>
      </c>
    </row>
    <row r="206">
      <c r="A206" s="13">
        <f>IF($H206="","",INDEX('Journal'!$A$8:$A$2007,$H206))</f>
      </c>
      <c r="B206" s="10">
        <f>IF($H206="","",INDEX('Journal'!$B$8:$B$2007,$H206))</f>
      </c>
      <c r="C206" s="9">
        <f>IF($H206="","",INDEX('Journal'!$C$8:$C$2007,$H206))</f>
      </c>
      <c r="D206" s="9">
        <f>IF($H206="","",INDEX('Journal'!$F$8:$F$2007,$H206))</f>
      </c>
      <c r="E206" s="11">
        <f>IF($H206="","",INDEX('Journal'!$H$8:$H$2007,$H206))</f>
      </c>
      <c r="F206" s="11">
        <f>IF($H206="","",INDEX('Journal'!$I$8:$I$2007,$H206))</f>
      </c>
      <c r="G206" s="11">
        <f>IF($H206="","",N(G205)+N(E206)-N(F206))</f>
      </c>
      <c r="H206" s="10">
        <f t="array" ref="H206">IFERROR(SMALL(IF('Journal'!$D$8:$D$2007=$C$5,ROW('Journal'!$D$8:$D$2007)-7),199),"")</f>
      </c>
    </row>
    <row r="207">
      <c r="A207" s="13">
        <f>IF($H207="","",INDEX('Journal'!$A$8:$A$2007,$H207))</f>
      </c>
      <c r="B207" s="10">
        <f>IF($H207="","",INDEX('Journal'!$B$8:$B$2007,$H207))</f>
      </c>
      <c r="C207" s="9">
        <f>IF($H207="","",INDEX('Journal'!$C$8:$C$2007,$H207))</f>
      </c>
      <c r="D207" s="9">
        <f>IF($H207="","",INDEX('Journal'!$F$8:$F$2007,$H207))</f>
      </c>
      <c r="E207" s="11">
        <f>IF($H207="","",INDEX('Journal'!$H$8:$H$2007,$H207))</f>
      </c>
      <c r="F207" s="11">
        <f>IF($H207="","",INDEX('Journal'!$I$8:$I$2007,$H207))</f>
      </c>
      <c r="G207" s="11">
        <f>IF($H207="","",N(G206)+N(E207)-N(F207))</f>
      </c>
      <c r="H207" s="10">
        <f t="array" ref="H207">IFERROR(SMALL(IF('Journal'!$D$8:$D$2007=$C$5,ROW('Journal'!$D$8:$D$2007)-7),200),"")</f>
      </c>
    </row>
    <row r="208">
      <c r="A208" s="13">
        <f>IF($H208="","",INDEX('Journal'!$A$8:$A$2007,$H208))</f>
      </c>
      <c r="B208" s="10">
        <f>IF($H208="","",INDEX('Journal'!$B$8:$B$2007,$H208))</f>
      </c>
      <c r="C208" s="9">
        <f>IF($H208="","",INDEX('Journal'!$C$8:$C$2007,$H208))</f>
      </c>
      <c r="D208" s="9">
        <f>IF($H208="","",INDEX('Journal'!$F$8:$F$2007,$H208))</f>
      </c>
      <c r="E208" s="11">
        <f>IF($H208="","",INDEX('Journal'!$H$8:$H$2007,$H208))</f>
      </c>
      <c r="F208" s="11">
        <f>IF($H208="","",INDEX('Journal'!$I$8:$I$2007,$H208))</f>
      </c>
      <c r="G208" s="11">
        <f>IF($H208="","",N(G207)+N(E208)-N(F208))</f>
      </c>
      <c r="H208" s="10">
        <f t="array" ref="H208">IFERROR(SMALL(IF('Journal'!$D$8:$D$2007=$C$5,ROW('Journal'!$D$8:$D$2007)-7),201),"")</f>
      </c>
    </row>
    <row r="209">
      <c r="A209" s="13">
        <f>IF($H209="","",INDEX('Journal'!$A$8:$A$2007,$H209))</f>
      </c>
      <c r="B209" s="10">
        <f>IF($H209="","",INDEX('Journal'!$B$8:$B$2007,$H209))</f>
      </c>
      <c r="C209" s="9">
        <f>IF($H209="","",INDEX('Journal'!$C$8:$C$2007,$H209))</f>
      </c>
      <c r="D209" s="9">
        <f>IF($H209="","",INDEX('Journal'!$F$8:$F$2007,$H209))</f>
      </c>
      <c r="E209" s="11">
        <f>IF($H209="","",INDEX('Journal'!$H$8:$H$2007,$H209))</f>
      </c>
      <c r="F209" s="11">
        <f>IF($H209="","",INDEX('Journal'!$I$8:$I$2007,$H209))</f>
      </c>
      <c r="G209" s="11">
        <f>IF($H209="","",N(G208)+N(E209)-N(F209))</f>
      </c>
      <c r="H209" s="10">
        <f t="array" ref="H209">IFERROR(SMALL(IF('Journal'!$D$8:$D$2007=$C$5,ROW('Journal'!$D$8:$D$2007)-7),202),"")</f>
      </c>
    </row>
    <row r="210">
      <c r="A210" s="13">
        <f>IF($H210="","",INDEX('Journal'!$A$8:$A$2007,$H210))</f>
      </c>
      <c r="B210" s="10">
        <f>IF($H210="","",INDEX('Journal'!$B$8:$B$2007,$H210))</f>
      </c>
      <c r="C210" s="9">
        <f>IF($H210="","",INDEX('Journal'!$C$8:$C$2007,$H210))</f>
      </c>
      <c r="D210" s="9">
        <f>IF($H210="","",INDEX('Journal'!$F$8:$F$2007,$H210))</f>
      </c>
      <c r="E210" s="11">
        <f>IF($H210="","",INDEX('Journal'!$H$8:$H$2007,$H210))</f>
      </c>
      <c r="F210" s="11">
        <f>IF($H210="","",INDEX('Journal'!$I$8:$I$2007,$H210))</f>
      </c>
      <c r="G210" s="11">
        <f>IF($H210="","",N(G209)+N(E210)-N(F210))</f>
      </c>
      <c r="H210" s="10">
        <f t="array" ref="H210">IFERROR(SMALL(IF('Journal'!$D$8:$D$2007=$C$5,ROW('Journal'!$D$8:$D$2007)-7),203),"")</f>
      </c>
    </row>
    <row r="211">
      <c r="A211" s="13">
        <f>IF($H211="","",INDEX('Journal'!$A$8:$A$2007,$H211))</f>
      </c>
      <c r="B211" s="10">
        <f>IF($H211="","",INDEX('Journal'!$B$8:$B$2007,$H211))</f>
      </c>
      <c r="C211" s="9">
        <f>IF($H211="","",INDEX('Journal'!$C$8:$C$2007,$H211))</f>
      </c>
      <c r="D211" s="9">
        <f>IF($H211="","",INDEX('Journal'!$F$8:$F$2007,$H211))</f>
      </c>
      <c r="E211" s="11">
        <f>IF($H211="","",INDEX('Journal'!$H$8:$H$2007,$H211))</f>
      </c>
      <c r="F211" s="11">
        <f>IF($H211="","",INDEX('Journal'!$I$8:$I$2007,$H211))</f>
      </c>
      <c r="G211" s="11">
        <f>IF($H211="","",N(G210)+N(E211)-N(F211))</f>
      </c>
      <c r="H211" s="10">
        <f t="array" ref="H211">IFERROR(SMALL(IF('Journal'!$D$8:$D$2007=$C$5,ROW('Journal'!$D$8:$D$2007)-7),204),"")</f>
      </c>
    </row>
    <row r="212">
      <c r="A212" s="13">
        <f>IF($H212="","",INDEX('Journal'!$A$8:$A$2007,$H212))</f>
      </c>
      <c r="B212" s="10">
        <f>IF($H212="","",INDEX('Journal'!$B$8:$B$2007,$H212))</f>
      </c>
      <c r="C212" s="9">
        <f>IF($H212="","",INDEX('Journal'!$C$8:$C$2007,$H212))</f>
      </c>
      <c r="D212" s="9">
        <f>IF($H212="","",INDEX('Journal'!$F$8:$F$2007,$H212))</f>
      </c>
      <c r="E212" s="11">
        <f>IF($H212="","",INDEX('Journal'!$H$8:$H$2007,$H212))</f>
      </c>
      <c r="F212" s="11">
        <f>IF($H212="","",INDEX('Journal'!$I$8:$I$2007,$H212))</f>
      </c>
      <c r="G212" s="11">
        <f>IF($H212="","",N(G211)+N(E212)-N(F212))</f>
      </c>
      <c r="H212" s="10">
        <f t="array" ref="H212">IFERROR(SMALL(IF('Journal'!$D$8:$D$2007=$C$5,ROW('Journal'!$D$8:$D$2007)-7),205),"")</f>
      </c>
    </row>
    <row r="213">
      <c r="A213" s="13">
        <f>IF($H213="","",INDEX('Journal'!$A$8:$A$2007,$H213))</f>
      </c>
      <c r="B213" s="10">
        <f>IF($H213="","",INDEX('Journal'!$B$8:$B$2007,$H213))</f>
      </c>
      <c r="C213" s="9">
        <f>IF($H213="","",INDEX('Journal'!$C$8:$C$2007,$H213))</f>
      </c>
      <c r="D213" s="9">
        <f>IF($H213="","",INDEX('Journal'!$F$8:$F$2007,$H213))</f>
      </c>
      <c r="E213" s="11">
        <f>IF($H213="","",INDEX('Journal'!$H$8:$H$2007,$H213))</f>
      </c>
      <c r="F213" s="11">
        <f>IF($H213="","",INDEX('Journal'!$I$8:$I$2007,$H213))</f>
      </c>
      <c r="G213" s="11">
        <f>IF($H213="","",N(G212)+N(E213)-N(F213))</f>
      </c>
      <c r="H213" s="10">
        <f t="array" ref="H213">IFERROR(SMALL(IF('Journal'!$D$8:$D$2007=$C$5,ROW('Journal'!$D$8:$D$2007)-7),206),"")</f>
      </c>
    </row>
    <row r="214">
      <c r="A214" s="13">
        <f>IF($H214="","",INDEX('Journal'!$A$8:$A$2007,$H214))</f>
      </c>
      <c r="B214" s="10">
        <f>IF($H214="","",INDEX('Journal'!$B$8:$B$2007,$H214))</f>
      </c>
      <c r="C214" s="9">
        <f>IF($H214="","",INDEX('Journal'!$C$8:$C$2007,$H214))</f>
      </c>
      <c r="D214" s="9">
        <f>IF($H214="","",INDEX('Journal'!$F$8:$F$2007,$H214))</f>
      </c>
      <c r="E214" s="11">
        <f>IF($H214="","",INDEX('Journal'!$H$8:$H$2007,$H214))</f>
      </c>
      <c r="F214" s="11">
        <f>IF($H214="","",INDEX('Journal'!$I$8:$I$2007,$H214))</f>
      </c>
      <c r="G214" s="11">
        <f>IF($H214="","",N(G213)+N(E214)-N(F214))</f>
      </c>
      <c r="H214" s="10">
        <f t="array" ref="H214">IFERROR(SMALL(IF('Journal'!$D$8:$D$2007=$C$5,ROW('Journal'!$D$8:$D$2007)-7),207),"")</f>
      </c>
    </row>
    <row r="215">
      <c r="A215" s="13">
        <f>IF($H215="","",INDEX('Journal'!$A$8:$A$2007,$H215))</f>
      </c>
      <c r="B215" s="10">
        <f>IF($H215="","",INDEX('Journal'!$B$8:$B$2007,$H215))</f>
      </c>
      <c r="C215" s="9">
        <f>IF($H215="","",INDEX('Journal'!$C$8:$C$2007,$H215))</f>
      </c>
      <c r="D215" s="9">
        <f>IF($H215="","",INDEX('Journal'!$F$8:$F$2007,$H215))</f>
      </c>
      <c r="E215" s="11">
        <f>IF($H215="","",INDEX('Journal'!$H$8:$H$2007,$H215))</f>
      </c>
      <c r="F215" s="11">
        <f>IF($H215="","",INDEX('Journal'!$I$8:$I$2007,$H215))</f>
      </c>
      <c r="G215" s="11">
        <f>IF($H215="","",N(G214)+N(E215)-N(F215))</f>
      </c>
      <c r="H215" s="10">
        <f t="array" ref="H215">IFERROR(SMALL(IF('Journal'!$D$8:$D$2007=$C$5,ROW('Journal'!$D$8:$D$2007)-7),208),"")</f>
      </c>
    </row>
    <row r="216">
      <c r="A216" s="13">
        <f>IF($H216="","",INDEX('Journal'!$A$8:$A$2007,$H216))</f>
      </c>
      <c r="B216" s="10">
        <f>IF($H216="","",INDEX('Journal'!$B$8:$B$2007,$H216))</f>
      </c>
      <c r="C216" s="9">
        <f>IF($H216="","",INDEX('Journal'!$C$8:$C$2007,$H216))</f>
      </c>
      <c r="D216" s="9">
        <f>IF($H216="","",INDEX('Journal'!$F$8:$F$2007,$H216))</f>
      </c>
      <c r="E216" s="11">
        <f>IF($H216="","",INDEX('Journal'!$H$8:$H$2007,$H216))</f>
      </c>
      <c r="F216" s="11">
        <f>IF($H216="","",INDEX('Journal'!$I$8:$I$2007,$H216))</f>
      </c>
      <c r="G216" s="11">
        <f>IF($H216="","",N(G215)+N(E216)-N(F216))</f>
      </c>
      <c r="H216" s="10">
        <f t="array" ref="H216">IFERROR(SMALL(IF('Journal'!$D$8:$D$2007=$C$5,ROW('Journal'!$D$8:$D$2007)-7),209),"")</f>
      </c>
    </row>
    <row r="217">
      <c r="A217" s="13">
        <f>IF($H217="","",INDEX('Journal'!$A$8:$A$2007,$H217))</f>
      </c>
      <c r="B217" s="10">
        <f>IF($H217="","",INDEX('Journal'!$B$8:$B$2007,$H217))</f>
      </c>
      <c r="C217" s="9">
        <f>IF($H217="","",INDEX('Journal'!$C$8:$C$2007,$H217))</f>
      </c>
      <c r="D217" s="9">
        <f>IF($H217="","",INDEX('Journal'!$F$8:$F$2007,$H217))</f>
      </c>
      <c r="E217" s="11">
        <f>IF($H217="","",INDEX('Journal'!$H$8:$H$2007,$H217))</f>
      </c>
      <c r="F217" s="11">
        <f>IF($H217="","",INDEX('Journal'!$I$8:$I$2007,$H217))</f>
      </c>
      <c r="G217" s="11">
        <f>IF($H217="","",N(G216)+N(E217)-N(F217))</f>
      </c>
      <c r="H217" s="10">
        <f t="array" ref="H217">IFERROR(SMALL(IF('Journal'!$D$8:$D$2007=$C$5,ROW('Journal'!$D$8:$D$2007)-7),210),"")</f>
      </c>
    </row>
    <row r="218">
      <c r="A218" s="13">
        <f>IF($H218="","",INDEX('Journal'!$A$8:$A$2007,$H218))</f>
      </c>
      <c r="B218" s="10">
        <f>IF($H218="","",INDEX('Journal'!$B$8:$B$2007,$H218))</f>
      </c>
      <c r="C218" s="9">
        <f>IF($H218="","",INDEX('Journal'!$C$8:$C$2007,$H218))</f>
      </c>
      <c r="D218" s="9">
        <f>IF($H218="","",INDEX('Journal'!$F$8:$F$2007,$H218))</f>
      </c>
      <c r="E218" s="11">
        <f>IF($H218="","",INDEX('Journal'!$H$8:$H$2007,$H218))</f>
      </c>
      <c r="F218" s="11">
        <f>IF($H218="","",INDEX('Journal'!$I$8:$I$2007,$H218))</f>
      </c>
      <c r="G218" s="11">
        <f>IF($H218="","",N(G217)+N(E218)-N(F218))</f>
      </c>
      <c r="H218" s="10">
        <f t="array" ref="H218">IFERROR(SMALL(IF('Journal'!$D$8:$D$2007=$C$5,ROW('Journal'!$D$8:$D$2007)-7),211),"")</f>
      </c>
    </row>
    <row r="219">
      <c r="A219" s="13">
        <f>IF($H219="","",INDEX('Journal'!$A$8:$A$2007,$H219))</f>
      </c>
      <c r="B219" s="10">
        <f>IF($H219="","",INDEX('Journal'!$B$8:$B$2007,$H219))</f>
      </c>
      <c r="C219" s="9">
        <f>IF($H219="","",INDEX('Journal'!$C$8:$C$2007,$H219))</f>
      </c>
      <c r="D219" s="9">
        <f>IF($H219="","",INDEX('Journal'!$F$8:$F$2007,$H219))</f>
      </c>
      <c r="E219" s="11">
        <f>IF($H219="","",INDEX('Journal'!$H$8:$H$2007,$H219))</f>
      </c>
      <c r="F219" s="11">
        <f>IF($H219="","",INDEX('Journal'!$I$8:$I$2007,$H219))</f>
      </c>
      <c r="G219" s="11">
        <f>IF($H219="","",N(G218)+N(E219)-N(F219))</f>
      </c>
      <c r="H219" s="10">
        <f t="array" ref="H219">IFERROR(SMALL(IF('Journal'!$D$8:$D$2007=$C$5,ROW('Journal'!$D$8:$D$2007)-7),212),"")</f>
      </c>
    </row>
    <row r="220">
      <c r="A220" s="13">
        <f>IF($H220="","",INDEX('Journal'!$A$8:$A$2007,$H220))</f>
      </c>
      <c r="B220" s="10">
        <f>IF($H220="","",INDEX('Journal'!$B$8:$B$2007,$H220))</f>
      </c>
      <c r="C220" s="9">
        <f>IF($H220="","",INDEX('Journal'!$C$8:$C$2007,$H220))</f>
      </c>
      <c r="D220" s="9">
        <f>IF($H220="","",INDEX('Journal'!$F$8:$F$2007,$H220))</f>
      </c>
      <c r="E220" s="11">
        <f>IF($H220="","",INDEX('Journal'!$H$8:$H$2007,$H220))</f>
      </c>
      <c r="F220" s="11">
        <f>IF($H220="","",INDEX('Journal'!$I$8:$I$2007,$H220))</f>
      </c>
      <c r="G220" s="11">
        <f>IF($H220="","",N(G219)+N(E220)-N(F220))</f>
      </c>
      <c r="H220" s="10">
        <f t="array" ref="H220">IFERROR(SMALL(IF('Journal'!$D$8:$D$2007=$C$5,ROW('Journal'!$D$8:$D$2007)-7),213),"")</f>
      </c>
    </row>
    <row r="221">
      <c r="A221" s="13">
        <f>IF($H221="","",INDEX('Journal'!$A$8:$A$2007,$H221))</f>
      </c>
      <c r="B221" s="10">
        <f>IF($H221="","",INDEX('Journal'!$B$8:$B$2007,$H221))</f>
      </c>
      <c r="C221" s="9">
        <f>IF($H221="","",INDEX('Journal'!$C$8:$C$2007,$H221))</f>
      </c>
      <c r="D221" s="9">
        <f>IF($H221="","",INDEX('Journal'!$F$8:$F$2007,$H221))</f>
      </c>
      <c r="E221" s="11">
        <f>IF($H221="","",INDEX('Journal'!$H$8:$H$2007,$H221))</f>
      </c>
      <c r="F221" s="11">
        <f>IF($H221="","",INDEX('Journal'!$I$8:$I$2007,$H221))</f>
      </c>
      <c r="G221" s="11">
        <f>IF($H221="","",N(G220)+N(E221)-N(F221))</f>
      </c>
      <c r="H221" s="10">
        <f t="array" ref="H221">IFERROR(SMALL(IF('Journal'!$D$8:$D$2007=$C$5,ROW('Journal'!$D$8:$D$2007)-7),214),"")</f>
      </c>
    </row>
    <row r="222">
      <c r="A222" s="13">
        <f>IF($H222="","",INDEX('Journal'!$A$8:$A$2007,$H222))</f>
      </c>
      <c r="B222" s="10">
        <f>IF($H222="","",INDEX('Journal'!$B$8:$B$2007,$H222))</f>
      </c>
      <c r="C222" s="9">
        <f>IF($H222="","",INDEX('Journal'!$C$8:$C$2007,$H222))</f>
      </c>
      <c r="D222" s="9">
        <f>IF($H222="","",INDEX('Journal'!$F$8:$F$2007,$H222))</f>
      </c>
      <c r="E222" s="11">
        <f>IF($H222="","",INDEX('Journal'!$H$8:$H$2007,$H222))</f>
      </c>
      <c r="F222" s="11">
        <f>IF($H222="","",INDEX('Journal'!$I$8:$I$2007,$H222))</f>
      </c>
      <c r="G222" s="11">
        <f>IF($H222="","",N(G221)+N(E222)-N(F222))</f>
      </c>
      <c r="H222" s="10">
        <f t="array" ref="H222">IFERROR(SMALL(IF('Journal'!$D$8:$D$2007=$C$5,ROW('Journal'!$D$8:$D$2007)-7),215),"")</f>
      </c>
    </row>
    <row r="223">
      <c r="A223" s="13">
        <f>IF($H223="","",INDEX('Journal'!$A$8:$A$2007,$H223))</f>
      </c>
      <c r="B223" s="10">
        <f>IF($H223="","",INDEX('Journal'!$B$8:$B$2007,$H223))</f>
      </c>
      <c r="C223" s="9">
        <f>IF($H223="","",INDEX('Journal'!$C$8:$C$2007,$H223))</f>
      </c>
      <c r="D223" s="9">
        <f>IF($H223="","",INDEX('Journal'!$F$8:$F$2007,$H223))</f>
      </c>
      <c r="E223" s="11">
        <f>IF($H223="","",INDEX('Journal'!$H$8:$H$2007,$H223))</f>
      </c>
      <c r="F223" s="11">
        <f>IF($H223="","",INDEX('Journal'!$I$8:$I$2007,$H223))</f>
      </c>
      <c r="G223" s="11">
        <f>IF($H223="","",N(G222)+N(E223)-N(F223))</f>
      </c>
      <c r="H223" s="10">
        <f t="array" ref="H223">IFERROR(SMALL(IF('Journal'!$D$8:$D$2007=$C$5,ROW('Journal'!$D$8:$D$2007)-7),216),"")</f>
      </c>
    </row>
    <row r="224">
      <c r="A224" s="13">
        <f>IF($H224="","",INDEX('Journal'!$A$8:$A$2007,$H224))</f>
      </c>
      <c r="B224" s="10">
        <f>IF($H224="","",INDEX('Journal'!$B$8:$B$2007,$H224))</f>
      </c>
      <c r="C224" s="9">
        <f>IF($H224="","",INDEX('Journal'!$C$8:$C$2007,$H224))</f>
      </c>
      <c r="D224" s="9">
        <f>IF($H224="","",INDEX('Journal'!$F$8:$F$2007,$H224))</f>
      </c>
      <c r="E224" s="11">
        <f>IF($H224="","",INDEX('Journal'!$H$8:$H$2007,$H224))</f>
      </c>
      <c r="F224" s="11">
        <f>IF($H224="","",INDEX('Journal'!$I$8:$I$2007,$H224))</f>
      </c>
      <c r="G224" s="11">
        <f>IF($H224="","",N(G223)+N(E224)-N(F224))</f>
      </c>
      <c r="H224" s="10">
        <f t="array" ref="H224">IFERROR(SMALL(IF('Journal'!$D$8:$D$2007=$C$5,ROW('Journal'!$D$8:$D$2007)-7),217),"")</f>
      </c>
    </row>
    <row r="225">
      <c r="A225" s="13">
        <f>IF($H225="","",INDEX('Journal'!$A$8:$A$2007,$H225))</f>
      </c>
      <c r="B225" s="10">
        <f>IF($H225="","",INDEX('Journal'!$B$8:$B$2007,$H225))</f>
      </c>
      <c r="C225" s="9">
        <f>IF($H225="","",INDEX('Journal'!$C$8:$C$2007,$H225))</f>
      </c>
      <c r="D225" s="9">
        <f>IF($H225="","",INDEX('Journal'!$F$8:$F$2007,$H225))</f>
      </c>
      <c r="E225" s="11">
        <f>IF($H225="","",INDEX('Journal'!$H$8:$H$2007,$H225))</f>
      </c>
      <c r="F225" s="11">
        <f>IF($H225="","",INDEX('Journal'!$I$8:$I$2007,$H225))</f>
      </c>
      <c r="G225" s="11">
        <f>IF($H225="","",N(G224)+N(E225)-N(F225))</f>
      </c>
      <c r="H225" s="10">
        <f t="array" ref="H225">IFERROR(SMALL(IF('Journal'!$D$8:$D$2007=$C$5,ROW('Journal'!$D$8:$D$2007)-7),218),"")</f>
      </c>
    </row>
    <row r="226">
      <c r="A226" s="13">
        <f>IF($H226="","",INDEX('Journal'!$A$8:$A$2007,$H226))</f>
      </c>
      <c r="B226" s="10">
        <f>IF($H226="","",INDEX('Journal'!$B$8:$B$2007,$H226))</f>
      </c>
      <c r="C226" s="9">
        <f>IF($H226="","",INDEX('Journal'!$C$8:$C$2007,$H226))</f>
      </c>
      <c r="D226" s="9">
        <f>IF($H226="","",INDEX('Journal'!$F$8:$F$2007,$H226))</f>
      </c>
      <c r="E226" s="11">
        <f>IF($H226="","",INDEX('Journal'!$H$8:$H$2007,$H226))</f>
      </c>
      <c r="F226" s="11">
        <f>IF($H226="","",INDEX('Journal'!$I$8:$I$2007,$H226))</f>
      </c>
      <c r="G226" s="11">
        <f>IF($H226="","",N(G225)+N(E226)-N(F226))</f>
      </c>
      <c r="H226" s="10">
        <f t="array" ref="H226">IFERROR(SMALL(IF('Journal'!$D$8:$D$2007=$C$5,ROW('Journal'!$D$8:$D$2007)-7),219),"")</f>
      </c>
    </row>
    <row r="227">
      <c r="A227" s="13">
        <f>IF($H227="","",INDEX('Journal'!$A$8:$A$2007,$H227))</f>
      </c>
      <c r="B227" s="10">
        <f>IF($H227="","",INDEX('Journal'!$B$8:$B$2007,$H227))</f>
      </c>
      <c r="C227" s="9">
        <f>IF($H227="","",INDEX('Journal'!$C$8:$C$2007,$H227))</f>
      </c>
      <c r="D227" s="9">
        <f>IF($H227="","",INDEX('Journal'!$F$8:$F$2007,$H227))</f>
      </c>
      <c r="E227" s="11">
        <f>IF($H227="","",INDEX('Journal'!$H$8:$H$2007,$H227))</f>
      </c>
      <c r="F227" s="11">
        <f>IF($H227="","",INDEX('Journal'!$I$8:$I$2007,$H227))</f>
      </c>
      <c r="G227" s="11">
        <f>IF($H227="","",N(G226)+N(E227)-N(F227))</f>
      </c>
      <c r="H227" s="10">
        <f t="array" ref="H227">IFERROR(SMALL(IF('Journal'!$D$8:$D$2007=$C$5,ROW('Journal'!$D$8:$D$2007)-7),220),"")</f>
      </c>
    </row>
    <row r="228">
      <c r="A228" s="13">
        <f>IF($H228="","",INDEX('Journal'!$A$8:$A$2007,$H228))</f>
      </c>
      <c r="B228" s="10">
        <f>IF($H228="","",INDEX('Journal'!$B$8:$B$2007,$H228))</f>
      </c>
      <c r="C228" s="9">
        <f>IF($H228="","",INDEX('Journal'!$C$8:$C$2007,$H228))</f>
      </c>
      <c r="D228" s="9">
        <f>IF($H228="","",INDEX('Journal'!$F$8:$F$2007,$H228))</f>
      </c>
      <c r="E228" s="11">
        <f>IF($H228="","",INDEX('Journal'!$H$8:$H$2007,$H228))</f>
      </c>
      <c r="F228" s="11">
        <f>IF($H228="","",INDEX('Journal'!$I$8:$I$2007,$H228))</f>
      </c>
      <c r="G228" s="11">
        <f>IF($H228="","",N(G227)+N(E228)-N(F228))</f>
      </c>
      <c r="H228" s="10">
        <f t="array" ref="H228">IFERROR(SMALL(IF('Journal'!$D$8:$D$2007=$C$5,ROW('Journal'!$D$8:$D$2007)-7),221),"")</f>
      </c>
    </row>
    <row r="229">
      <c r="A229" s="13">
        <f>IF($H229="","",INDEX('Journal'!$A$8:$A$2007,$H229))</f>
      </c>
      <c r="B229" s="10">
        <f>IF($H229="","",INDEX('Journal'!$B$8:$B$2007,$H229))</f>
      </c>
      <c r="C229" s="9">
        <f>IF($H229="","",INDEX('Journal'!$C$8:$C$2007,$H229))</f>
      </c>
      <c r="D229" s="9">
        <f>IF($H229="","",INDEX('Journal'!$F$8:$F$2007,$H229))</f>
      </c>
      <c r="E229" s="11">
        <f>IF($H229="","",INDEX('Journal'!$H$8:$H$2007,$H229))</f>
      </c>
      <c r="F229" s="11">
        <f>IF($H229="","",INDEX('Journal'!$I$8:$I$2007,$H229))</f>
      </c>
      <c r="G229" s="11">
        <f>IF($H229="","",N(G228)+N(E229)-N(F229))</f>
      </c>
      <c r="H229" s="10">
        <f t="array" ref="H229">IFERROR(SMALL(IF('Journal'!$D$8:$D$2007=$C$5,ROW('Journal'!$D$8:$D$2007)-7),222),"")</f>
      </c>
    </row>
    <row r="230">
      <c r="A230" s="13">
        <f>IF($H230="","",INDEX('Journal'!$A$8:$A$2007,$H230))</f>
      </c>
      <c r="B230" s="10">
        <f>IF($H230="","",INDEX('Journal'!$B$8:$B$2007,$H230))</f>
      </c>
      <c r="C230" s="9">
        <f>IF($H230="","",INDEX('Journal'!$C$8:$C$2007,$H230))</f>
      </c>
      <c r="D230" s="9">
        <f>IF($H230="","",INDEX('Journal'!$F$8:$F$2007,$H230))</f>
      </c>
      <c r="E230" s="11">
        <f>IF($H230="","",INDEX('Journal'!$H$8:$H$2007,$H230))</f>
      </c>
      <c r="F230" s="11">
        <f>IF($H230="","",INDEX('Journal'!$I$8:$I$2007,$H230))</f>
      </c>
      <c r="G230" s="11">
        <f>IF($H230="","",N(G229)+N(E230)-N(F230))</f>
      </c>
      <c r="H230" s="10">
        <f t="array" ref="H230">IFERROR(SMALL(IF('Journal'!$D$8:$D$2007=$C$5,ROW('Journal'!$D$8:$D$2007)-7),223),"")</f>
      </c>
    </row>
    <row r="231">
      <c r="A231" s="13">
        <f>IF($H231="","",INDEX('Journal'!$A$8:$A$2007,$H231))</f>
      </c>
      <c r="B231" s="10">
        <f>IF($H231="","",INDEX('Journal'!$B$8:$B$2007,$H231))</f>
      </c>
      <c r="C231" s="9">
        <f>IF($H231="","",INDEX('Journal'!$C$8:$C$2007,$H231))</f>
      </c>
      <c r="D231" s="9">
        <f>IF($H231="","",INDEX('Journal'!$F$8:$F$2007,$H231))</f>
      </c>
      <c r="E231" s="11">
        <f>IF($H231="","",INDEX('Journal'!$H$8:$H$2007,$H231))</f>
      </c>
      <c r="F231" s="11">
        <f>IF($H231="","",INDEX('Journal'!$I$8:$I$2007,$H231))</f>
      </c>
      <c r="G231" s="11">
        <f>IF($H231="","",N(G230)+N(E231)-N(F231))</f>
      </c>
      <c r="H231" s="10">
        <f t="array" ref="H231">IFERROR(SMALL(IF('Journal'!$D$8:$D$2007=$C$5,ROW('Journal'!$D$8:$D$2007)-7),224),"")</f>
      </c>
    </row>
    <row r="232">
      <c r="A232" s="13">
        <f>IF($H232="","",INDEX('Journal'!$A$8:$A$2007,$H232))</f>
      </c>
      <c r="B232" s="10">
        <f>IF($H232="","",INDEX('Journal'!$B$8:$B$2007,$H232))</f>
      </c>
      <c r="C232" s="9">
        <f>IF($H232="","",INDEX('Journal'!$C$8:$C$2007,$H232))</f>
      </c>
      <c r="D232" s="9">
        <f>IF($H232="","",INDEX('Journal'!$F$8:$F$2007,$H232))</f>
      </c>
      <c r="E232" s="11">
        <f>IF($H232="","",INDEX('Journal'!$H$8:$H$2007,$H232))</f>
      </c>
      <c r="F232" s="11">
        <f>IF($H232="","",INDEX('Journal'!$I$8:$I$2007,$H232))</f>
      </c>
      <c r="G232" s="11">
        <f>IF($H232="","",N(G231)+N(E232)-N(F232))</f>
      </c>
      <c r="H232" s="10">
        <f t="array" ref="H232">IFERROR(SMALL(IF('Journal'!$D$8:$D$2007=$C$5,ROW('Journal'!$D$8:$D$2007)-7),225),"")</f>
      </c>
    </row>
    <row r="233">
      <c r="A233" s="13">
        <f>IF($H233="","",INDEX('Journal'!$A$8:$A$2007,$H233))</f>
      </c>
      <c r="B233" s="10">
        <f>IF($H233="","",INDEX('Journal'!$B$8:$B$2007,$H233))</f>
      </c>
      <c r="C233" s="9">
        <f>IF($H233="","",INDEX('Journal'!$C$8:$C$2007,$H233))</f>
      </c>
      <c r="D233" s="9">
        <f>IF($H233="","",INDEX('Journal'!$F$8:$F$2007,$H233))</f>
      </c>
      <c r="E233" s="11">
        <f>IF($H233="","",INDEX('Journal'!$H$8:$H$2007,$H233))</f>
      </c>
      <c r="F233" s="11">
        <f>IF($H233="","",INDEX('Journal'!$I$8:$I$2007,$H233))</f>
      </c>
      <c r="G233" s="11">
        <f>IF($H233="","",N(G232)+N(E233)-N(F233))</f>
      </c>
      <c r="H233" s="10">
        <f t="array" ref="H233">IFERROR(SMALL(IF('Journal'!$D$8:$D$2007=$C$5,ROW('Journal'!$D$8:$D$2007)-7),226),"")</f>
      </c>
    </row>
    <row r="234">
      <c r="A234" s="13">
        <f>IF($H234="","",INDEX('Journal'!$A$8:$A$2007,$H234))</f>
      </c>
      <c r="B234" s="10">
        <f>IF($H234="","",INDEX('Journal'!$B$8:$B$2007,$H234))</f>
      </c>
      <c r="C234" s="9">
        <f>IF($H234="","",INDEX('Journal'!$C$8:$C$2007,$H234))</f>
      </c>
      <c r="D234" s="9">
        <f>IF($H234="","",INDEX('Journal'!$F$8:$F$2007,$H234))</f>
      </c>
      <c r="E234" s="11">
        <f>IF($H234="","",INDEX('Journal'!$H$8:$H$2007,$H234))</f>
      </c>
      <c r="F234" s="11">
        <f>IF($H234="","",INDEX('Journal'!$I$8:$I$2007,$H234))</f>
      </c>
      <c r="G234" s="11">
        <f>IF($H234="","",N(G233)+N(E234)-N(F234))</f>
      </c>
      <c r="H234" s="10">
        <f t="array" ref="H234">IFERROR(SMALL(IF('Journal'!$D$8:$D$2007=$C$5,ROW('Journal'!$D$8:$D$2007)-7),227),"")</f>
      </c>
    </row>
    <row r="235">
      <c r="A235" s="13">
        <f>IF($H235="","",INDEX('Journal'!$A$8:$A$2007,$H235))</f>
      </c>
      <c r="B235" s="10">
        <f>IF($H235="","",INDEX('Journal'!$B$8:$B$2007,$H235))</f>
      </c>
      <c r="C235" s="9">
        <f>IF($H235="","",INDEX('Journal'!$C$8:$C$2007,$H235))</f>
      </c>
      <c r="D235" s="9">
        <f>IF($H235="","",INDEX('Journal'!$F$8:$F$2007,$H235))</f>
      </c>
      <c r="E235" s="11">
        <f>IF($H235="","",INDEX('Journal'!$H$8:$H$2007,$H235))</f>
      </c>
      <c r="F235" s="11">
        <f>IF($H235="","",INDEX('Journal'!$I$8:$I$2007,$H235))</f>
      </c>
      <c r="G235" s="11">
        <f>IF($H235="","",N(G234)+N(E235)-N(F235))</f>
      </c>
      <c r="H235" s="10">
        <f t="array" ref="H235">IFERROR(SMALL(IF('Journal'!$D$8:$D$2007=$C$5,ROW('Journal'!$D$8:$D$2007)-7),228),"")</f>
      </c>
    </row>
    <row r="236">
      <c r="A236" s="13">
        <f>IF($H236="","",INDEX('Journal'!$A$8:$A$2007,$H236))</f>
      </c>
      <c r="B236" s="10">
        <f>IF($H236="","",INDEX('Journal'!$B$8:$B$2007,$H236))</f>
      </c>
      <c r="C236" s="9">
        <f>IF($H236="","",INDEX('Journal'!$C$8:$C$2007,$H236))</f>
      </c>
      <c r="D236" s="9">
        <f>IF($H236="","",INDEX('Journal'!$F$8:$F$2007,$H236))</f>
      </c>
      <c r="E236" s="11">
        <f>IF($H236="","",INDEX('Journal'!$H$8:$H$2007,$H236))</f>
      </c>
      <c r="F236" s="11">
        <f>IF($H236="","",INDEX('Journal'!$I$8:$I$2007,$H236))</f>
      </c>
      <c r="G236" s="11">
        <f>IF($H236="","",N(G235)+N(E236)-N(F236))</f>
      </c>
      <c r="H236" s="10">
        <f t="array" ref="H236">IFERROR(SMALL(IF('Journal'!$D$8:$D$2007=$C$5,ROW('Journal'!$D$8:$D$2007)-7),229),"")</f>
      </c>
    </row>
    <row r="237">
      <c r="A237" s="13">
        <f>IF($H237="","",INDEX('Journal'!$A$8:$A$2007,$H237))</f>
      </c>
      <c r="B237" s="10">
        <f>IF($H237="","",INDEX('Journal'!$B$8:$B$2007,$H237))</f>
      </c>
      <c r="C237" s="9">
        <f>IF($H237="","",INDEX('Journal'!$C$8:$C$2007,$H237))</f>
      </c>
      <c r="D237" s="9">
        <f>IF($H237="","",INDEX('Journal'!$F$8:$F$2007,$H237))</f>
      </c>
      <c r="E237" s="11">
        <f>IF($H237="","",INDEX('Journal'!$H$8:$H$2007,$H237))</f>
      </c>
      <c r="F237" s="11">
        <f>IF($H237="","",INDEX('Journal'!$I$8:$I$2007,$H237))</f>
      </c>
      <c r="G237" s="11">
        <f>IF($H237="","",N(G236)+N(E237)-N(F237))</f>
      </c>
      <c r="H237" s="10">
        <f t="array" ref="H237">IFERROR(SMALL(IF('Journal'!$D$8:$D$2007=$C$5,ROW('Journal'!$D$8:$D$2007)-7),230),"")</f>
      </c>
    </row>
    <row r="238">
      <c r="A238" s="13">
        <f>IF($H238="","",INDEX('Journal'!$A$8:$A$2007,$H238))</f>
      </c>
      <c r="B238" s="10">
        <f>IF($H238="","",INDEX('Journal'!$B$8:$B$2007,$H238))</f>
      </c>
      <c r="C238" s="9">
        <f>IF($H238="","",INDEX('Journal'!$C$8:$C$2007,$H238))</f>
      </c>
      <c r="D238" s="9">
        <f>IF($H238="","",INDEX('Journal'!$F$8:$F$2007,$H238))</f>
      </c>
      <c r="E238" s="11">
        <f>IF($H238="","",INDEX('Journal'!$H$8:$H$2007,$H238))</f>
      </c>
      <c r="F238" s="11">
        <f>IF($H238="","",INDEX('Journal'!$I$8:$I$2007,$H238))</f>
      </c>
      <c r="G238" s="11">
        <f>IF($H238="","",N(G237)+N(E238)-N(F238))</f>
      </c>
      <c r="H238" s="10">
        <f t="array" ref="H238">IFERROR(SMALL(IF('Journal'!$D$8:$D$2007=$C$5,ROW('Journal'!$D$8:$D$2007)-7),231),"")</f>
      </c>
    </row>
    <row r="239">
      <c r="A239" s="13">
        <f>IF($H239="","",INDEX('Journal'!$A$8:$A$2007,$H239))</f>
      </c>
      <c r="B239" s="10">
        <f>IF($H239="","",INDEX('Journal'!$B$8:$B$2007,$H239))</f>
      </c>
      <c r="C239" s="9">
        <f>IF($H239="","",INDEX('Journal'!$C$8:$C$2007,$H239))</f>
      </c>
      <c r="D239" s="9">
        <f>IF($H239="","",INDEX('Journal'!$F$8:$F$2007,$H239))</f>
      </c>
      <c r="E239" s="11">
        <f>IF($H239="","",INDEX('Journal'!$H$8:$H$2007,$H239))</f>
      </c>
      <c r="F239" s="11">
        <f>IF($H239="","",INDEX('Journal'!$I$8:$I$2007,$H239))</f>
      </c>
      <c r="G239" s="11">
        <f>IF($H239="","",N(G238)+N(E239)-N(F239))</f>
      </c>
      <c r="H239" s="10">
        <f t="array" ref="H239">IFERROR(SMALL(IF('Journal'!$D$8:$D$2007=$C$5,ROW('Journal'!$D$8:$D$2007)-7),232),"")</f>
      </c>
    </row>
    <row r="240">
      <c r="A240" s="13">
        <f>IF($H240="","",INDEX('Journal'!$A$8:$A$2007,$H240))</f>
      </c>
      <c r="B240" s="10">
        <f>IF($H240="","",INDEX('Journal'!$B$8:$B$2007,$H240))</f>
      </c>
      <c r="C240" s="9">
        <f>IF($H240="","",INDEX('Journal'!$C$8:$C$2007,$H240))</f>
      </c>
      <c r="D240" s="9">
        <f>IF($H240="","",INDEX('Journal'!$F$8:$F$2007,$H240))</f>
      </c>
      <c r="E240" s="11">
        <f>IF($H240="","",INDEX('Journal'!$H$8:$H$2007,$H240))</f>
      </c>
      <c r="F240" s="11">
        <f>IF($H240="","",INDEX('Journal'!$I$8:$I$2007,$H240))</f>
      </c>
      <c r="G240" s="11">
        <f>IF($H240="","",N(G239)+N(E240)-N(F240))</f>
      </c>
      <c r="H240" s="10">
        <f t="array" ref="H240">IFERROR(SMALL(IF('Journal'!$D$8:$D$2007=$C$5,ROW('Journal'!$D$8:$D$2007)-7),233),"")</f>
      </c>
    </row>
    <row r="241">
      <c r="A241" s="13">
        <f>IF($H241="","",INDEX('Journal'!$A$8:$A$2007,$H241))</f>
      </c>
      <c r="B241" s="10">
        <f>IF($H241="","",INDEX('Journal'!$B$8:$B$2007,$H241))</f>
      </c>
      <c r="C241" s="9">
        <f>IF($H241="","",INDEX('Journal'!$C$8:$C$2007,$H241))</f>
      </c>
      <c r="D241" s="9">
        <f>IF($H241="","",INDEX('Journal'!$F$8:$F$2007,$H241))</f>
      </c>
      <c r="E241" s="11">
        <f>IF($H241="","",INDEX('Journal'!$H$8:$H$2007,$H241))</f>
      </c>
      <c r="F241" s="11">
        <f>IF($H241="","",INDEX('Journal'!$I$8:$I$2007,$H241))</f>
      </c>
      <c r="G241" s="11">
        <f>IF($H241="","",N(G240)+N(E241)-N(F241))</f>
      </c>
      <c r="H241" s="10">
        <f t="array" ref="H241">IFERROR(SMALL(IF('Journal'!$D$8:$D$2007=$C$5,ROW('Journal'!$D$8:$D$2007)-7),234),"")</f>
      </c>
    </row>
    <row r="242">
      <c r="A242" s="13">
        <f>IF($H242="","",INDEX('Journal'!$A$8:$A$2007,$H242))</f>
      </c>
      <c r="B242" s="10">
        <f>IF($H242="","",INDEX('Journal'!$B$8:$B$2007,$H242))</f>
      </c>
      <c r="C242" s="9">
        <f>IF($H242="","",INDEX('Journal'!$C$8:$C$2007,$H242))</f>
      </c>
      <c r="D242" s="9">
        <f>IF($H242="","",INDEX('Journal'!$F$8:$F$2007,$H242))</f>
      </c>
      <c r="E242" s="11">
        <f>IF($H242="","",INDEX('Journal'!$H$8:$H$2007,$H242))</f>
      </c>
      <c r="F242" s="11">
        <f>IF($H242="","",INDEX('Journal'!$I$8:$I$2007,$H242))</f>
      </c>
      <c r="G242" s="11">
        <f>IF($H242="","",N(G241)+N(E242)-N(F242))</f>
      </c>
      <c r="H242" s="10">
        <f t="array" ref="H242">IFERROR(SMALL(IF('Journal'!$D$8:$D$2007=$C$5,ROW('Journal'!$D$8:$D$2007)-7),235),"")</f>
      </c>
    </row>
    <row r="243">
      <c r="A243" s="13">
        <f>IF($H243="","",INDEX('Journal'!$A$8:$A$2007,$H243))</f>
      </c>
      <c r="B243" s="10">
        <f>IF($H243="","",INDEX('Journal'!$B$8:$B$2007,$H243))</f>
      </c>
      <c r="C243" s="9">
        <f>IF($H243="","",INDEX('Journal'!$C$8:$C$2007,$H243))</f>
      </c>
      <c r="D243" s="9">
        <f>IF($H243="","",INDEX('Journal'!$F$8:$F$2007,$H243))</f>
      </c>
      <c r="E243" s="11">
        <f>IF($H243="","",INDEX('Journal'!$H$8:$H$2007,$H243))</f>
      </c>
      <c r="F243" s="11">
        <f>IF($H243="","",INDEX('Journal'!$I$8:$I$2007,$H243))</f>
      </c>
      <c r="G243" s="11">
        <f>IF($H243="","",N(G242)+N(E243)-N(F243))</f>
      </c>
      <c r="H243" s="10">
        <f t="array" ref="H243">IFERROR(SMALL(IF('Journal'!$D$8:$D$2007=$C$5,ROW('Journal'!$D$8:$D$2007)-7),236),"")</f>
      </c>
    </row>
    <row r="244">
      <c r="A244" s="13">
        <f>IF($H244="","",INDEX('Journal'!$A$8:$A$2007,$H244))</f>
      </c>
      <c r="B244" s="10">
        <f>IF($H244="","",INDEX('Journal'!$B$8:$B$2007,$H244))</f>
      </c>
      <c r="C244" s="9">
        <f>IF($H244="","",INDEX('Journal'!$C$8:$C$2007,$H244))</f>
      </c>
      <c r="D244" s="9">
        <f>IF($H244="","",INDEX('Journal'!$F$8:$F$2007,$H244))</f>
      </c>
      <c r="E244" s="11">
        <f>IF($H244="","",INDEX('Journal'!$H$8:$H$2007,$H244))</f>
      </c>
      <c r="F244" s="11">
        <f>IF($H244="","",INDEX('Journal'!$I$8:$I$2007,$H244))</f>
      </c>
      <c r="G244" s="11">
        <f>IF($H244="","",N(G243)+N(E244)-N(F244))</f>
      </c>
      <c r="H244" s="10">
        <f t="array" ref="H244">IFERROR(SMALL(IF('Journal'!$D$8:$D$2007=$C$5,ROW('Journal'!$D$8:$D$2007)-7),237),"")</f>
      </c>
    </row>
    <row r="245">
      <c r="A245" s="13">
        <f>IF($H245="","",INDEX('Journal'!$A$8:$A$2007,$H245))</f>
      </c>
      <c r="B245" s="10">
        <f>IF($H245="","",INDEX('Journal'!$B$8:$B$2007,$H245))</f>
      </c>
      <c r="C245" s="9">
        <f>IF($H245="","",INDEX('Journal'!$C$8:$C$2007,$H245))</f>
      </c>
      <c r="D245" s="9">
        <f>IF($H245="","",INDEX('Journal'!$F$8:$F$2007,$H245))</f>
      </c>
      <c r="E245" s="11">
        <f>IF($H245="","",INDEX('Journal'!$H$8:$H$2007,$H245))</f>
      </c>
      <c r="F245" s="11">
        <f>IF($H245="","",INDEX('Journal'!$I$8:$I$2007,$H245))</f>
      </c>
      <c r="G245" s="11">
        <f>IF($H245="","",N(G244)+N(E245)-N(F245))</f>
      </c>
      <c r="H245" s="10">
        <f t="array" ref="H245">IFERROR(SMALL(IF('Journal'!$D$8:$D$2007=$C$5,ROW('Journal'!$D$8:$D$2007)-7),238),"")</f>
      </c>
    </row>
    <row r="246">
      <c r="A246" s="13">
        <f>IF($H246="","",INDEX('Journal'!$A$8:$A$2007,$H246))</f>
      </c>
      <c r="B246" s="10">
        <f>IF($H246="","",INDEX('Journal'!$B$8:$B$2007,$H246))</f>
      </c>
      <c r="C246" s="9">
        <f>IF($H246="","",INDEX('Journal'!$C$8:$C$2007,$H246))</f>
      </c>
      <c r="D246" s="9">
        <f>IF($H246="","",INDEX('Journal'!$F$8:$F$2007,$H246))</f>
      </c>
      <c r="E246" s="11">
        <f>IF($H246="","",INDEX('Journal'!$H$8:$H$2007,$H246))</f>
      </c>
      <c r="F246" s="11">
        <f>IF($H246="","",INDEX('Journal'!$I$8:$I$2007,$H246))</f>
      </c>
      <c r="G246" s="11">
        <f>IF($H246="","",N(G245)+N(E246)-N(F246))</f>
      </c>
      <c r="H246" s="10">
        <f t="array" ref="H246">IFERROR(SMALL(IF('Journal'!$D$8:$D$2007=$C$5,ROW('Journal'!$D$8:$D$2007)-7),239),"")</f>
      </c>
    </row>
    <row r="247">
      <c r="A247" s="13">
        <f>IF($H247="","",INDEX('Journal'!$A$8:$A$2007,$H247))</f>
      </c>
      <c r="B247" s="10">
        <f>IF($H247="","",INDEX('Journal'!$B$8:$B$2007,$H247))</f>
      </c>
      <c r="C247" s="9">
        <f>IF($H247="","",INDEX('Journal'!$C$8:$C$2007,$H247))</f>
      </c>
      <c r="D247" s="9">
        <f>IF($H247="","",INDEX('Journal'!$F$8:$F$2007,$H247))</f>
      </c>
      <c r="E247" s="11">
        <f>IF($H247="","",INDEX('Journal'!$H$8:$H$2007,$H247))</f>
      </c>
      <c r="F247" s="11">
        <f>IF($H247="","",INDEX('Journal'!$I$8:$I$2007,$H247))</f>
      </c>
      <c r="G247" s="11">
        <f>IF($H247="","",N(G246)+N(E247)-N(F247))</f>
      </c>
      <c r="H247" s="10">
        <f t="array" ref="H247">IFERROR(SMALL(IF('Journal'!$D$8:$D$2007=$C$5,ROW('Journal'!$D$8:$D$2007)-7),240),"")</f>
      </c>
    </row>
    <row r="248">
      <c r="A248" s="13">
        <f>IF($H248="","",INDEX('Journal'!$A$8:$A$2007,$H248))</f>
      </c>
      <c r="B248" s="10">
        <f>IF($H248="","",INDEX('Journal'!$B$8:$B$2007,$H248))</f>
      </c>
      <c r="C248" s="9">
        <f>IF($H248="","",INDEX('Journal'!$C$8:$C$2007,$H248))</f>
      </c>
      <c r="D248" s="9">
        <f>IF($H248="","",INDEX('Journal'!$F$8:$F$2007,$H248))</f>
      </c>
      <c r="E248" s="11">
        <f>IF($H248="","",INDEX('Journal'!$H$8:$H$2007,$H248))</f>
      </c>
      <c r="F248" s="11">
        <f>IF($H248="","",INDEX('Journal'!$I$8:$I$2007,$H248))</f>
      </c>
      <c r="G248" s="11">
        <f>IF($H248="","",N(G247)+N(E248)-N(F248))</f>
      </c>
      <c r="H248" s="10">
        <f t="array" ref="H248">IFERROR(SMALL(IF('Journal'!$D$8:$D$2007=$C$5,ROW('Journal'!$D$8:$D$2007)-7),241),"")</f>
      </c>
    </row>
    <row r="249">
      <c r="A249" s="13">
        <f>IF($H249="","",INDEX('Journal'!$A$8:$A$2007,$H249))</f>
      </c>
      <c r="B249" s="10">
        <f>IF($H249="","",INDEX('Journal'!$B$8:$B$2007,$H249))</f>
      </c>
      <c r="C249" s="9">
        <f>IF($H249="","",INDEX('Journal'!$C$8:$C$2007,$H249))</f>
      </c>
      <c r="D249" s="9">
        <f>IF($H249="","",INDEX('Journal'!$F$8:$F$2007,$H249))</f>
      </c>
      <c r="E249" s="11">
        <f>IF($H249="","",INDEX('Journal'!$H$8:$H$2007,$H249))</f>
      </c>
      <c r="F249" s="11">
        <f>IF($H249="","",INDEX('Journal'!$I$8:$I$2007,$H249))</f>
      </c>
      <c r="G249" s="11">
        <f>IF($H249="","",N(G248)+N(E249)-N(F249))</f>
      </c>
      <c r="H249" s="10">
        <f t="array" ref="H249">IFERROR(SMALL(IF('Journal'!$D$8:$D$2007=$C$5,ROW('Journal'!$D$8:$D$2007)-7),242),"")</f>
      </c>
    </row>
    <row r="250">
      <c r="A250" s="13">
        <f>IF($H250="","",INDEX('Journal'!$A$8:$A$2007,$H250))</f>
      </c>
      <c r="B250" s="10">
        <f>IF($H250="","",INDEX('Journal'!$B$8:$B$2007,$H250))</f>
      </c>
      <c r="C250" s="9">
        <f>IF($H250="","",INDEX('Journal'!$C$8:$C$2007,$H250))</f>
      </c>
      <c r="D250" s="9">
        <f>IF($H250="","",INDEX('Journal'!$F$8:$F$2007,$H250))</f>
      </c>
      <c r="E250" s="11">
        <f>IF($H250="","",INDEX('Journal'!$H$8:$H$2007,$H250))</f>
      </c>
      <c r="F250" s="11">
        <f>IF($H250="","",INDEX('Journal'!$I$8:$I$2007,$H250))</f>
      </c>
      <c r="G250" s="11">
        <f>IF($H250="","",N(G249)+N(E250)-N(F250))</f>
      </c>
      <c r="H250" s="10">
        <f t="array" ref="H250">IFERROR(SMALL(IF('Journal'!$D$8:$D$2007=$C$5,ROW('Journal'!$D$8:$D$2007)-7),243),"")</f>
      </c>
    </row>
    <row r="251">
      <c r="A251" s="13">
        <f>IF($H251="","",INDEX('Journal'!$A$8:$A$2007,$H251))</f>
      </c>
      <c r="B251" s="10">
        <f>IF($H251="","",INDEX('Journal'!$B$8:$B$2007,$H251))</f>
      </c>
      <c r="C251" s="9">
        <f>IF($H251="","",INDEX('Journal'!$C$8:$C$2007,$H251))</f>
      </c>
      <c r="D251" s="9">
        <f>IF($H251="","",INDEX('Journal'!$F$8:$F$2007,$H251))</f>
      </c>
      <c r="E251" s="11">
        <f>IF($H251="","",INDEX('Journal'!$H$8:$H$2007,$H251))</f>
      </c>
      <c r="F251" s="11">
        <f>IF($H251="","",INDEX('Journal'!$I$8:$I$2007,$H251))</f>
      </c>
      <c r="G251" s="11">
        <f>IF($H251="","",N(G250)+N(E251)-N(F251))</f>
      </c>
      <c r="H251" s="10">
        <f t="array" ref="H251">IFERROR(SMALL(IF('Journal'!$D$8:$D$2007=$C$5,ROW('Journal'!$D$8:$D$2007)-7),244),"")</f>
      </c>
    </row>
    <row r="252">
      <c r="A252" s="13">
        <f>IF($H252="","",INDEX('Journal'!$A$8:$A$2007,$H252))</f>
      </c>
      <c r="B252" s="10">
        <f>IF($H252="","",INDEX('Journal'!$B$8:$B$2007,$H252))</f>
      </c>
      <c r="C252" s="9">
        <f>IF($H252="","",INDEX('Journal'!$C$8:$C$2007,$H252))</f>
      </c>
      <c r="D252" s="9">
        <f>IF($H252="","",INDEX('Journal'!$F$8:$F$2007,$H252))</f>
      </c>
      <c r="E252" s="11">
        <f>IF($H252="","",INDEX('Journal'!$H$8:$H$2007,$H252))</f>
      </c>
      <c r="F252" s="11">
        <f>IF($H252="","",INDEX('Journal'!$I$8:$I$2007,$H252))</f>
      </c>
      <c r="G252" s="11">
        <f>IF($H252="","",N(G251)+N(E252)-N(F252))</f>
      </c>
      <c r="H252" s="10">
        <f t="array" ref="H252">IFERROR(SMALL(IF('Journal'!$D$8:$D$2007=$C$5,ROW('Journal'!$D$8:$D$2007)-7),245),"")</f>
      </c>
    </row>
    <row r="253">
      <c r="A253" s="13">
        <f>IF($H253="","",INDEX('Journal'!$A$8:$A$2007,$H253))</f>
      </c>
      <c r="B253" s="10">
        <f>IF($H253="","",INDEX('Journal'!$B$8:$B$2007,$H253))</f>
      </c>
      <c r="C253" s="9">
        <f>IF($H253="","",INDEX('Journal'!$C$8:$C$2007,$H253))</f>
      </c>
      <c r="D253" s="9">
        <f>IF($H253="","",INDEX('Journal'!$F$8:$F$2007,$H253))</f>
      </c>
      <c r="E253" s="11">
        <f>IF($H253="","",INDEX('Journal'!$H$8:$H$2007,$H253))</f>
      </c>
      <c r="F253" s="11">
        <f>IF($H253="","",INDEX('Journal'!$I$8:$I$2007,$H253))</f>
      </c>
      <c r="G253" s="11">
        <f>IF($H253="","",N(G252)+N(E253)-N(F253))</f>
      </c>
      <c r="H253" s="10">
        <f t="array" ref="H253">IFERROR(SMALL(IF('Journal'!$D$8:$D$2007=$C$5,ROW('Journal'!$D$8:$D$2007)-7),246),"")</f>
      </c>
    </row>
    <row r="254">
      <c r="A254" s="13">
        <f>IF($H254="","",INDEX('Journal'!$A$8:$A$2007,$H254))</f>
      </c>
      <c r="B254" s="10">
        <f>IF($H254="","",INDEX('Journal'!$B$8:$B$2007,$H254))</f>
      </c>
      <c r="C254" s="9">
        <f>IF($H254="","",INDEX('Journal'!$C$8:$C$2007,$H254))</f>
      </c>
      <c r="D254" s="9">
        <f>IF($H254="","",INDEX('Journal'!$F$8:$F$2007,$H254))</f>
      </c>
      <c r="E254" s="11">
        <f>IF($H254="","",INDEX('Journal'!$H$8:$H$2007,$H254))</f>
      </c>
      <c r="F254" s="11">
        <f>IF($H254="","",INDEX('Journal'!$I$8:$I$2007,$H254))</f>
      </c>
      <c r="G254" s="11">
        <f>IF($H254="","",N(G253)+N(E254)-N(F254))</f>
      </c>
      <c r="H254" s="10">
        <f t="array" ref="H254">IFERROR(SMALL(IF('Journal'!$D$8:$D$2007=$C$5,ROW('Journal'!$D$8:$D$2007)-7),247),"")</f>
      </c>
    </row>
    <row r="255">
      <c r="A255" s="13">
        <f>IF($H255="","",INDEX('Journal'!$A$8:$A$2007,$H255))</f>
      </c>
      <c r="B255" s="10">
        <f>IF($H255="","",INDEX('Journal'!$B$8:$B$2007,$H255))</f>
      </c>
      <c r="C255" s="9">
        <f>IF($H255="","",INDEX('Journal'!$C$8:$C$2007,$H255))</f>
      </c>
      <c r="D255" s="9">
        <f>IF($H255="","",INDEX('Journal'!$F$8:$F$2007,$H255))</f>
      </c>
      <c r="E255" s="11">
        <f>IF($H255="","",INDEX('Journal'!$H$8:$H$2007,$H255))</f>
      </c>
      <c r="F255" s="11">
        <f>IF($H255="","",INDEX('Journal'!$I$8:$I$2007,$H255))</f>
      </c>
      <c r="G255" s="11">
        <f>IF($H255="","",N(G254)+N(E255)-N(F255))</f>
      </c>
      <c r="H255" s="10">
        <f t="array" ref="H255">IFERROR(SMALL(IF('Journal'!$D$8:$D$2007=$C$5,ROW('Journal'!$D$8:$D$2007)-7),248),"")</f>
      </c>
    </row>
    <row r="256">
      <c r="A256" s="13">
        <f>IF($H256="","",INDEX('Journal'!$A$8:$A$2007,$H256))</f>
      </c>
      <c r="B256" s="10">
        <f>IF($H256="","",INDEX('Journal'!$B$8:$B$2007,$H256))</f>
      </c>
      <c r="C256" s="9">
        <f>IF($H256="","",INDEX('Journal'!$C$8:$C$2007,$H256))</f>
      </c>
      <c r="D256" s="9">
        <f>IF($H256="","",INDEX('Journal'!$F$8:$F$2007,$H256))</f>
      </c>
      <c r="E256" s="11">
        <f>IF($H256="","",INDEX('Journal'!$H$8:$H$2007,$H256))</f>
      </c>
      <c r="F256" s="11">
        <f>IF($H256="","",INDEX('Journal'!$I$8:$I$2007,$H256))</f>
      </c>
      <c r="G256" s="11">
        <f>IF($H256="","",N(G255)+N(E256)-N(F256))</f>
      </c>
      <c r="H256" s="10">
        <f t="array" ref="H256">IFERROR(SMALL(IF('Journal'!$D$8:$D$2007=$C$5,ROW('Journal'!$D$8:$D$2007)-7),249),"")</f>
      </c>
    </row>
    <row r="257">
      <c r="A257" s="13">
        <f>IF($H257="","",INDEX('Journal'!$A$8:$A$2007,$H257))</f>
      </c>
      <c r="B257" s="10">
        <f>IF($H257="","",INDEX('Journal'!$B$8:$B$2007,$H257))</f>
      </c>
      <c r="C257" s="9">
        <f>IF($H257="","",INDEX('Journal'!$C$8:$C$2007,$H257))</f>
      </c>
      <c r="D257" s="9">
        <f>IF($H257="","",INDEX('Journal'!$F$8:$F$2007,$H257))</f>
      </c>
      <c r="E257" s="11">
        <f>IF($H257="","",INDEX('Journal'!$H$8:$H$2007,$H257))</f>
      </c>
      <c r="F257" s="11">
        <f>IF($H257="","",INDEX('Journal'!$I$8:$I$2007,$H257))</f>
      </c>
      <c r="G257" s="11">
        <f>IF($H257="","",N(G256)+N(E257)-N(F257))</f>
      </c>
      <c r="H257" s="10">
        <f t="array" ref="H257">IFERROR(SMALL(IF('Journal'!$D$8:$D$2007=$C$5,ROW('Journal'!$D$8:$D$2007)-7),250),"")</f>
      </c>
    </row>
    <row r="258">
      <c r="A258" s="13">
        <f>IF($H258="","",INDEX('Journal'!$A$8:$A$2007,$H258))</f>
      </c>
      <c r="B258" s="10">
        <f>IF($H258="","",INDEX('Journal'!$B$8:$B$2007,$H258))</f>
      </c>
      <c r="C258" s="9">
        <f>IF($H258="","",INDEX('Journal'!$C$8:$C$2007,$H258))</f>
      </c>
      <c r="D258" s="9">
        <f>IF($H258="","",INDEX('Journal'!$F$8:$F$2007,$H258))</f>
      </c>
      <c r="E258" s="11">
        <f>IF($H258="","",INDEX('Journal'!$H$8:$H$2007,$H258))</f>
      </c>
      <c r="F258" s="11">
        <f>IF($H258="","",INDEX('Journal'!$I$8:$I$2007,$H258))</f>
      </c>
      <c r="G258" s="11">
        <f>IF($H258="","",N(G257)+N(E258)-N(F258))</f>
      </c>
      <c r="H258" s="10">
        <f t="array" ref="H258">IFERROR(SMALL(IF('Journal'!$D$8:$D$2007=$C$5,ROW('Journal'!$D$8:$D$2007)-7),251),"")</f>
      </c>
    </row>
    <row r="259">
      <c r="A259" s="13">
        <f>IF($H259="","",INDEX('Journal'!$A$8:$A$2007,$H259))</f>
      </c>
      <c r="B259" s="10">
        <f>IF($H259="","",INDEX('Journal'!$B$8:$B$2007,$H259))</f>
      </c>
      <c r="C259" s="9">
        <f>IF($H259="","",INDEX('Journal'!$C$8:$C$2007,$H259))</f>
      </c>
      <c r="D259" s="9">
        <f>IF($H259="","",INDEX('Journal'!$F$8:$F$2007,$H259))</f>
      </c>
      <c r="E259" s="11">
        <f>IF($H259="","",INDEX('Journal'!$H$8:$H$2007,$H259))</f>
      </c>
      <c r="F259" s="11">
        <f>IF($H259="","",INDEX('Journal'!$I$8:$I$2007,$H259))</f>
      </c>
      <c r="G259" s="11">
        <f>IF($H259="","",N(G258)+N(E259)-N(F259))</f>
      </c>
      <c r="H259" s="10">
        <f t="array" ref="H259">IFERROR(SMALL(IF('Journal'!$D$8:$D$2007=$C$5,ROW('Journal'!$D$8:$D$2007)-7),252),"")</f>
      </c>
    </row>
    <row r="260">
      <c r="A260" s="13">
        <f>IF($H260="","",INDEX('Journal'!$A$8:$A$2007,$H260))</f>
      </c>
      <c r="B260" s="10">
        <f>IF($H260="","",INDEX('Journal'!$B$8:$B$2007,$H260))</f>
      </c>
      <c r="C260" s="9">
        <f>IF($H260="","",INDEX('Journal'!$C$8:$C$2007,$H260))</f>
      </c>
      <c r="D260" s="9">
        <f>IF($H260="","",INDEX('Journal'!$F$8:$F$2007,$H260))</f>
      </c>
      <c r="E260" s="11">
        <f>IF($H260="","",INDEX('Journal'!$H$8:$H$2007,$H260))</f>
      </c>
      <c r="F260" s="11">
        <f>IF($H260="","",INDEX('Journal'!$I$8:$I$2007,$H260))</f>
      </c>
      <c r="G260" s="11">
        <f>IF($H260="","",N(G259)+N(E260)-N(F260))</f>
      </c>
      <c r="H260" s="10">
        <f t="array" ref="H260">IFERROR(SMALL(IF('Journal'!$D$8:$D$2007=$C$5,ROW('Journal'!$D$8:$D$2007)-7),253),"")</f>
      </c>
    </row>
    <row r="261">
      <c r="A261" s="13">
        <f>IF($H261="","",INDEX('Journal'!$A$8:$A$2007,$H261))</f>
      </c>
      <c r="B261" s="10">
        <f>IF($H261="","",INDEX('Journal'!$B$8:$B$2007,$H261))</f>
      </c>
      <c r="C261" s="9">
        <f>IF($H261="","",INDEX('Journal'!$C$8:$C$2007,$H261))</f>
      </c>
      <c r="D261" s="9">
        <f>IF($H261="","",INDEX('Journal'!$F$8:$F$2007,$H261))</f>
      </c>
      <c r="E261" s="11">
        <f>IF($H261="","",INDEX('Journal'!$H$8:$H$2007,$H261))</f>
      </c>
      <c r="F261" s="11">
        <f>IF($H261="","",INDEX('Journal'!$I$8:$I$2007,$H261))</f>
      </c>
      <c r="G261" s="11">
        <f>IF($H261="","",N(G260)+N(E261)-N(F261))</f>
      </c>
      <c r="H261" s="10">
        <f t="array" ref="H261">IFERROR(SMALL(IF('Journal'!$D$8:$D$2007=$C$5,ROW('Journal'!$D$8:$D$2007)-7),254),"")</f>
      </c>
    </row>
    <row r="262">
      <c r="A262" s="13">
        <f>IF($H262="","",INDEX('Journal'!$A$8:$A$2007,$H262))</f>
      </c>
      <c r="B262" s="10">
        <f>IF($H262="","",INDEX('Journal'!$B$8:$B$2007,$H262))</f>
      </c>
      <c r="C262" s="9">
        <f>IF($H262="","",INDEX('Journal'!$C$8:$C$2007,$H262))</f>
      </c>
      <c r="D262" s="9">
        <f>IF($H262="","",INDEX('Journal'!$F$8:$F$2007,$H262))</f>
      </c>
      <c r="E262" s="11">
        <f>IF($H262="","",INDEX('Journal'!$H$8:$H$2007,$H262))</f>
      </c>
      <c r="F262" s="11">
        <f>IF($H262="","",INDEX('Journal'!$I$8:$I$2007,$H262))</f>
      </c>
      <c r="G262" s="11">
        <f>IF($H262="","",N(G261)+N(E262)-N(F262))</f>
      </c>
      <c r="H262" s="10">
        <f t="array" ref="H262">IFERROR(SMALL(IF('Journal'!$D$8:$D$2007=$C$5,ROW('Journal'!$D$8:$D$2007)-7),255),"")</f>
      </c>
    </row>
    <row r="263">
      <c r="A263" s="13">
        <f>IF($H263="","",INDEX('Journal'!$A$8:$A$2007,$H263))</f>
      </c>
      <c r="B263" s="10">
        <f>IF($H263="","",INDEX('Journal'!$B$8:$B$2007,$H263))</f>
      </c>
      <c r="C263" s="9">
        <f>IF($H263="","",INDEX('Journal'!$C$8:$C$2007,$H263))</f>
      </c>
      <c r="D263" s="9">
        <f>IF($H263="","",INDEX('Journal'!$F$8:$F$2007,$H263))</f>
      </c>
      <c r="E263" s="11">
        <f>IF($H263="","",INDEX('Journal'!$H$8:$H$2007,$H263))</f>
      </c>
      <c r="F263" s="11">
        <f>IF($H263="","",INDEX('Journal'!$I$8:$I$2007,$H263))</f>
      </c>
      <c r="G263" s="11">
        <f>IF($H263="","",N(G262)+N(E263)-N(F263))</f>
      </c>
      <c r="H263" s="10">
        <f t="array" ref="H263">IFERROR(SMALL(IF('Journal'!$D$8:$D$2007=$C$5,ROW('Journal'!$D$8:$D$2007)-7),256),"")</f>
      </c>
    </row>
    <row r="264">
      <c r="A264" s="13">
        <f>IF($H264="","",INDEX('Journal'!$A$8:$A$2007,$H264))</f>
      </c>
      <c r="B264" s="10">
        <f>IF($H264="","",INDEX('Journal'!$B$8:$B$2007,$H264))</f>
      </c>
      <c r="C264" s="9">
        <f>IF($H264="","",INDEX('Journal'!$C$8:$C$2007,$H264))</f>
      </c>
      <c r="D264" s="9">
        <f>IF($H264="","",INDEX('Journal'!$F$8:$F$2007,$H264))</f>
      </c>
      <c r="E264" s="11">
        <f>IF($H264="","",INDEX('Journal'!$H$8:$H$2007,$H264))</f>
      </c>
      <c r="F264" s="11">
        <f>IF($H264="","",INDEX('Journal'!$I$8:$I$2007,$H264))</f>
      </c>
      <c r="G264" s="11">
        <f>IF($H264="","",N(G263)+N(E264)-N(F264))</f>
      </c>
      <c r="H264" s="10">
        <f t="array" ref="H264">IFERROR(SMALL(IF('Journal'!$D$8:$D$2007=$C$5,ROW('Journal'!$D$8:$D$2007)-7),257),"")</f>
      </c>
    </row>
    <row r="265">
      <c r="A265" s="13">
        <f>IF($H265="","",INDEX('Journal'!$A$8:$A$2007,$H265))</f>
      </c>
      <c r="B265" s="10">
        <f>IF($H265="","",INDEX('Journal'!$B$8:$B$2007,$H265))</f>
      </c>
      <c r="C265" s="9">
        <f>IF($H265="","",INDEX('Journal'!$C$8:$C$2007,$H265))</f>
      </c>
      <c r="D265" s="9">
        <f>IF($H265="","",INDEX('Journal'!$F$8:$F$2007,$H265))</f>
      </c>
      <c r="E265" s="11">
        <f>IF($H265="","",INDEX('Journal'!$H$8:$H$2007,$H265))</f>
      </c>
      <c r="F265" s="11">
        <f>IF($H265="","",INDEX('Journal'!$I$8:$I$2007,$H265))</f>
      </c>
      <c r="G265" s="11">
        <f>IF($H265="","",N(G264)+N(E265)-N(F265))</f>
      </c>
      <c r="H265" s="10">
        <f t="array" ref="H265">IFERROR(SMALL(IF('Journal'!$D$8:$D$2007=$C$5,ROW('Journal'!$D$8:$D$2007)-7),258),"")</f>
      </c>
    </row>
    <row r="266">
      <c r="A266" s="13">
        <f>IF($H266="","",INDEX('Journal'!$A$8:$A$2007,$H266))</f>
      </c>
      <c r="B266" s="10">
        <f>IF($H266="","",INDEX('Journal'!$B$8:$B$2007,$H266))</f>
      </c>
      <c r="C266" s="9">
        <f>IF($H266="","",INDEX('Journal'!$C$8:$C$2007,$H266))</f>
      </c>
      <c r="D266" s="9">
        <f>IF($H266="","",INDEX('Journal'!$F$8:$F$2007,$H266))</f>
      </c>
      <c r="E266" s="11">
        <f>IF($H266="","",INDEX('Journal'!$H$8:$H$2007,$H266))</f>
      </c>
      <c r="F266" s="11">
        <f>IF($H266="","",INDEX('Journal'!$I$8:$I$2007,$H266))</f>
      </c>
      <c r="G266" s="11">
        <f>IF($H266="","",N(G265)+N(E266)-N(F266))</f>
      </c>
      <c r="H266" s="10">
        <f t="array" ref="H266">IFERROR(SMALL(IF('Journal'!$D$8:$D$2007=$C$5,ROW('Journal'!$D$8:$D$2007)-7),259),"")</f>
      </c>
    </row>
    <row r="267">
      <c r="A267" s="13">
        <f>IF($H267="","",INDEX('Journal'!$A$8:$A$2007,$H267))</f>
      </c>
      <c r="B267" s="10">
        <f>IF($H267="","",INDEX('Journal'!$B$8:$B$2007,$H267))</f>
      </c>
      <c r="C267" s="9">
        <f>IF($H267="","",INDEX('Journal'!$C$8:$C$2007,$H267))</f>
      </c>
      <c r="D267" s="9">
        <f>IF($H267="","",INDEX('Journal'!$F$8:$F$2007,$H267))</f>
      </c>
      <c r="E267" s="11">
        <f>IF($H267="","",INDEX('Journal'!$H$8:$H$2007,$H267))</f>
      </c>
      <c r="F267" s="11">
        <f>IF($H267="","",INDEX('Journal'!$I$8:$I$2007,$H267))</f>
      </c>
      <c r="G267" s="11">
        <f>IF($H267="","",N(G266)+N(E267)-N(F267))</f>
      </c>
      <c r="H267" s="10">
        <f t="array" ref="H267">IFERROR(SMALL(IF('Journal'!$D$8:$D$2007=$C$5,ROW('Journal'!$D$8:$D$2007)-7),260),"")</f>
      </c>
    </row>
    <row r="268">
      <c r="A268" s="13">
        <f>IF($H268="","",INDEX('Journal'!$A$8:$A$2007,$H268))</f>
      </c>
      <c r="B268" s="10">
        <f>IF($H268="","",INDEX('Journal'!$B$8:$B$2007,$H268))</f>
      </c>
      <c r="C268" s="9">
        <f>IF($H268="","",INDEX('Journal'!$C$8:$C$2007,$H268))</f>
      </c>
      <c r="D268" s="9">
        <f>IF($H268="","",INDEX('Journal'!$F$8:$F$2007,$H268))</f>
      </c>
      <c r="E268" s="11">
        <f>IF($H268="","",INDEX('Journal'!$H$8:$H$2007,$H268))</f>
      </c>
      <c r="F268" s="11">
        <f>IF($H268="","",INDEX('Journal'!$I$8:$I$2007,$H268))</f>
      </c>
      <c r="G268" s="11">
        <f>IF($H268="","",N(G267)+N(E268)-N(F268))</f>
      </c>
      <c r="H268" s="10">
        <f t="array" ref="H268">IFERROR(SMALL(IF('Journal'!$D$8:$D$2007=$C$5,ROW('Journal'!$D$8:$D$2007)-7),261),"")</f>
      </c>
    </row>
    <row r="269">
      <c r="A269" s="13">
        <f>IF($H269="","",INDEX('Journal'!$A$8:$A$2007,$H269))</f>
      </c>
      <c r="B269" s="10">
        <f>IF($H269="","",INDEX('Journal'!$B$8:$B$2007,$H269))</f>
      </c>
      <c r="C269" s="9">
        <f>IF($H269="","",INDEX('Journal'!$C$8:$C$2007,$H269))</f>
      </c>
      <c r="D269" s="9">
        <f>IF($H269="","",INDEX('Journal'!$F$8:$F$2007,$H269))</f>
      </c>
      <c r="E269" s="11">
        <f>IF($H269="","",INDEX('Journal'!$H$8:$H$2007,$H269))</f>
      </c>
      <c r="F269" s="11">
        <f>IF($H269="","",INDEX('Journal'!$I$8:$I$2007,$H269))</f>
      </c>
      <c r="G269" s="11">
        <f>IF($H269="","",N(G268)+N(E269)-N(F269))</f>
      </c>
      <c r="H269" s="10">
        <f t="array" ref="H269">IFERROR(SMALL(IF('Journal'!$D$8:$D$2007=$C$5,ROW('Journal'!$D$8:$D$2007)-7),262),"")</f>
      </c>
    </row>
    <row r="270">
      <c r="A270" s="13">
        <f>IF($H270="","",INDEX('Journal'!$A$8:$A$2007,$H270))</f>
      </c>
      <c r="B270" s="10">
        <f>IF($H270="","",INDEX('Journal'!$B$8:$B$2007,$H270))</f>
      </c>
      <c r="C270" s="9">
        <f>IF($H270="","",INDEX('Journal'!$C$8:$C$2007,$H270))</f>
      </c>
      <c r="D270" s="9">
        <f>IF($H270="","",INDEX('Journal'!$F$8:$F$2007,$H270))</f>
      </c>
      <c r="E270" s="11">
        <f>IF($H270="","",INDEX('Journal'!$H$8:$H$2007,$H270))</f>
      </c>
      <c r="F270" s="11">
        <f>IF($H270="","",INDEX('Journal'!$I$8:$I$2007,$H270))</f>
      </c>
      <c r="G270" s="11">
        <f>IF($H270="","",N(G269)+N(E270)-N(F270))</f>
      </c>
      <c r="H270" s="10">
        <f t="array" ref="H270">IFERROR(SMALL(IF('Journal'!$D$8:$D$2007=$C$5,ROW('Journal'!$D$8:$D$2007)-7),263),"")</f>
      </c>
    </row>
    <row r="271">
      <c r="A271" s="13">
        <f>IF($H271="","",INDEX('Journal'!$A$8:$A$2007,$H271))</f>
      </c>
      <c r="B271" s="10">
        <f>IF($H271="","",INDEX('Journal'!$B$8:$B$2007,$H271))</f>
      </c>
      <c r="C271" s="9">
        <f>IF($H271="","",INDEX('Journal'!$C$8:$C$2007,$H271))</f>
      </c>
      <c r="D271" s="9">
        <f>IF($H271="","",INDEX('Journal'!$F$8:$F$2007,$H271))</f>
      </c>
      <c r="E271" s="11">
        <f>IF($H271="","",INDEX('Journal'!$H$8:$H$2007,$H271))</f>
      </c>
      <c r="F271" s="11">
        <f>IF($H271="","",INDEX('Journal'!$I$8:$I$2007,$H271))</f>
      </c>
      <c r="G271" s="11">
        <f>IF($H271="","",N(G270)+N(E271)-N(F271))</f>
      </c>
      <c r="H271" s="10">
        <f t="array" ref="H271">IFERROR(SMALL(IF('Journal'!$D$8:$D$2007=$C$5,ROW('Journal'!$D$8:$D$2007)-7),264),"")</f>
      </c>
    </row>
    <row r="272">
      <c r="A272" s="13">
        <f>IF($H272="","",INDEX('Journal'!$A$8:$A$2007,$H272))</f>
      </c>
      <c r="B272" s="10">
        <f>IF($H272="","",INDEX('Journal'!$B$8:$B$2007,$H272))</f>
      </c>
      <c r="C272" s="9">
        <f>IF($H272="","",INDEX('Journal'!$C$8:$C$2007,$H272))</f>
      </c>
      <c r="D272" s="9">
        <f>IF($H272="","",INDEX('Journal'!$F$8:$F$2007,$H272))</f>
      </c>
      <c r="E272" s="11">
        <f>IF($H272="","",INDEX('Journal'!$H$8:$H$2007,$H272))</f>
      </c>
      <c r="F272" s="11">
        <f>IF($H272="","",INDEX('Journal'!$I$8:$I$2007,$H272))</f>
      </c>
      <c r="G272" s="11">
        <f>IF($H272="","",N(G271)+N(E272)-N(F272))</f>
      </c>
      <c r="H272" s="10">
        <f t="array" ref="H272">IFERROR(SMALL(IF('Journal'!$D$8:$D$2007=$C$5,ROW('Journal'!$D$8:$D$2007)-7),265),"")</f>
      </c>
    </row>
    <row r="273">
      <c r="A273" s="13">
        <f>IF($H273="","",INDEX('Journal'!$A$8:$A$2007,$H273))</f>
      </c>
      <c r="B273" s="10">
        <f>IF($H273="","",INDEX('Journal'!$B$8:$B$2007,$H273))</f>
      </c>
      <c r="C273" s="9">
        <f>IF($H273="","",INDEX('Journal'!$C$8:$C$2007,$H273))</f>
      </c>
      <c r="D273" s="9">
        <f>IF($H273="","",INDEX('Journal'!$F$8:$F$2007,$H273))</f>
      </c>
      <c r="E273" s="11">
        <f>IF($H273="","",INDEX('Journal'!$H$8:$H$2007,$H273))</f>
      </c>
      <c r="F273" s="11">
        <f>IF($H273="","",INDEX('Journal'!$I$8:$I$2007,$H273))</f>
      </c>
      <c r="G273" s="11">
        <f>IF($H273="","",N(G272)+N(E273)-N(F273))</f>
      </c>
      <c r="H273" s="10">
        <f t="array" ref="H273">IFERROR(SMALL(IF('Journal'!$D$8:$D$2007=$C$5,ROW('Journal'!$D$8:$D$2007)-7),266),"")</f>
      </c>
    </row>
    <row r="274">
      <c r="A274" s="13">
        <f>IF($H274="","",INDEX('Journal'!$A$8:$A$2007,$H274))</f>
      </c>
      <c r="B274" s="10">
        <f>IF($H274="","",INDEX('Journal'!$B$8:$B$2007,$H274))</f>
      </c>
      <c r="C274" s="9">
        <f>IF($H274="","",INDEX('Journal'!$C$8:$C$2007,$H274))</f>
      </c>
      <c r="D274" s="9">
        <f>IF($H274="","",INDEX('Journal'!$F$8:$F$2007,$H274))</f>
      </c>
      <c r="E274" s="11">
        <f>IF($H274="","",INDEX('Journal'!$H$8:$H$2007,$H274))</f>
      </c>
      <c r="F274" s="11">
        <f>IF($H274="","",INDEX('Journal'!$I$8:$I$2007,$H274))</f>
      </c>
      <c r="G274" s="11">
        <f>IF($H274="","",N(G273)+N(E274)-N(F274))</f>
      </c>
      <c r="H274" s="10">
        <f t="array" ref="H274">IFERROR(SMALL(IF('Journal'!$D$8:$D$2007=$C$5,ROW('Journal'!$D$8:$D$2007)-7),267),"")</f>
      </c>
    </row>
    <row r="275">
      <c r="A275" s="13">
        <f>IF($H275="","",INDEX('Journal'!$A$8:$A$2007,$H275))</f>
      </c>
      <c r="B275" s="10">
        <f>IF($H275="","",INDEX('Journal'!$B$8:$B$2007,$H275))</f>
      </c>
      <c r="C275" s="9">
        <f>IF($H275="","",INDEX('Journal'!$C$8:$C$2007,$H275))</f>
      </c>
      <c r="D275" s="9">
        <f>IF($H275="","",INDEX('Journal'!$F$8:$F$2007,$H275))</f>
      </c>
      <c r="E275" s="11">
        <f>IF($H275="","",INDEX('Journal'!$H$8:$H$2007,$H275))</f>
      </c>
      <c r="F275" s="11">
        <f>IF($H275="","",INDEX('Journal'!$I$8:$I$2007,$H275))</f>
      </c>
      <c r="G275" s="11">
        <f>IF($H275="","",N(G274)+N(E275)-N(F275))</f>
      </c>
      <c r="H275" s="10">
        <f t="array" ref="H275">IFERROR(SMALL(IF('Journal'!$D$8:$D$2007=$C$5,ROW('Journal'!$D$8:$D$2007)-7),268),"")</f>
      </c>
    </row>
    <row r="276">
      <c r="A276" s="13">
        <f>IF($H276="","",INDEX('Journal'!$A$8:$A$2007,$H276))</f>
      </c>
      <c r="B276" s="10">
        <f>IF($H276="","",INDEX('Journal'!$B$8:$B$2007,$H276))</f>
      </c>
      <c r="C276" s="9">
        <f>IF($H276="","",INDEX('Journal'!$C$8:$C$2007,$H276))</f>
      </c>
      <c r="D276" s="9">
        <f>IF($H276="","",INDEX('Journal'!$F$8:$F$2007,$H276))</f>
      </c>
      <c r="E276" s="11">
        <f>IF($H276="","",INDEX('Journal'!$H$8:$H$2007,$H276))</f>
      </c>
      <c r="F276" s="11">
        <f>IF($H276="","",INDEX('Journal'!$I$8:$I$2007,$H276))</f>
      </c>
      <c r="G276" s="11">
        <f>IF($H276="","",N(G275)+N(E276)-N(F276))</f>
      </c>
      <c r="H276" s="10">
        <f t="array" ref="H276">IFERROR(SMALL(IF('Journal'!$D$8:$D$2007=$C$5,ROW('Journal'!$D$8:$D$2007)-7),269),"")</f>
      </c>
    </row>
    <row r="277">
      <c r="A277" s="13">
        <f>IF($H277="","",INDEX('Journal'!$A$8:$A$2007,$H277))</f>
      </c>
      <c r="B277" s="10">
        <f>IF($H277="","",INDEX('Journal'!$B$8:$B$2007,$H277))</f>
      </c>
      <c r="C277" s="9">
        <f>IF($H277="","",INDEX('Journal'!$C$8:$C$2007,$H277))</f>
      </c>
      <c r="D277" s="9">
        <f>IF($H277="","",INDEX('Journal'!$F$8:$F$2007,$H277))</f>
      </c>
      <c r="E277" s="11">
        <f>IF($H277="","",INDEX('Journal'!$H$8:$H$2007,$H277))</f>
      </c>
      <c r="F277" s="11">
        <f>IF($H277="","",INDEX('Journal'!$I$8:$I$2007,$H277))</f>
      </c>
      <c r="G277" s="11">
        <f>IF($H277="","",N(G276)+N(E277)-N(F277))</f>
      </c>
      <c r="H277" s="10">
        <f t="array" ref="H277">IFERROR(SMALL(IF('Journal'!$D$8:$D$2007=$C$5,ROW('Journal'!$D$8:$D$2007)-7),270),"")</f>
      </c>
    </row>
    <row r="278">
      <c r="A278" s="13">
        <f>IF($H278="","",INDEX('Journal'!$A$8:$A$2007,$H278))</f>
      </c>
      <c r="B278" s="10">
        <f>IF($H278="","",INDEX('Journal'!$B$8:$B$2007,$H278))</f>
      </c>
      <c r="C278" s="9">
        <f>IF($H278="","",INDEX('Journal'!$C$8:$C$2007,$H278))</f>
      </c>
      <c r="D278" s="9">
        <f>IF($H278="","",INDEX('Journal'!$F$8:$F$2007,$H278))</f>
      </c>
      <c r="E278" s="11">
        <f>IF($H278="","",INDEX('Journal'!$H$8:$H$2007,$H278))</f>
      </c>
      <c r="F278" s="11">
        <f>IF($H278="","",INDEX('Journal'!$I$8:$I$2007,$H278))</f>
      </c>
      <c r="G278" s="11">
        <f>IF($H278="","",N(G277)+N(E278)-N(F278))</f>
      </c>
      <c r="H278" s="10">
        <f t="array" ref="H278">IFERROR(SMALL(IF('Journal'!$D$8:$D$2007=$C$5,ROW('Journal'!$D$8:$D$2007)-7),271),"")</f>
      </c>
    </row>
    <row r="279">
      <c r="A279" s="13">
        <f>IF($H279="","",INDEX('Journal'!$A$8:$A$2007,$H279))</f>
      </c>
      <c r="B279" s="10">
        <f>IF($H279="","",INDEX('Journal'!$B$8:$B$2007,$H279))</f>
      </c>
      <c r="C279" s="9">
        <f>IF($H279="","",INDEX('Journal'!$C$8:$C$2007,$H279))</f>
      </c>
      <c r="D279" s="9">
        <f>IF($H279="","",INDEX('Journal'!$F$8:$F$2007,$H279))</f>
      </c>
      <c r="E279" s="11">
        <f>IF($H279="","",INDEX('Journal'!$H$8:$H$2007,$H279))</f>
      </c>
      <c r="F279" s="11">
        <f>IF($H279="","",INDEX('Journal'!$I$8:$I$2007,$H279))</f>
      </c>
      <c r="G279" s="11">
        <f>IF($H279="","",N(G278)+N(E279)-N(F279))</f>
      </c>
      <c r="H279" s="10">
        <f t="array" ref="H279">IFERROR(SMALL(IF('Journal'!$D$8:$D$2007=$C$5,ROW('Journal'!$D$8:$D$2007)-7),272),"")</f>
      </c>
    </row>
    <row r="280">
      <c r="A280" s="13">
        <f>IF($H280="","",INDEX('Journal'!$A$8:$A$2007,$H280))</f>
      </c>
      <c r="B280" s="10">
        <f>IF($H280="","",INDEX('Journal'!$B$8:$B$2007,$H280))</f>
      </c>
      <c r="C280" s="9">
        <f>IF($H280="","",INDEX('Journal'!$C$8:$C$2007,$H280))</f>
      </c>
      <c r="D280" s="9">
        <f>IF($H280="","",INDEX('Journal'!$F$8:$F$2007,$H280))</f>
      </c>
      <c r="E280" s="11">
        <f>IF($H280="","",INDEX('Journal'!$H$8:$H$2007,$H280))</f>
      </c>
      <c r="F280" s="11">
        <f>IF($H280="","",INDEX('Journal'!$I$8:$I$2007,$H280))</f>
      </c>
      <c r="G280" s="11">
        <f>IF($H280="","",N(G279)+N(E280)-N(F280))</f>
      </c>
      <c r="H280" s="10">
        <f t="array" ref="H280">IFERROR(SMALL(IF('Journal'!$D$8:$D$2007=$C$5,ROW('Journal'!$D$8:$D$2007)-7),273),"")</f>
      </c>
    </row>
    <row r="281">
      <c r="A281" s="13">
        <f>IF($H281="","",INDEX('Journal'!$A$8:$A$2007,$H281))</f>
      </c>
      <c r="B281" s="10">
        <f>IF($H281="","",INDEX('Journal'!$B$8:$B$2007,$H281))</f>
      </c>
      <c r="C281" s="9">
        <f>IF($H281="","",INDEX('Journal'!$C$8:$C$2007,$H281))</f>
      </c>
      <c r="D281" s="9">
        <f>IF($H281="","",INDEX('Journal'!$F$8:$F$2007,$H281))</f>
      </c>
      <c r="E281" s="11">
        <f>IF($H281="","",INDEX('Journal'!$H$8:$H$2007,$H281))</f>
      </c>
      <c r="F281" s="11">
        <f>IF($H281="","",INDEX('Journal'!$I$8:$I$2007,$H281))</f>
      </c>
      <c r="G281" s="11">
        <f>IF($H281="","",N(G280)+N(E281)-N(F281))</f>
      </c>
      <c r="H281" s="10">
        <f t="array" ref="H281">IFERROR(SMALL(IF('Journal'!$D$8:$D$2007=$C$5,ROW('Journal'!$D$8:$D$2007)-7),274),"")</f>
      </c>
    </row>
    <row r="282">
      <c r="A282" s="13">
        <f>IF($H282="","",INDEX('Journal'!$A$8:$A$2007,$H282))</f>
      </c>
      <c r="B282" s="10">
        <f>IF($H282="","",INDEX('Journal'!$B$8:$B$2007,$H282))</f>
      </c>
      <c r="C282" s="9">
        <f>IF($H282="","",INDEX('Journal'!$C$8:$C$2007,$H282))</f>
      </c>
      <c r="D282" s="9">
        <f>IF($H282="","",INDEX('Journal'!$F$8:$F$2007,$H282))</f>
      </c>
      <c r="E282" s="11">
        <f>IF($H282="","",INDEX('Journal'!$H$8:$H$2007,$H282))</f>
      </c>
      <c r="F282" s="11">
        <f>IF($H282="","",INDEX('Journal'!$I$8:$I$2007,$H282))</f>
      </c>
      <c r="G282" s="11">
        <f>IF($H282="","",N(G281)+N(E282)-N(F282))</f>
      </c>
      <c r="H282" s="10">
        <f t="array" ref="H282">IFERROR(SMALL(IF('Journal'!$D$8:$D$2007=$C$5,ROW('Journal'!$D$8:$D$2007)-7),275),"")</f>
      </c>
    </row>
    <row r="283">
      <c r="A283" s="13">
        <f>IF($H283="","",INDEX('Journal'!$A$8:$A$2007,$H283))</f>
      </c>
      <c r="B283" s="10">
        <f>IF($H283="","",INDEX('Journal'!$B$8:$B$2007,$H283))</f>
      </c>
      <c r="C283" s="9">
        <f>IF($H283="","",INDEX('Journal'!$C$8:$C$2007,$H283))</f>
      </c>
      <c r="D283" s="9">
        <f>IF($H283="","",INDEX('Journal'!$F$8:$F$2007,$H283))</f>
      </c>
      <c r="E283" s="11">
        <f>IF($H283="","",INDEX('Journal'!$H$8:$H$2007,$H283))</f>
      </c>
      <c r="F283" s="11">
        <f>IF($H283="","",INDEX('Journal'!$I$8:$I$2007,$H283))</f>
      </c>
      <c r="G283" s="11">
        <f>IF($H283="","",N(G282)+N(E283)-N(F283))</f>
      </c>
      <c r="H283" s="10">
        <f t="array" ref="H283">IFERROR(SMALL(IF('Journal'!$D$8:$D$2007=$C$5,ROW('Journal'!$D$8:$D$2007)-7),276),"")</f>
      </c>
    </row>
    <row r="284">
      <c r="A284" s="13">
        <f>IF($H284="","",INDEX('Journal'!$A$8:$A$2007,$H284))</f>
      </c>
      <c r="B284" s="10">
        <f>IF($H284="","",INDEX('Journal'!$B$8:$B$2007,$H284))</f>
      </c>
      <c r="C284" s="9">
        <f>IF($H284="","",INDEX('Journal'!$C$8:$C$2007,$H284))</f>
      </c>
      <c r="D284" s="9">
        <f>IF($H284="","",INDEX('Journal'!$F$8:$F$2007,$H284))</f>
      </c>
      <c r="E284" s="11">
        <f>IF($H284="","",INDEX('Journal'!$H$8:$H$2007,$H284))</f>
      </c>
      <c r="F284" s="11">
        <f>IF($H284="","",INDEX('Journal'!$I$8:$I$2007,$H284))</f>
      </c>
      <c r="G284" s="11">
        <f>IF($H284="","",N(G283)+N(E284)-N(F284))</f>
      </c>
      <c r="H284" s="10">
        <f t="array" ref="H284">IFERROR(SMALL(IF('Journal'!$D$8:$D$2007=$C$5,ROW('Journal'!$D$8:$D$2007)-7),277),"")</f>
      </c>
    </row>
    <row r="285">
      <c r="A285" s="13">
        <f>IF($H285="","",INDEX('Journal'!$A$8:$A$2007,$H285))</f>
      </c>
      <c r="B285" s="10">
        <f>IF($H285="","",INDEX('Journal'!$B$8:$B$2007,$H285))</f>
      </c>
      <c r="C285" s="9">
        <f>IF($H285="","",INDEX('Journal'!$C$8:$C$2007,$H285))</f>
      </c>
      <c r="D285" s="9">
        <f>IF($H285="","",INDEX('Journal'!$F$8:$F$2007,$H285))</f>
      </c>
      <c r="E285" s="11">
        <f>IF($H285="","",INDEX('Journal'!$H$8:$H$2007,$H285))</f>
      </c>
      <c r="F285" s="11">
        <f>IF($H285="","",INDEX('Journal'!$I$8:$I$2007,$H285))</f>
      </c>
      <c r="G285" s="11">
        <f>IF($H285="","",N(G284)+N(E285)-N(F285))</f>
      </c>
      <c r="H285" s="10">
        <f t="array" ref="H285">IFERROR(SMALL(IF('Journal'!$D$8:$D$2007=$C$5,ROW('Journal'!$D$8:$D$2007)-7),278),"")</f>
      </c>
    </row>
    <row r="286">
      <c r="A286" s="13">
        <f>IF($H286="","",INDEX('Journal'!$A$8:$A$2007,$H286))</f>
      </c>
      <c r="B286" s="10">
        <f>IF($H286="","",INDEX('Journal'!$B$8:$B$2007,$H286))</f>
      </c>
      <c r="C286" s="9">
        <f>IF($H286="","",INDEX('Journal'!$C$8:$C$2007,$H286))</f>
      </c>
      <c r="D286" s="9">
        <f>IF($H286="","",INDEX('Journal'!$F$8:$F$2007,$H286))</f>
      </c>
      <c r="E286" s="11">
        <f>IF($H286="","",INDEX('Journal'!$H$8:$H$2007,$H286))</f>
      </c>
      <c r="F286" s="11">
        <f>IF($H286="","",INDEX('Journal'!$I$8:$I$2007,$H286))</f>
      </c>
      <c r="G286" s="11">
        <f>IF($H286="","",N(G285)+N(E286)-N(F286))</f>
      </c>
      <c r="H286" s="10">
        <f t="array" ref="H286">IFERROR(SMALL(IF('Journal'!$D$8:$D$2007=$C$5,ROW('Journal'!$D$8:$D$2007)-7),279),"")</f>
      </c>
    </row>
    <row r="287">
      <c r="A287" s="13">
        <f>IF($H287="","",INDEX('Journal'!$A$8:$A$2007,$H287))</f>
      </c>
      <c r="B287" s="10">
        <f>IF($H287="","",INDEX('Journal'!$B$8:$B$2007,$H287))</f>
      </c>
      <c r="C287" s="9">
        <f>IF($H287="","",INDEX('Journal'!$C$8:$C$2007,$H287))</f>
      </c>
      <c r="D287" s="9">
        <f>IF($H287="","",INDEX('Journal'!$F$8:$F$2007,$H287))</f>
      </c>
      <c r="E287" s="11">
        <f>IF($H287="","",INDEX('Journal'!$H$8:$H$2007,$H287))</f>
      </c>
      <c r="F287" s="11">
        <f>IF($H287="","",INDEX('Journal'!$I$8:$I$2007,$H287))</f>
      </c>
      <c r="G287" s="11">
        <f>IF($H287="","",N(G286)+N(E287)-N(F287))</f>
      </c>
      <c r="H287" s="10">
        <f t="array" ref="H287">IFERROR(SMALL(IF('Journal'!$D$8:$D$2007=$C$5,ROW('Journal'!$D$8:$D$2007)-7),280),"")</f>
      </c>
    </row>
    <row r="288">
      <c r="A288" s="13">
        <f>IF($H288="","",INDEX('Journal'!$A$8:$A$2007,$H288))</f>
      </c>
      <c r="B288" s="10">
        <f>IF($H288="","",INDEX('Journal'!$B$8:$B$2007,$H288))</f>
      </c>
      <c r="C288" s="9">
        <f>IF($H288="","",INDEX('Journal'!$C$8:$C$2007,$H288))</f>
      </c>
      <c r="D288" s="9">
        <f>IF($H288="","",INDEX('Journal'!$F$8:$F$2007,$H288))</f>
      </c>
      <c r="E288" s="11">
        <f>IF($H288="","",INDEX('Journal'!$H$8:$H$2007,$H288))</f>
      </c>
      <c r="F288" s="11">
        <f>IF($H288="","",INDEX('Journal'!$I$8:$I$2007,$H288))</f>
      </c>
      <c r="G288" s="11">
        <f>IF($H288="","",N(G287)+N(E288)-N(F288))</f>
      </c>
      <c r="H288" s="10">
        <f t="array" ref="H288">IFERROR(SMALL(IF('Journal'!$D$8:$D$2007=$C$5,ROW('Journal'!$D$8:$D$2007)-7),281),"")</f>
      </c>
    </row>
    <row r="289">
      <c r="A289" s="13">
        <f>IF($H289="","",INDEX('Journal'!$A$8:$A$2007,$H289))</f>
      </c>
      <c r="B289" s="10">
        <f>IF($H289="","",INDEX('Journal'!$B$8:$B$2007,$H289))</f>
      </c>
      <c r="C289" s="9">
        <f>IF($H289="","",INDEX('Journal'!$C$8:$C$2007,$H289))</f>
      </c>
      <c r="D289" s="9">
        <f>IF($H289="","",INDEX('Journal'!$F$8:$F$2007,$H289))</f>
      </c>
      <c r="E289" s="11">
        <f>IF($H289="","",INDEX('Journal'!$H$8:$H$2007,$H289))</f>
      </c>
      <c r="F289" s="11">
        <f>IF($H289="","",INDEX('Journal'!$I$8:$I$2007,$H289))</f>
      </c>
      <c r="G289" s="11">
        <f>IF($H289="","",N(G288)+N(E289)-N(F289))</f>
      </c>
      <c r="H289" s="10">
        <f t="array" ref="H289">IFERROR(SMALL(IF('Journal'!$D$8:$D$2007=$C$5,ROW('Journal'!$D$8:$D$2007)-7),282),"")</f>
      </c>
    </row>
    <row r="290">
      <c r="A290" s="13">
        <f>IF($H290="","",INDEX('Journal'!$A$8:$A$2007,$H290))</f>
      </c>
      <c r="B290" s="10">
        <f>IF($H290="","",INDEX('Journal'!$B$8:$B$2007,$H290))</f>
      </c>
      <c r="C290" s="9">
        <f>IF($H290="","",INDEX('Journal'!$C$8:$C$2007,$H290))</f>
      </c>
      <c r="D290" s="9">
        <f>IF($H290="","",INDEX('Journal'!$F$8:$F$2007,$H290))</f>
      </c>
      <c r="E290" s="11">
        <f>IF($H290="","",INDEX('Journal'!$H$8:$H$2007,$H290))</f>
      </c>
      <c r="F290" s="11">
        <f>IF($H290="","",INDEX('Journal'!$I$8:$I$2007,$H290))</f>
      </c>
      <c r="G290" s="11">
        <f>IF($H290="","",N(G289)+N(E290)-N(F290))</f>
      </c>
      <c r="H290" s="10">
        <f t="array" ref="H290">IFERROR(SMALL(IF('Journal'!$D$8:$D$2007=$C$5,ROW('Journal'!$D$8:$D$2007)-7),283),"")</f>
      </c>
    </row>
    <row r="291">
      <c r="A291" s="13">
        <f>IF($H291="","",INDEX('Journal'!$A$8:$A$2007,$H291))</f>
      </c>
      <c r="B291" s="10">
        <f>IF($H291="","",INDEX('Journal'!$B$8:$B$2007,$H291))</f>
      </c>
      <c r="C291" s="9">
        <f>IF($H291="","",INDEX('Journal'!$C$8:$C$2007,$H291))</f>
      </c>
      <c r="D291" s="9">
        <f>IF($H291="","",INDEX('Journal'!$F$8:$F$2007,$H291))</f>
      </c>
      <c r="E291" s="11">
        <f>IF($H291="","",INDEX('Journal'!$H$8:$H$2007,$H291))</f>
      </c>
      <c r="F291" s="11">
        <f>IF($H291="","",INDEX('Journal'!$I$8:$I$2007,$H291))</f>
      </c>
      <c r="G291" s="11">
        <f>IF($H291="","",N(G290)+N(E291)-N(F291))</f>
      </c>
      <c r="H291" s="10">
        <f t="array" ref="H291">IFERROR(SMALL(IF('Journal'!$D$8:$D$2007=$C$5,ROW('Journal'!$D$8:$D$2007)-7),284),"")</f>
      </c>
    </row>
    <row r="292">
      <c r="A292" s="13">
        <f>IF($H292="","",INDEX('Journal'!$A$8:$A$2007,$H292))</f>
      </c>
      <c r="B292" s="10">
        <f>IF($H292="","",INDEX('Journal'!$B$8:$B$2007,$H292))</f>
      </c>
      <c r="C292" s="9">
        <f>IF($H292="","",INDEX('Journal'!$C$8:$C$2007,$H292))</f>
      </c>
      <c r="D292" s="9">
        <f>IF($H292="","",INDEX('Journal'!$F$8:$F$2007,$H292))</f>
      </c>
      <c r="E292" s="11">
        <f>IF($H292="","",INDEX('Journal'!$H$8:$H$2007,$H292))</f>
      </c>
      <c r="F292" s="11">
        <f>IF($H292="","",INDEX('Journal'!$I$8:$I$2007,$H292))</f>
      </c>
      <c r="G292" s="11">
        <f>IF($H292="","",N(G291)+N(E292)-N(F292))</f>
      </c>
      <c r="H292" s="10">
        <f t="array" ref="H292">IFERROR(SMALL(IF('Journal'!$D$8:$D$2007=$C$5,ROW('Journal'!$D$8:$D$2007)-7),285),"")</f>
      </c>
    </row>
    <row r="293">
      <c r="A293" s="13">
        <f>IF($H293="","",INDEX('Journal'!$A$8:$A$2007,$H293))</f>
      </c>
      <c r="B293" s="10">
        <f>IF($H293="","",INDEX('Journal'!$B$8:$B$2007,$H293))</f>
      </c>
      <c r="C293" s="9">
        <f>IF($H293="","",INDEX('Journal'!$C$8:$C$2007,$H293))</f>
      </c>
      <c r="D293" s="9">
        <f>IF($H293="","",INDEX('Journal'!$F$8:$F$2007,$H293))</f>
      </c>
      <c r="E293" s="11">
        <f>IF($H293="","",INDEX('Journal'!$H$8:$H$2007,$H293))</f>
      </c>
      <c r="F293" s="11">
        <f>IF($H293="","",INDEX('Journal'!$I$8:$I$2007,$H293))</f>
      </c>
      <c r="G293" s="11">
        <f>IF($H293="","",N(G292)+N(E293)-N(F293))</f>
      </c>
      <c r="H293" s="10">
        <f t="array" ref="H293">IFERROR(SMALL(IF('Journal'!$D$8:$D$2007=$C$5,ROW('Journal'!$D$8:$D$2007)-7),286),"")</f>
      </c>
    </row>
    <row r="294">
      <c r="A294" s="13">
        <f>IF($H294="","",INDEX('Journal'!$A$8:$A$2007,$H294))</f>
      </c>
      <c r="B294" s="10">
        <f>IF($H294="","",INDEX('Journal'!$B$8:$B$2007,$H294))</f>
      </c>
      <c r="C294" s="9">
        <f>IF($H294="","",INDEX('Journal'!$C$8:$C$2007,$H294))</f>
      </c>
      <c r="D294" s="9">
        <f>IF($H294="","",INDEX('Journal'!$F$8:$F$2007,$H294))</f>
      </c>
      <c r="E294" s="11">
        <f>IF($H294="","",INDEX('Journal'!$H$8:$H$2007,$H294))</f>
      </c>
      <c r="F294" s="11">
        <f>IF($H294="","",INDEX('Journal'!$I$8:$I$2007,$H294))</f>
      </c>
      <c r="G294" s="11">
        <f>IF($H294="","",N(G293)+N(E294)-N(F294))</f>
      </c>
      <c r="H294" s="10">
        <f t="array" ref="H294">IFERROR(SMALL(IF('Journal'!$D$8:$D$2007=$C$5,ROW('Journal'!$D$8:$D$2007)-7),287),"")</f>
      </c>
    </row>
    <row r="295">
      <c r="A295" s="13">
        <f>IF($H295="","",INDEX('Journal'!$A$8:$A$2007,$H295))</f>
      </c>
      <c r="B295" s="10">
        <f>IF($H295="","",INDEX('Journal'!$B$8:$B$2007,$H295))</f>
      </c>
      <c r="C295" s="9">
        <f>IF($H295="","",INDEX('Journal'!$C$8:$C$2007,$H295))</f>
      </c>
      <c r="D295" s="9">
        <f>IF($H295="","",INDEX('Journal'!$F$8:$F$2007,$H295))</f>
      </c>
      <c r="E295" s="11">
        <f>IF($H295="","",INDEX('Journal'!$H$8:$H$2007,$H295))</f>
      </c>
      <c r="F295" s="11">
        <f>IF($H295="","",INDEX('Journal'!$I$8:$I$2007,$H295))</f>
      </c>
      <c r="G295" s="11">
        <f>IF($H295="","",N(G294)+N(E295)-N(F295))</f>
      </c>
      <c r="H295" s="10">
        <f t="array" ref="H295">IFERROR(SMALL(IF('Journal'!$D$8:$D$2007=$C$5,ROW('Journal'!$D$8:$D$2007)-7),288),"")</f>
      </c>
    </row>
    <row r="296">
      <c r="A296" s="13">
        <f>IF($H296="","",INDEX('Journal'!$A$8:$A$2007,$H296))</f>
      </c>
      <c r="B296" s="10">
        <f>IF($H296="","",INDEX('Journal'!$B$8:$B$2007,$H296))</f>
      </c>
      <c r="C296" s="9">
        <f>IF($H296="","",INDEX('Journal'!$C$8:$C$2007,$H296))</f>
      </c>
      <c r="D296" s="9">
        <f>IF($H296="","",INDEX('Journal'!$F$8:$F$2007,$H296))</f>
      </c>
      <c r="E296" s="11">
        <f>IF($H296="","",INDEX('Journal'!$H$8:$H$2007,$H296))</f>
      </c>
      <c r="F296" s="11">
        <f>IF($H296="","",INDEX('Journal'!$I$8:$I$2007,$H296))</f>
      </c>
      <c r="G296" s="11">
        <f>IF($H296="","",N(G295)+N(E296)-N(F296))</f>
      </c>
      <c r="H296" s="10">
        <f t="array" ref="H296">IFERROR(SMALL(IF('Journal'!$D$8:$D$2007=$C$5,ROW('Journal'!$D$8:$D$2007)-7),289),"")</f>
      </c>
    </row>
    <row r="297">
      <c r="A297" s="13">
        <f>IF($H297="","",INDEX('Journal'!$A$8:$A$2007,$H297))</f>
      </c>
      <c r="B297" s="10">
        <f>IF($H297="","",INDEX('Journal'!$B$8:$B$2007,$H297))</f>
      </c>
      <c r="C297" s="9">
        <f>IF($H297="","",INDEX('Journal'!$C$8:$C$2007,$H297))</f>
      </c>
      <c r="D297" s="9">
        <f>IF($H297="","",INDEX('Journal'!$F$8:$F$2007,$H297))</f>
      </c>
      <c r="E297" s="11">
        <f>IF($H297="","",INDEX('Journal'!$H$8:$H$2007,$H297))</f>
      </c>
      <c r="F297" s="11">
        <f>IF($H297="","",INDEX('Journal'!$I$8:$I$2007,$H297))</f>
      </c>
      <c r="G297" s="11">
        <f>IF($H297="","",N(G296)+N(E297)-N(F297))</f>
      </c>
      <c r="H297" s="10">
        <f t="array" ref="H297">IFERROR(SMALL(IF('Journal'!$D$8:$D$2007=$C$5,ROW('Journal'!$D$8:$D$2007)-7),290),"")</f>
      </c>
    </row>
    <row r="298">
      <c r="A298" s="13">
        <f>IF($H298="","",INDEX('Journal'!$A$8:$A$2007,$H298))</f>
      </c>
      <c r="B298" s="10">
        <f>IF($H298="","",INDEX('Journal'!$B$8:$B$2007,$H298))</f>
      </c>
      <c r="C298" s="9">
        <f>IF($H298="","",INDEX('Journal'!$C$8:$C$2007,$H298))</f>
      </c>
      <c r="D298" s="9">
        <f>IF($H298="","",INDEX('Journal'!$F$8:$F$2007,$H298))</f>
      </c>
      <c r="E298" s="11">
        <f>IF($H298="","",INDEX('Journal'!$H$8:$H$2007,$H298))</f>
      </c>
      <c r="F298" s="11">
        <f>IF($H298="","",INDEX('Journal'!$I$8:$I$2007,$H298))</f>
      </c>
      <c r="G298" s="11">
        <f>IF($H298="","",N(G297)+N(E298)-N(F298))</f>
      </c>
      <c r="H298" s="10">
        <f t="array" ref="H298">IFERROR(SMALL(IF('Journal'!$D$8:$D$2007=$C$5,ROW('Journal'!$D$8:$D$2007)-7),291),"")</f>
      </c>
    </row>
    <row r="299">
      <c r="A299" s="13">
        <f>IF($H299="","",INDEX('Journal'!$A$8:$A$2007,$H299))</f>
      </c>
      <c r="B299" s="10">
        <f>IF($H299="","",INDEX('Journal'!$B$8:$B$2007,$H299))</f>
      </c>
      <c r="C299" s="9">
        <f>IF($H299="","",INDEX('Journal'!$C$8:$C$2007,$H299))</f>
      </c>
      <c r="D299" s="9">
        <f>IF($H299="","",INDEX('Journal'!$F$8:$F$2007,$H299))</f>
      </c>
      <c r="E299" s="11">
        <f>IF($H299="","",INDEX('Journal'!$H$8:$H$2007,$H299))</f>
      </c>
      <c r="F299" s="11">
        <f>IF($H299="","",INDEX('Journal'!$I$8:$I$2007,$H299))</f>
      </c>
      <c r="G299" s="11">
        <f>IF($H299="","",N(G298)+N(E299)-N(F299))</f>
      </c>
      <c r="H299" s="10">
        <f t="array" ref="H299">IFERROR(SMALL(IF('Journal'!$D$8:$D$2007=$C$5,ROW('Journal'!$D$8:$D$2007)-7),292),"")</f>
      </c>
    </row>
    <row r="300">
      <c r="A300" s="13">
        <f>IF($H300="","",INDEX('Journal'!$A$8:$A$2007,$H300))</f>
      </c>
      <c r="B300" s="10">
        <f>IF($H300="","",INDEX('Journal'!$B$8:$B$2007,$H300))</f>
      </c>
      <c r="C300" s="9">
        <f>IF($H300="","",INDEX('Journal'!$C$8:$C$2007,$H300))</f>
      </c>
      <c r="D300" s="9">
        <f>IF($H300="","",INDEX('Journal'!$F$8:$F$2007,$H300))</f>
      </c>
      <c r="E300" s="11">
        <f>IF($H300="","",INDEX('Journal'!$H$8:$H$2007,$H300))</f>
      </c>
      <c r="F300" s="11">
        <f>IF($H300="","",INDEX('Journal'!$I$8:$I$2007,$H300))</f>
      </c>
      <c r="G300" s="11">
        <f>IF($H300="","",N(G299)+N(E300)-N(F300))</f>
      </c>
      <c r="H300" s="10">
        <f t="array" ref="H300">IFERROR(SMALL(IF('Journal'!$D$8:$D$2007=$C$5,ROW('Journal'!$D$8:$D$2007)-7),293),"")</f>
      </c>
    </row>
    <row r="301">
      <c r="A301" s="13">
        <f>IF($H301="","",INDEX('Journal'!$A$8:$A$2007,$H301))</f>
      </c>
      <c r="B301" s="10">
        <f>IF($H301="","",INDEX('Journal'!$B$8:$B$2007,$H301))</f>
      </c>
      <c r="C301" s="9">
        <f>IF($H301="","",INDEX('Journal'!$C$8:$C$2007,$H301))</f>
      </c>
      <c r="D301" s="9">
        <f>IF($H301="","",INDEX('Journal'!$F$8:$F$2007,$H301))</f>
      </c>
      <c r="E301" s="11">
        <f>IF($H301="","",INDEX('Journal'!$H$8:$H$2007,$H301))</f>
      </c>
      <c r="F301" s="11">
        <f>IF($H301="","",INDEX('Journal'!$I$8:$I$2007,$H301))</f>
      </c>
      <c r="G301" s="11">
        <f>IF($H301="","",N(G300)+N(E301)-N(F301))</f>
      </c>
      <c r="H301" s="10">
        <f t="array" ref="H301">IFERROR(SMALL(IF('Journal'!$D$8:$D$2007=$C$5,ROW('Journal'!$D$8:$D$2007)-7),294),"")</f>
      </c>
    </row>
    <row r="302">
      <c r="A302" s="13">
        <f>IF($H302="","",INDEX('Journal'!$A$8:$A$2007,$H302))</f>
      </c>
      <c r="B302" s="10">
        <f>IF($H302="","",INDEX('Journal'!$B$8:$B$2007,$H302))</f>
      </c>
      <c r="C302" s="9">
        <f>IF($H302="","",INDEX('Journal'!$C$8:$C$2007,$H302))</f>
      </c>
      <c r="D302" s="9">
        <f>IF($H302="","",INDEX('Journal'!$F$8:$F$2007,$H302))</f>
      </c>
      <c r="E302" s="11">
        <f>IF($H302="","",INDEX('Journal'!$H$8:$H$2007,$H302))</f>
      </c>
      <c r="F302" s="11">
        <f>IF($H302="","",INDEX('Journal'!$I$8:$I$2007,$H302))</f>
      </c>
      <c r="G302" s="11">
        <f>IF($H302="","",N(G301)+N(E302)-N(F302))</f>
      </c>
      <c r="H302" s="10">
        <f t="array" ref="H302">IFERROR(SMALL(IF('Journal'!$D$8:$D$2007=$C$5,ROW('Journal'!$D$8:$D$2007)-7),295),"")</f>
      </c>
    </row>
    <row r="303">
      <c r="A303" s="13">
        <f>IF($H303="","",INDEX('Journal'!$A$8:$A$2007,$H303))</f>
      </c>
      <c r="B303" s="10">
        <f>IF($H303="","",INDEX('Journal'!$B$8:$B$2007,$H303))</f>
      </c>
      <c r="C303" s="9">
        <f>IF($H303="","",INDEX('Journal'!$C$8:$C$2007,$H303))</f>
      </c>
      <c r="D303" s="9">
        <f>IF($H303="","",INDEX('Journal'!$F$8:$F$2007,$H303))</f>
      </c>
      <c r="E303" s="11">
        <f>IF($H303="","",INDEX('Journal'!$H$8:$H$2007,$H303))</f>
      </c>
      <c r="F303" s="11">
        <f>IF($H303="","",INDEX('Journal'!$I$8:$I$2007,$H303))</f>
      </c>
      <c r="G303" s="11">
        <f>IF($H303="","",N(G302)+N(E303)-N(F303))</f>
      </c>
      <c r="H303" s="10">
        <f t="array" ref="H303">IFERROR(SMALL(IF('Journal'!$D$8:$D$2007=$C$5,ROW('Journal'!$D$8:$D$2007)-7),296),"")</f>
      </c>
    </row>
    <row r="304">
      <c r="A304" s="13">
        <f>IF($H304="","",INDEX('Journal'!$A$8:$A$2007,$H304))</f>
      </c>
      <c r="B304" s="10">
        <f>IF($H304="","",INDEX('Journal'!$B$8:$B$2007,$H304))</f>
      </c>
      <c r="C304" s="9">
        <f>IF($H304="","",INDEX('Journal'!$C$8:$C$2007,$H304))</f>
      </c>
      <c r="D304" s="9">
        <f>IF($H304="","",INDEX('Journal'!$F$8:$F$2007,$H304))</f>
      </c>
      <c r="E304" s="11">
        <f>IF($H304="","",INDEX('Journal'!$H$8:$H$2007,$H304))</f>
      </c>
      <c r="F304" s="11">
        <f>IF($H304="","",INDEX('Journal'!$I$8:$I$2007,$H304))</f>
      </c>
      <c r="G304" s="11">
        <f>IF($H304="","",N(G303)+N(E304)-N(F304))</f>
      </c>
      <c r="H304" s="10">
        <f t="array" ref="H304">IFERROR(SMALL(IF('Journal'!$D$8:$D$2007=$C$5,ROW('Journal'!$D$8:$D$2007)-7),297),"")</f>
      </c>
    </row>
    <row r="305">
      <c r="A305" s="13">
        <f>IF($H305="","",INDEX('Journal'!$A$8:$A$2007,$H305))</f>
      </c>
      <c r="B305" s="10">
        <f>IF($H305="","",INDEX('Journal'!$B$8:$B$2007,$H305))</f>
      </c>
      <c r="C305" s="9">
        <f>IF($H305="","",INDEX('Journal'!$C$8:$C$2007,$H305))</f>
      </c>
      <c r="D305" s="9">
        <f>IF($H305="","",INDEX('Journal'!$F$8:$F$2007,$H305))</f>
      </c>
      <c r="E305" s="11">
        <f>IF($H305="","",INDEX('Journal'!$H$8:$H$2007,$H305))</f>
      </c>
      <c r="F305" s="11">
        <f>IF($H305="","",INDEX('Journal'!$I$8:$I$2007,$H305))</f>
      </c>
      <c r="G305" s="11">
        <f>IF($H305="","",N(G304)+N(E305)-N(F305))</f>
      </c>
      <c r="H305" s="10">
        <f t="array" ref="H305">IFERROR(SMALL(IF('Journal'!$D$8:$D$2007=$C$5,ROW('Journal'!$D$8:$D$2007)-7),298),"")</f>
      </c>
    </row>
    <row r="306">
      <c r="A306" s="13">
        <f>IF($H306="","",INDEX('Journal'!$A$8:$A$2007,$H306))</f>
      </c>
      <c r="B306" s="10">
        <f>IF($H306="","",INDEX('Journal'!$B$8:$B$2007,$H306))</f>
      </c>
      <c r="C306" s="9">
        <f>IF($H306="","",INDEX('Journal'!$C$8:$C$2007,$H306))</f>
      </c>
      <c r="D306" s="9">
        <f>IF($H306="","",INDEX('Journal'!$F$8:$F$2007,$H306))</f>
      </c>
      <c r="E306" s="11">
        <f>IF($H306="","",INDEX('Journal'!$H$8:$H$2007,$H306))</f>
      </c>
      <c r="F306" s="11">
        <f>IF($H306="","",INDEX('Journal'!$I$8:$I$2007,$H306))</f>
      </c>
      <c r="G306" s="11">
        <f>IF($H306="","",N(G305)+N(E306)-N(F306))</f>
      </c>
      <c r="H306" s="10">
        <f t="array" ref="H306">IFERROR(SMALL(IF('Journal'!$D$8:$D$2007=$C$5,ROW('Journal'!$D$8:$D$2007)-7),299),"")</f>
      </c>
    </row>
    <row r="307">
      <c r="A307" s="13">
        <f>IF($H307="","",INDEX('Journal'!$A$8:$A$2007,$H307))</f>
      </c>
      <c r="B307" s="10">
        <f>IF($H307="","",INDEX('Journal'!$B$8:$B$2007,$H307))</f>
      </c>
      <c r="C307" s="9">
        <f>IF($H307="","",INDEX('Journal'!$C$8:$C$2007,$H307))</f>
      </c>
      <c r="D307" s="9">
        <f>IF($H307="","",INDEX('Journal'!$F$8:$F$2007,$H307))</f>
      </c>
      <c r="E307" s="11">
        <f>IF($H307="","",INDEX('Journal'!$H$8:$H$2007,$H307))</f>
      </c>
      <c r="F307" s="11">
        <f>IF($H307="","",INDEX('Journal'!$I$8:$I$2007,$H307))</f>
      </c>
      <c r="G307" s="11">
        <f>IF($H307="","",N(G306)+N(E307)-N(F307))</f>
      </c>
      <c r="H307" s="10">
        <f t="array" ref="H307">IFERROR(SMALL(IF('Journal'!$D$8:$D$2007=$C$5,ROW('Journal'!$D$8:$D$2007)-7),300),"")</f>
      </c>
    </row>
    <row r="308">
      <c r="A308" s="13">
        <f>IF($H308="","",INDEX('Journal'!$A$8:$A$2007,$H308))</f>
      </c>
      <c r="B308" s="10">
        <f>IF($H308="","",INDEX('Journal'!$B$8:$B$2007,$H308))</f>
      </c>
      <c r="C308" s="9">
        <f>IF($H308="","",INDEX('Journal'!$C$8:$C$2007,$H308))</f>
      </c>
      <c r="D308" s="9">
        <f>IF($H308="","",INDEX('Journal'!$F$8:$F$2007,$H308))</f>
      </c>
      <c r="E308" s="11">
        <f>IF($H308="","",INDEX('Journal'!$H$8:$H$2007,$H308))</f>
      </c>
      <c r="F308" s="11">
        <f>IF($H308="","",INDEX('Journal'!$I$8:$I$2007,$H308))</f>
      </c>
      <c r="G308" s="11">
        <f>IF($H308="","",N(G307)+N(E308)-N(F308))</f>
      </c>
      <c r="H308" s="10">
        <f t="array" ref="H308">IFERROR(SMALL(IF('Journal'!$D$8:$D$2007=$C$5,ROW('Journal'!$D$8:$D$2007)-7),301),"")</f>
      </c>
    </row>
    <row r="309">
      <c r="A309" s="13">
        <f>IF($H309="","",INDEX('Journal'!$A$8:$A$2007,$H309))</f>
      </c>
      <c r="B309" s="10">
        <f>IF($H309="","",INDEX('Journal'!$B$8:$B$2007,$H309))</f>
      </c>
      <c r="C309" s="9">
        <f>IF($H309="","",INDEX('Journal'!$C$8:$C$2007,$H309))</f>
      </c>
      <c r="D309" s="9">
        <f>IF($H309="","",INDEX('Journal'!$F$8:$F$2007,$H309))</f>
      </c>
      <c r="E309" s="11">
        <f>IF($H309="","",INDEX('Journal'!$H$8:$H$2007,$H309))</f>
      </c>
      <c r="F309" s="11">
        <f>IF($H309="","",INDEX('Journal'!$I$8:$I$2007,$H309))</f>
      </c>
      <c r="G309" s="11">
        <f>IF($H309="","",N(G308)+N(E309)-N(F309))</f>
      </c>
      <c r="H309" s="10">
        <f t="array" ref="H309">IFERROR(SMALL(IF('Journal'!$D$8:$D$2007=$C$5,ROW('Journal'!$D$8:$D$2007)-7),302),"")</f>
      </c>
    </row>
    <row r="310">
      <c r="A310" s="13">
        <f>IF($H310="","",INDEX('Journal'!$A$8:$A$2007,$H310))</f>
      </c>
      <c r="B310" s="10">
        <f>IF($H310="","",INDEX('Journal'!$B$8:$B$2007,$H310))</f>
      </c>
      <c r="C310" s="9">
        <f>IF($H310="","",INDEX('Journal'!$C$8:$C$2007,$H310))</f>
      </c>
      <c r="D310" s="9">
        <f>IF($H310="","",INDEX('Journal'!$F$8:$F$2007,$H310))</f>
      </c>
      <c r="E310" s="11">
        <f>IF($H310="","",INDEX('Journal'!$H$8:$H$2007,$H310))</f>
      </c>
      <c r="F310" s="11">
        <f>IF($H310="","",INDEX('Journal'!$I$8:$I$2007,$H310))</f>
      </c>
      <c r="G310" s="11">
        <f>IF($H310="","",N(G309)+N(E310)-N(F310))</f>
      </c>
      <c r="H310" s="10">
        <f t="array" ref="H310">IFERROR(SMALL(IF('Journal'!$D$8:$D$2007=$C$5,ROW('Journal'!$D$8:$D$2007)-7),303),"")</f>
      </c>
    </row>
    <row r="311">
      <c r="A311" s="13">
        <f>IF($H311="","",INDEX('Journal'!$A$8:$A$2007,$H311))</f>
      </c>
      <c r="B311" s="10">
        <f>IF($H311="","",INDEX('Journal'!$B$8:$B$2007,$H311))</f>
      </c>
      <c r="C311" s="9">
        <f>IF($H311="","",INDEX('Journal'!$C$8:$C$2007,$H311))</f>
      </c>
      <c r="D311" s="9">
        <f>IF($H311="","",INDEX('Journal'!$F$8:$F$2007,$H311))</f>
      </c>
      <c r="E311" s="11">
        <f>IF($H311="","",INDEX('Journal'!$H$8:$H$2007,$H311))</f>
      </c>
      <c r="F311" s="11">
        <f>IF($H311="","",INDEX('Journal'!$I$8:$I$2007,$H311))</f>
      </c>
      <c r="G311" s="11">
        <f>IF($H311="","",N(G310)+N(E311)-N(F311))</f>
      </c>
      <c r="H311" s="10">
        <f t="array" ref="H311">IFERROR(SMALL(IF('Journal'!$D$8:$D$2007=$C$5,ROW('Journal'!$D$8:$D$2007)-7),304),"")</f>
      </c>
    </row>
    <row r="312">
      <c r="A312" s="13">
        <f>IF($H312="","",INDEX('Journal'!$A$8:$A$2007,$H312))</f>
      </c>
      <c r="B312" s="10">
        <f>IF($H312="","",INDEX('Journal'!$B$8:$B$2007,$H312))</f>
      </c>
      <c r="C312" s="9">
        <f>IF($H312="","",INDEX('Journal'!$C$8:$C$2007,$H312))</f>
      </c>
      <c r="D312" s="9">
        <f>IF($H312="","",INDEX('Journal'!$F$8:$F$2007,$H312))</f>
      </c>
      <c r="E312" s="11">
        <f>IF($H312="","",INDEX('Journal'!$H$8:$H$2007,$H312))</f>
      </c>
      <c r="F312" s="11">
        <f>IF($H312="","",INDEX('Journal'!$I$8:$I$2007,$H312))</f>
      </c>
      <c r="G312" s="11">
        <f>IF($H312="","",N(G311)+N(E312)-N(F312))</f>
      </c>
      <c r="H312" s="10">
        <f t="array" ref="H312">IFERROR(SMALL(IF('Journal'!$D$8:$D$2007=$C$5,ROW('Journal'!$D$8:$D$2007)-7),305),"")</f>
      </c>
    </row>
    <row r="313">
      <c r="A313" s="13">
        <f>IF($H313="","",INDEX('Journal'!$A$8:$A$2007,$H313))</f>
      </c>
      <c r="B313" s="10">
        <f>IF($H313="","",INDEX('Journal'!$B$8:$B$2007,$H313))</f>
      </c>
      <c r="C313" s="9">
        <f>IF($H313="","",INDEX('Journal'!$C$8:$C$2007,$H313))</f>
      </c>
      <c r="D313" s="9">
        <f>IF($H313="","",INDEX('Journal'!$F$8:$F$2007,$H313))</f>
      </c>
      <c r="E313" s="11">
        <f>IF($H313="","",INDEX('Journal'!$H$8:$H$2007,$H313))</f>
      </c>
      <c r="F313" s="11">
        <f>IF($H313="","",INDEX('Journal'!$I$8:$I$2007,$H313))</f>
      </c>
      <c r="G313" s="11">
        <f>IF($H313="","",N(G312)+N(E313)-N(F313))</f>
      </c>
      <c r="H313" s="10">
        <f t="array" ref="H313">IFERROR(SMALL(IF('Journal'!$D$8:$D$2007=$C$5,ROW('Journal'!$D$8:$D$2007)-7),306),"")</f>
      </c>
    </row>
    <row r="314">
      <c r="A314" s="13">
        <f>IF($H314="","",INDEX('Journal'!$A$8:$A$2007,$H314))</f>
      </c>
      <c r="B314" s="10">
        <f>IF($H314="","",INDEX('Journal'!$B$8:$B$2007,$H314))</f>
      </c>
      <c r="C314" s="9">
        <f>IF($H314="","",INDEX('Journal'!$C$8:$C$2007,$H314))</f>
      </c>
      <c r="D314" s="9">
        <f>IF($H314="","",INDEX('Journal'!$F$8:$F$2007,$H314))</f>
      </c>
      <c r="E314" s="11">
        <f>IF($H314="","",INDEX('Journal'!$H$8:$H$2007,$H314))</f>
      </c>
      <c r="F314" s="11">
        <f>IF($H314="","",INDEX('Journal'!$I$8:$I$2007,$H314))</f>
      </c>
      <c r="G314" s="11">
        <f>IF($H314="","",N(G313)+N(E314)-N(F314))</f>
      </c>
      <c r="H314" s="10">
        <f t="array" ref="H314">IFERROR(SMALL(IF('Journal'!$D$8:$D$2007=$C$5,ROW('Journal'!$D$8:$D$2007)-7),307),"")</f>
      </c>
    </row>
    <row r="315">
      <c r="A315" s="13">
        <f>IF($H315="","",INDEX('Journal'!$A$8:$A$2007,$H315))</f>
      </c>
      <c r="B315" s="10">
        <f>IF($H315="","",INDEX('Journal'!$B$8:$B$2007,$H315))</f>
      </c>
      <c r="C315" s="9">
        <f>IF($H315="","",INDEX('Journal'!$C$8:$C$2007,$H315))</f>
      </c>
      <c r="D315" s="9">
        <f>IF($H315="","",INDEX('Journal'!$F$8:$F$2007,$H315))</f>
      </c>
      <c r="E315" s="11">
        <f>IF($H315="","",INDEX('Journal'!$H$8:$H$2007,$H315))</f>
      </c>
      <c r="F315" s="11">
        <f>IF($H315="","",INDEX('Journal'!$I$8:$I$2007,$H315))</f>
      </c>
      <c r="G315" s="11">
        <f>IF($H315="","",N(G314)+N(E315)-N(F315))</f>
      </c>
      <c r="H315" s="10">
        <f t="array" ref="H315">IFERROR(SMALL(IF('Journal'!$D$8:$D$2007=$C$5,ROW('Journal'!$D$8:$D$2007)-7),308),"")</f>
      </c>
    </row>
    <row r="316">
      <c r="A316" s="13">
        <f>IF($H316="","",INDEX('Journal'!$A$8:$A$2007,$H316))</f>
      </c>
      <c r="B316" s="10">
        <f>IF($H316="","",INDEX('Journal'!$B$8:$B$2007,$H316))</f>
      </c>
      <c r="C316" s="9">
        <f>IF($H316="","",INDEX('Journal'!$C$8:$C$2007,$H316))</f>
      </c>
      <c r="D316" s="9">
        <f>IF($H316="","",INDEX('Journal'!$F$8:$F$2007,$H316))</f>
      </c>
      <c r="E316" s="11">
        <f>IF($H316="","",INDEX('Journal'!$H$8:$H$2007,$H316))</f>
      </c>
      <c r="F316" s="11">
        <f>IF($H316="","",INDEX('Journal'!$I$8:$I$2007,$H316))</f>
      </c>
      <c r="G316" s="11">
        <f>IF($H316="","",N(G315)+N(E316)-N(F316))</f>
      </c>
      <c r="H316" s="10">
        <f t="array" ref="H316">IFERROR(SMALL(IF('Journal'!$D$8:$D$2007=$C$5,ROW('Journal'!$D$8:$D$2007)-7),309),"")</f>
      </c>
    </row>
    <row r="317">
      <c r="A317" s="13">
        <f>IF($H317="","",INDEX('Journal'!$A$8:$A$2007,$H317))</f>
      </c>
      <c r="B317" s="10">
        <f>IF($H317="","",INDEX('Journal'!$B$8:$B$2007,$H317))</f>
      </c>
      <c r="C317" s="9">
        <f>IF($H317="","",INDEX('Journal'!$C$8:$C$2007,$H317))</f>
      </c>
      <c r="D317" s="9">
        <f>IF($H317="","",INDEX('Journal'!$F$8:$F$2007,$H317))</f>
      </c>
      <c r="E317" s="11">
        <f>IF($H317="","",INDEX('Journal'!$H$8:$H$2007,$H317))</f>
      </c>
      <c r="F317" s="11">
        <f>IF($H317="","",INDEX('Journal'!$I$8:$I$2007,$H317))</f>
      </c>
      <c r="G317" s="11">
        <f>IF($H317="","",N(G316)+N(E317)-N(F317))</f>
      </c>
      <c r="H317" s="10">
        <f t="array" ref="H317">IFERROR(SMALL(IF('Journal'!$D$8:$D$2007=$C$5,ROW('Journal'!$D$8:$D$2007)-7),310),"")</f>
      </c>
    </row>
    <row r="318">
      <c r="A318" s="13">
        <f>IF($H318="","",INDEX('Journal'!$A$8:$A$2007,$H318))</f>
      </c>
      <c r="B318" s="10">
        <f>IF($H318="","",INDEX('Journal'!$B$8:$B$2007,$H318))</f>
      </c>
      <c r="C318" s="9">
        <f>IF($H318="","",INDEX('Journal'!$C$8:$C$2007,$H318))</f>
      </c>
      <c r="D318" s="9">
        <f>IF($H318="","",INDEX('Journal'!$F$8:$F$2007,$H318))</f>
      </c>
      <c r="E318" s="11">
        <f>IF($H318="","",INDEX('Journal'!$H$8:$H$2007,$H318))</f>
      </c>
      <c r="F318" s="11">
        <f>IF($H318="","",INDEX('Journal'!$I$8:$I$2007,$H318))</f>
      </c>
      <c r="G318" s="11">
        <f>IF($H318="","",N(G317)+N(E318)-N(F318))</f>
      </c>
      <c r="H318" s="10">
        <f t="array" ref="H318">IFERROR(SMALL(IF('Journal'!$D$8:$D$2007=$C$5,ROW('Journal'!$D$8:$D$2007)-7),311),"")</f>
      </c>
    </row>
    <row r="319">
      <c r="A319" s="13">
        <f>IF($H319="","",INDEX('Journal'!$A$8:$A$2007,$H319))</f>
      </c>
      <c r="B319" s="10">
        <f>IF($H319="","",INDEX('Journal'!$B$8:$B$2007,$H319))</f>
      </c>
      <c r="C319" s="9">
        <f>IF($H319="","",INDEX('Journal'!$C$8:$C$2007,$H319))</f>
      </c>
      <c r="D319" s="9">
        <f>IF($H319="","",INDEX('Journal'!$F$8:$F$2007,$H319))</f>
      </c>
      <c r="E319" s="11">
        <f>IF($H319="","",INDEX('Journal'!$H$8:$H$2007,$H319))</f>
      </c>
      <c r="F319" s="11">
        <f>IF($H319="","",INDEX('Journal'!$I$8:$I$2007,$H319))</f>
      </c>
      <c r="G319" s="11">
        <f>IF($H319="","",N(G318)+N(E319)-N(F319))</f>
      </c>
      <c r="H319" s="10">
        <f t="array" ref="H319">IFERROR(SMALL(IF('Journal'!$D$8:$D$2007=$C$5,ROW('Journal'!$D$8:$D$2007)-7),312),"")</f>
      </c>
    </row>
    <row r="320">
      <c r="A320" s="13">
        <f>IF($H320="","",INDEX('Journal'!$A$8:$A$2007,$H320))</f>
      </c>
      <c r="B320" s="10">
        <f>IF($H320="","",INDEX('Journal'!$B$8:$B$2007,$H320))</f>
      </c>
      <c r="C320" s="9">
        <f>IF($H320="","",INDEX('Journal'!$C$8:$C$2007,$H320))</f>
      </c>
      <c r="D320" s="9">
        <f>IF($H320="","",INDEX('Journal'!$F$8:$F$2007,$H320))</f>
      </c>
      <c r="E320" s="11">
        <f>IF($H320="","",INDEX('Journal'!$H$8:$H$2007,$H320))</f>
      </c>
      <c r="F320" s="11">
        <f>IF($H320="","",INDEX('Journal'!$I$8:$I$2007,$H320))</f>
      </c>
      <c r="G320" s="11">
        <f>IF($H320="","",N(G319)+N(E320)-N(F320))</f>
      </c>
      <c r="H320" s="10">
        <f t="array" ref="H320">IFERROR(SMALL(IF('Journal'!$D$8:$D$2007=$C$5,ROW('Journal'!$D$8:$D$2007)-7),313),"")</f>
      </c>
    </row>
    <row r="321">
      <c r="A321" s="13">
        <f>IF($H321="","",INDEX('Journal'!$A$8:$A$2007,$H321))</f>
      </c>
      <c r="B321" s="10">
        <f>IF($H321="","",INDEX('Journal'!$B$8:$B$2007,$H321))</f>
      </c>
      <c r="C321" s="9">
        <f>IF($H321="","",INDEX('Journal'!$C$8:$C$2007,$H321))</f>
      </c>
      <c r="D321" s="9">
        <f>IF($H321="","",INDEX('Journal'!$F$8:$F$2007,$H321))</f>
      </c>
      <c r="E321" s="11">
        <f>IF($H321="","",INDEX('Journal'!$H$8:$H$2007,$H321))</f>
      </c>
      <c r="F321" s="11">
        <f>IF($H321="","",INDEX('Journal'!$I$8:$I$2007,$H321))</f>
      </c>
      <c r="G321" s="11">
        <f>IF($H321="","",N(G320)+N(E321)-N(F321))</f>
      </c>
      <c r="H321" s="10">
        <f t="array" ref="H321">IFERROR(SMALL(IF('Journal'!$D$8:$D$2007=$C$5,ROW('Journal'!$D$8:$D$2007)-7),314),"")</f>
      </c>
    </row>
    <row r="322">
      <c r="A322" s="13">
        <f>IF($H322="","",INDEX('Journal'!$A$8:$A$2007,$H322))</f>
      </c>
      <c r="B322" s="10">
        <f>IF($H322="","",INDEX('Journal'!$B$8:$B$2007,$H322))</f>
      </c>
      <c r="C322" s="9">
        <f>IF($H322="","",INDEX('Journal'!$C$8:$C$2007,$H322))</f>
      </c>
      <c r="D322" s="9">
        <f>IF($H322="","",INDEX('Journal'!$F$8:$F$2007,$H322))</f>
      </c>
      <c r="E322" s="11">
        <f>IF($H322="","",INDEX('Journal'!$H$8:$H$2007,$H322))</f>
      </c>
      <c r="F322" s="11">
        <f>IF($H322="","",INDEX('Journal'!$I$8:$I$2007,$H322))</f>
      </c>
      <c r="G322" s="11">
        <f>IF($H322="","",N(G321)+N(E322)-N(F322))</f>
      </c>
      <c r="H322" s="10">
        <f t="array" ref="H322">IFERROR(SMALL(IF('Journal'!$D$8:$D$2007=$C$5,ROW('Journal'!$D$8:$D$2007)-7),315),"")</f>
      </c>
    </row>
    <row r="323">
      <c r="A323" s="13">
        <f>IF($H323="","",INDEX('Journal'!$A$8:$A$2007,$H323))</f>
      </c>
      <c r="B323" s="10">
        <f>IF($H323="","",INDEX('Journal'!$B$8:$B$2007,$H323))</f>
      </c>
      <c r="C323" s="9">
        <f>IF($H323="","",INDEX('Journal'!$C$8:$C$2007,$H323))</f>
      </c>
      <c r="D323" s="9">
        <f>IF($H323="","",INDEX('Journal'!$F$8:$F$2007,$H323))</f>
      </c>
      <c r="E323" s="11">
        <f>IF($H323="","",INDEX('Journal'!$H$8:$H$2007,$H323))</f>
      </c>
      <c r="F323" s="11">
        <f>IF($H323="","",INDEX('Journal'!$I$8:$I$2007,$H323))</f>
      </c>
      <c r="G323" s="11">
        <f>IF($H323="","",N(G322)+N(E323)-N(F323))</f>
      </c>
      <c r="H323" s="10">
        <f t="array" ref="H323">IFERROR(SMALL(IF('Journal'!$D$8:$D$2007=$C$5,ROW('Journal'!$D$8:$D$2007)-7),316),"")</f>
      </c>
    </row>
    <row r="324">
      <c r="A324" s="13">
        <f>IF($H324="","",INDEX('Journal'!$A$8:$A$2007,$H324))</f>
      </c>
      <c r="B324" s="10">
        <f>IF($H324="","",INDEX('Journal'!$B$8:$B$2007,$H324))</f>
      </c>
      <c r="C324" s="9">
        <f>IF($H324="","",INDEX('Journal'!$C$8:$C$2007,$H324))</f>
      </c>
      <c r="D324" s="9">
        <f>IF($H324="","",INDEX('Journal'!$F$8:$F$2007,$H324))</f>
      </c>
      <c r="E324" s="11">
        <f>IF($H324="","",INDEX('Journal'!$H$8:$H$2007,$H324))</f>
      </c>
      <c r="F324" s="11">
        <f>IF($H324="","",INDEX('Journal'!$I$8:$I$2007,$H324))</f>
      </c>
      <c r="G324" s="11">
        <f>IF($H324="","",N(G323)+N(E324)-N(F324))</f>
      </c>
      <c r="H324" s="10">
        <f t="array" ref="H324">IFERROR(SMALL(IF('Journal'!$D$8:$D$2007=$C$5,ROW('Journal'!$D$8:$D$2007)-7),317),"")</f>
      </c>
    </row>
    <row r="325">
      <c r="A325" s="13">
        <f>IF($H325="","",INDEX('Journal'!$A$8:$A$2007,$H325))</f>
      </c>
      <c r="B325" s="10">
        <f>IF($H325="","",INDEX('Journal'!$B$8:$B$2007,$H325))</f>
      </c>
      <c r="C325" s="9">
        <f>IF($H325="","",INDEX('Journal'!$C$8:$C$2007,$H325))</f>
      </c>
      <c r="D325" s="9">
        <f>IF($H325="","",INDEX('Journal'!$F$8:$F$2007,$H325))</f>
      </c>
      <c r="E325" s="11">
        <f>IF($H325="","",INDEX('Journal'!$H$8:$H$2007,$H325))</f>
      </c>
      <c r="F325" s="11">
        <f>IF($H325="","",INDEX('Journal'!$I$8:$I$2007,$H325))</f>
      </c>
      <c r="G325" s="11">
        <f>IF($H325="","",N(G324)+N(E325)-N(F325))</f>
      </c>
      <c r="H325" s="10">
        <f t="array" ref="H325">IFERROR(SMALL(IF('Journal'!$D$8:$D$2007=$C$5,ROW('Journal'!$D$8:$D$2007)-7),318),"")</f>
      </c>
    </row>
    <row r="326">
      <c r="A326" s="13">
        <f>IF($H326="","",INDEX('Journal'!$A$8:$A$2007,$H326))</f>
      </c>
      <c r="B326" s="10">
        <f>IF($H326="","",INDEX('Journal'!$B$8:$B$2007,$H326))</f>
      </c>
      <c r="C326" s="9">
        <f>IF($H326="","",INDEX('Journal'!$C$8:$C$2007,$H326))</f>
      </c>
      <c r="D326" s="9">
        <f>IF($H326="","",INDEX('Journal'!$F$8:$F$2007,$H326))</f>
      </c>
      <c r="E326" s="11">
        <f>IF($H326="","",INDEX('Journal'!$H$8:$H$2007,$H326))</f>
      </c>
      <c r="F326" s="11">
        <f>IF($H326="","",INDEX('Journal'!$I$8:$I$2007,$H326))</f>
      </c>
      <c r="G326" s="11">
        <f>IF($H326="","",N(G325)+N(E326)-N(F326))</f>
      </c>
      <c r="H326" s="10">
        <f t="array" ref="H326">IFERROR(SMALL(IF('Journal'!$D$8:$D$2007=$C$5,ROW('Journal'!$D$8:$D$2007)-7),319),"")</f>
      </c>
    </row>
    <row r="327">
      <c r="A327" s="13">
        <f>IF($H327="","",INDEX('Journal'!$A$8:$A$2007,$H327))</f>
      </c>
      <c r="B327" s="10">
        <f>IF($H327="","",INDEX('Journal'!$B$8:$B$2007,$H327))</f>
      </c>
      <c r="C327" s="9">
        <f>IF($H327="","",INDEX('Journal'!$C$8:$C$2007,$H327))</f>
      </c>
      <c r="D327" s="9">
        <f>IF($H327="","",INDEX('Journal'!$F$8:$F$2007,$H327))</f>
      </c>
      <c r="E327" s="11">
        <f>IF($H327="","",INDEX('Journal'!$H$8:$H$2007,$H327))</f>
      </c>
      <c r="F327" s="11">
        <f>IF($H327="","",INDEX('Journal'!$I$8:$I$2007,$H327))</f>
      </c>
      <c r="G327" s="11">
        <f>IF($H327="","",N(G326)+N(E327)-N(F327))</f>
      </c>
      <c r="H327" s="10">
        <f t="array" ref="H327">IFERROR(SMALL(IF('Journal'!$D$8:$D$2007=$C$5,ROW('Journal'!$D$8:$D$2007)-7),320),"")</f>
      </c>
    </row>
    <row r="328">
      <c r="A328" s="13">
        <f>IF($H328="","",INDEX('Journal'!$A$8:$A$2007,$H328))</f>
      </c>
      <c r="B328" s="10">
        <f>IF($H328="","",INDEX('Journal'!$B$8:$B$2007,$H328))</f>
      </c>
      <c r="C328" s="9">
        <f>IF($H328="","",INDEX('Journal'!$C$8:$C$2007,$H328))</f>
      </c>
      <c r="D328" s="9">
        <f>IF($H328="","",INDEX('Journal'!$F$8:$F$2007,$H328))</f>
      </c>
      <c r="E328" s="11">
        <f>IF($H328="","",INDEX('Journal'!$H$8:$H$2007,$H328))</f>
      </c>
      <c r="F328" s="11">
        <f>IF($H328="","",INDEX('Journal'!$I$8:$I$2007,$H328))</f>
      </c>
      <c r="G328" s="11">
        <f>IF($H328="","",N(G327)+N(E328)-N(F328))</f>
      </c>
      <c r="H328" s="10">
        <f t="array" ref="H328">IFERROR(SMALL(IF('Journal'!$D$8:$D$2007=$C$5,ROW('Journal'!$D$8:$D$2007)-7),321),"")</f>
      </c>
    </row>
    <row r="329">
      <c r="A329" s="13">
        <f>IF($H329="","",INDEX('Journal'!$A$8:$A$2007,$H329))</f>
      </c>
      <c r="B329" s="10">
        <f>IF($H329="","",INDEX('Journal'!$B$8:$B$2007,$H329))</f>
      </c>
      <c r="C329" s="9">
        <f>IF($H329="","",INDEX('Journal'!$C$8:$C$2007,$H329))</f>
      </c>
      <c r="D329" s="9">
        <f>IF($H329="","",INDEX('Journal'!$F$8:$F$2007,$H329))</f>
      </c>
      <c r="E329" s="11">
        <f>IF($H329="","",INDEX('Journal'!$H$8:$H$2007,$H329))</f>
      </c>
      <c r="F329" s="11">
        <f>IF($H329="","",INDEX('Journal'!$I$8:$I$2007,$H329))</f>
      </c>
      <c r="G329" s="11">
        <f>IF($H329="","",N(G328)+N(E329)-N(F329))</f>
      </c>
      <c r="H329" s="10">
        <f t="array" ref="H329">IFERROR(SMALL(IF('Journal'!$D$8:$D$2007=$C$5,ROW('Journal'!$D$8:$D$2007)-7),322),"")</f>
      </c>
    </row>
    <row r="330">
      <c r="A330" s="13">
        <f>IF($H330="","",INDEX('Journal'!$A$8:$A$2007,$H330))</f>
      </c>
      <c r="B330" s="10">
        <f>IF($H330="","",INDEX('Journal'!$B$8:$B$2007,$H330))</f>
      </c>
      <c r="C330" s="9">
        <f>IF($H330="","",INDEX('Journal'!$C$8:$C$2007,$H330))</f>
      </c>
      <c r="D330" s="9">
        <f>IF($H330="","",INDEX('Journal'!$F$8:$F$2007,$H330))</f>
      </c>
      <c r="E330" s="11">
        <f>IF($H330="","",INDEX('Journal'!$H$8:$H$2007,$H330))</f>
      </c>
      <c r="F330" s="11">
        <f>IF($H330="","",INDEX('Journal'!$I$8:$I$2007,$H330))</f>
      </c>
      <c r="G330" s="11">
        <f>IF($H330="","",N(G329)+N(E330)-N(F330))</f>
      </c>
      <c r="H330" s="10">
        <f t="array" ref="H330">IFERROR(SMALL(IF('Journal'!$D$8:$D$2007=$C$5,ROW('Journal'!$D$8:$D$2007)-7),323),"")</f>
      </c>
    </row>
    <row r="331">
      <c r="A331" s="13">
        <f>IF($H331="","",INDEX('Journal'!$A$8:$A$2007,$H331))</f>
      </c>
      <c r="B331" s="10">
        <f>IF($H331="","",INDEX('Journal'!$B$8:$B$2007,$H331))</f>
      </c>
      <c r="C331" s="9">
        <f>IF($H331="","",INDEX('Journal'!$C$8:$C$2007,$H331))</f>
      </c>
      <c r="D331" s="9">
        <f>IF($H331="","",INDEX('Journal'!$F$8:$F$2007,$H331))</f>
      </c>
      <c r="E331" s="11">
        <f>IF($H331="","",INDEX('Journal'!$H$8:$H$2007,$H331))</f>
      </c>
      <c r="F331" s="11">
        <f>IF($H331="","",INDEX('Journal'!$I$8:$I$2007,$H331))</f>
      </c>
      <c r="G331" s="11">
        <f>IF($H331="","",N(G330)+N(E331)-N(F331))</f>
      </c>
      <c r="H331" s="10">
        <f t="array" ref="H331">IFERROR(SMALL(IF('Journal'!$D$8:$D$2007=$C$5,ROW('Journal'!$D$8:$D$2007)-7),324),"")</f>
      </c>
    </row>
    <row r="332">
      <c r="A332" s="13">
        <f>IF($H332="","",INDEX('Journal'!$A$8:$A$2007,$H332))</f>
      </c>
      <c r="B332" s="10">
        <f>IF($H332="","",INDEX('Journal'!$B$8:$B$2007,$H332))</f>
      </c>
      <c r="C332" s="9">
        <f>IF($H332="","",INDEX('Journal'!$C$8:$C$2007,$H332))</f>
      </c>
      <c r="D332" s="9">
        <f>IF($H332="","",INDEX('Journal'!$F$8:$F$2007,$H332))</f>
      </c>
      <c r="E332" s="11">
        <f>IF($H332="","",INDEX('Journal'!$H$8:$H$2007,$H332))</f>
      </c>
      <c r="F332" s="11">
        <f>IF($H332="","",INDEX('Journal'!$I$8:$I$2007,$H332))</f>
      </c>
      <c r="G332" s="11">
        <f>IF($H332="","",N(G331)+N(E332)-N(F332))</f>
      </c>
      <c r="H332" s="10">
        <f t="array" ref="H332">IFERROR(SMALL(IF('Journal'!$D$8:$D$2007=$C$5,ROW('Journal'!$D$8:$D$2007)-7),325),"")</f>
      </c>
    </row>
    <row r="333">
      <c r="A333" s="13">
        <f>IF($H333="","",INDEX('Journal'!$A$8:$A$2007,$H333))</f>
      </c>
      <c r="B333" s="10">
        <f>IF($H333="","",INDEX('Journal'!$B$8:$B$2007,$H333))</f>
      </c>
      <c r="C333" s="9">
        <f>IF($H333="","",INDEX('Journal'!$C$8:$C$2007,$H333))</f>
      </c>
      <c r="D333" s="9">
        <f>IF($H333="","",INDEX('Journal'!$F$8:$F$2007,$H333))</f>
      </c>
      <c r="E333" s="11">
        <f>IF($H333="","",INDEX('Journal'!$H$8:$H$2007,$H333))</f>
      </c>
      <c r="F333" s="11">
        <f>IF($H333="","",INDEX('Journal'!$I$8:$I$2007,$H333))</f>
      </c>
      <c r="G333" s="11">
        <f>IF($H333="","",N(G332)+N(E333)-N(F333))</f>
      </c>
      <c r="H333" s="10">
        <f t="array" ref="H333">IFERROR(SMALL(IF('Journal'!$D$8:$D$2007=$C$5,ROW('Journal'!$D$8:$D$2007)-7),326),"")</f>
      </c>
    </row>
    <row r="334">
      <c r="A334" s="13">
        <f>IF($H334="","",INDEX('Journal'!$A$8:$A$2007,$H334))</f>
      </c>
      <c r="B334" s="10">
        <f>IF($H334="","",INDEX('Journal'!$B$8:$B$2007,$H334))</f>
      </c>
      <c r="C334" s="9">
        <f>IF($H334="","",INDEX('Journal'!$C$8:$C$2007,$H334))</f>
      </c>
      <c r="D334" s="9">
        <f>IF($H334="","",INDEX('Journal'!$F$8:$F$2007,$H334))</f>
      </c>
      <c r="E334" s="11">
        <f>IF($H334="","",INDEX('Journal'!$H$8:$H$2007,$H334))</f>
      </c>
      <c r="F334" s="11">
        <f>IF($H334="","",INDEX('Journal'!$I$8:$I$2007,$H334))</f>
      </c>
      <c r="G334" s="11">
        <f>IF($H334="","",N(G333)+N(E334)-N(F334))</f>
      </c>
      <c r="H334" s="10">
        <f t="array" ref="H334">IFERROR(SMALL(IF('Journal'!$D$8:$D$2007=$C$5,ROW('Journal'!$D$8:$D$2007)-7),327),"")</f>
      </c>
    </row>
    <row r="335">
      <c r="A335" s="13">
        <f>IF($H335="","",INDEX('Journal'!$A$8:$A$2007,$H335))</f>
      </c>
      <c r="B335" s="10">
        <f>IF($H335="","",INDEX('Journal'!$B$8:$B$2007,$H335))</f>
      </c>
      <c r="C335" s="9">
        <f>IF($H335="","",INDEX('Journal'!$C$8:$C$2007,$H335))</f>
      </c>
      <c r="D335" s="9">
        <f>IF($H335="","",INDEX('Journal'!$F$8:$F$2007,$H335))</f>
      </c>
      <c r="E335" s="11">
        <f>IF($H335="","",INDEX('Journal'!$H$8:$H$2007,$H335))</f>
      </c>
      <c r="F335" s="11">
        <f>IF($H335="","",INDEX('Journal'!$I$8:$I$2007,$H335))</f>
      </c>
      <c r="G335" s="11">
        <f>IF($H335="","",N(G334)+N(E335)-N(F335))</f>
      </c>
      <c r="H335" s="10">
        <f t="array" ref="H335">IFERROR(SMALL(IF('Journal'!$D$8:$D$2007=$C$5,ROW('Journal'!$D$8:$D$2007)-7),328),"")</f>
      </c>
    </row>
    <row r="336">
      <c r="A336" s="13">
        <f>IF($H336="","",INDEX('Journal'!$A$8:$A$2007,$H336))</f>
      </c>
      <c r="B336" s="10">
        <f>IF($H336="","",INDEX('Journal'!$B$8:$B$2007,$H336))</f>
      </c>
      <c r="C336" s="9">
        <f>IF($H336="","",INDEX('Journal'!$C$8:$C$2007,$H336))</f>
      </c>
      <c r="D336" s="9">
        <f>IF($H336="","",INDEX('Journal'!$F$8:$F$2007,$H336))</f>
      </c>
      <c r="E336" s="11">
        <f>IF($H336="","",INDEX('Journal'!$H$8:$H$2007,$H336))</f>
      </c>
      <c r="F336" s="11">
        <f>IF($H336="","",INDEX('Journal'!$I$8:$I$2007,$H336))</f>
      </c>
      <c r="G336" s="11">
        <f>IF($H336="","",N(G335)+N(E336)-N(F336))</f>
      </c>
      <c r="H336" s="10">
        <f t="array" ref="H336">IFERROR(SMALL(IF('Journal'!$D$8:$D$2007=$C$5,ROW('Journal'!$D$8:$D$2007)-7),329),"")</f>
      </c>
    </row>
    <row r="337">
      <c r="A337" s="13">
        <f>IF($H337="","",INDEX('Journal'!$A$8:$A$2007,$H337))</f>
      </c>
      <c r="B337" s="10">
        <f>IF($H337="","",INDEX('Journal'!$B$8:$B$2007,$H337))</f>
      </c>
      <c r="C337" s="9">
        <f>IF($H337="","",INDEX('Journal'!$C$8:$C$2007,$H337))</f>
      </c>
      <c r="D337" s="9">
        <f>IF($H337="","",INDEX('Journal'!$F$8:$F$2007,$H337))</f>
      </c>
      <c r="E337" s="11">
        <f>IF($H337="","",INDEX('Journal'!$H$8:$H$2007,$H337))</f>
      </c>
      <c r="F337" s="11">
        <f>IF($H337="","",INDEX('Journal'!$I$8:$I$2007,$H337))</f>
      </c>
      <c r="G337" s="11">
        <f>IF($H337="","",N(G336)+N(E337)-N(F337))</f>
      </c>
      <c r="H337" s="10">
        <f t="array" ref="H337">IFERROR(SMALL(IF('Journal'!$D$8:$D$2007=$C$5,ROW('Journal'!$D$8:$D$2007)-7),330),"")</f>
      </c>
    </row>
    <row r="338">
      <c r="A338" s="13">
        <f>IF($H338="","",INDEX('Journal'!$A$8:$A$2007,$H338))</f>
      </c>
      <c r="B338" s="10">
        <f>IF($H338="","",INDEX('Journal'!$B$8:$B$2007,$H338))</f>
      </c>
      <c r="C338" s="9">
        <f>IF($H338="","",INDEX('Journal'!$C$8:$C$2007,$H338))</f>
      </c>
      <c r="D338" s="9">
        <f>IF($H338="","",INDEX('Journal'!$F$8:$F$2007,$H338))</f>
      </c>
      <c r="E338" s="11">
        <f>IF($H338="","",INDEX('Journal'!$H$8:$H$2007,$H338))</f>
      </c>
      <c r="F338" s="11">
        <f>IF($H338="","",INDEX('Journal'!$I$8:$I$2007,$H338))</f>
      </c>
      <c r="G338" s="11">
        <f>IF($H338="","",N(G337)+N(E338)-N(F338))</f>
      </c>
      <c r="H338" s="10">
        <f t="array" ref="H338">IFERROR(SMALL(IF('Journal'!$D$8:$D$2007=$C$5,ROW('Journal'!$D$8:$D$2007)-7),331),"")</f>
      </c>
    </row>
    <row r="339">
      <c r="A339" s="13">
        <f>IF($H339="","",INDEX('Journal'!$A$8:$A$2007,$H339))</f>
      </c>
      <c r="B339" s="10">
        <f>IF($H339="","",INDEX('Journal'!$B$8:$B$2007,$H339))</f>
      </c>
      <c r="C339" s="9">
        <f>IF($H339="","",INDEX('Journal'!$C$8:$C$2007,$H339))</f>
      </c>
      <c r="D339" s="9">
        <f>IF($H339="","",INDEX('Journal'!$F$8:$F$2007,$H339))</f>
      </c>
      <c r="E339" s="11">
        <f>IF($H339="","",INDEX('Journal'!$H$8:$H$2007,$H339))</f>
      </c>
      <c r="F339" s="11">
        <f>IF($H339="","",INDEX('Journal'!$I$8:$I$2007,$H339))</f>
      </c>
      <c r="G339" s="11">
        <f>IF($H339="","",N(G338)+N(E339)-N(F339))</f>
      </c>
      <c r="H339" s="10">
        <f t="array" ref="H339">IFERROR(SMALL(IF('Journal'!$D$8:$D$2007=$C$5,ROW('Journal'!$D$8:$D$2007)-7),332),"")</f>
      </c>
    </row>
    <row r="340">
      <c r="A340" s="13">
        <f>IF($H340="","",INDEX('Journal'!$A$8:$A$2007,$H340))</f>
      </c>
      <c r="B340" s="10">
        <f>IF($H340="","",INDEX('Journal'!$B$8:$B$2007,$H340))</f>
      </c>
      <c r="C340" s="9">
        <f>IF($H340="","",INDEX('Journal'!$C$8:$C$2007,$H340))</f>
      </c>
      <c r="D340" s="9">
        <f>IF($H340="","",INDEX('Journal'!$F$8:$F$2007,$H340))</f>
      </c>
      <c r="E340" s="11">
        <f>IF($H340="","",INDEX('Journal'!$H$8:$H$2007,$H340))</f>
      </c>
      <c r="F340" s="11">
        <f>IF($H340="","",INDEX('Journal'!$I$8:$I$2007,$H340))</f>
      </c>
      <c r="G340" s="11">
        <f>IF($H340="","",N(G339)+N(E340)-N(F340))</f>
      </c>
      <c r="H340" s="10">
        <f t="array" ref="H340">IFERROR(SMALL(IF('Journal'!$D$8:$D$2007=$C$5,ROW('Journal'!$D$8:$D$2007)-7),333),"")</f>
      </c>
    </row>
    <row r="341">
      <c r="A341" s="13">
        <f>IF($H341="","",INDEX('Journal'!$A$8:$A$2007,$H341))</f>
      </c>
      <c r="B341" s="10">
        <f>IF($H341="","",INDEX('Journal'!$B$8:$B$2007,$H341))</f>
      </c>
      <c r="C341" s="9">
        <f>IF($H341="","",INDEX('Journal'!$C$8:$C$2007,$H341))</f>
      </c>
      <c r="D341" s="9">
        <f>IF($H341="","",INDEX('Journal'!$F$8:$F$2007,$H341))</f>
      </c>
      <c r="E341" s="11">
        <f>IF($H341="","",INDEX('Journal'!$H$8:$H$2007,$H341))</f>
      </c>
      <c r="F341" s="11">
        <f>IF($H341="","",INDEX('Journal'!$I$8:$I$2007,$H341))</f>
      </c>
      <c r="G341" s="11">
        <f>IF($H341="","",N(G340)+N(E341)-N(F341))</f>
      </c>
      <c r="H341" s="10">
        <f t="array" ref="H341">IFERROR(SMALL(IF('Journal'!$D$8:$D$2007=$C$5,ROW('Journal'!$D$8:$D$2007)-7),334),"")</f>
      </c>
    </row>
    <row r="342">
      <c r="A342" s="13">
        <f>IF($H342="","",INDEX('Journal'!$A$8:$A$2007,$H342))</f>
      </c>
      <c r="B342" s="10">
        <f>IF($H342="","",INDEX('Journal'!$B$8:$B$2007,$H342))</f>
      </c>
      <c r="C342" s="9">
        <f>IF($H342="","",INDEX('Journal'!$C$8:$C$2007,$H342))</f>
      </c>
      <c r="D342" s="9">
        <f>IF($H342="","",INDEX('Journal'!$F$8:$F$2007,$H342))</f>
      </c>
      <c r="E342" s="11">
        <f>IF($H342="","",INDEX('Journal'!$H$8:$H$2007,$H342))</f>
      </c>
      <c r="F342" s="11">
        <f>IF($H342="","",INDEX('Journal'!$I$8:$I$2007,$H342))</f>
      </c>
      <c r="G342" s="11">
        <f>IF($H342="","",N(G341)+N(E342)-N(F342))</f>
      </c>
      <c r="H342" s="10">
        <f t="array" ref="H342">IFERROR(SMALL(IF('Journal'!$D$8:$D$2007=$C$5,ROW('Journal'!$D$8:$D$2007)-7),335),"")</f>
      </c>
    </row>
    <row r="343">
      <c r="A343" s="13">
        <f>IF($H343="","",INDEX('Journal'!$A$8:$A$2007,$H343))</f>
      </c>
      <c r="B343" s="10">
        <f>IF($H343="","",INDEX('Journal'!$B$8:$B$2007,$H343))</f>
      </c>
      <c r="C343" s="9">
        <f>IF($H343="","",INDEX('Journal'!$C$8:$C$2007,$H343))</f>
      </c>
      <c r="D343" s="9">
        <f>IF($H343="","",INDEX('Journal'!$F$8:$F$2007,$H343))</f>
      </c>
      <c r="E343" s="11">
        <f>IF($H343="","",INDEX('Journal'!$H$8:$H$2007,$H343))</f>
      </c>
      <c r="F343" s="11">
        <f>IF($H343="","",INDEX('Journal'!$I$8:$I$2007,$H343))</f>
      </c>
      <c r="G343" s="11">
        <f>IF($H343="","",N(G342)+N(E343)-N(F343))</f>
      </c>
      <c r="H343" s="10">
        <f t="array" ref="H343">IFERROR(SMALL(IF('Journal'!$D$8:$D$2007=$C$5,ROW('Journal'!$D$8:$D$2007)-7),336),"")</f>
      </c>
    </row>
    <row r="344">
      <c r="A344" s="13">
        <f>IF($H344="","",INDEX('Journal'!$A$8:$A$2007,$H344))</f>
      </c>
      <c r="B344" s="10">
        <f>IF($H344="","",INDEX('Journal'!$B$8:$B$2007,$H344))</f>
      </c>
      <c r="C344" s="9">
        <f>IF($H344="","",INDEX('Journal'!$C$8:$C$2007,$H344))</f>
      </c>
      <c r="D344" s="9">
        <f>IF($H344="","",INDEX('Journal'!$F$8:$F$2007,$H344))</f>
      </c>
      <c r="E344" s="11">
        <f>IF($H344="","",INDEX('Journal'!$H$8:$H$2007,$H344))</f>
      </c>
      <c r="F344" s="11">
        <f>IF($H344="","",INDEX('Journal'!$I$8:$I$2007,$H344))</f>
      </c>
      <c r="G344" s="11">
        <f>IF($H344="","",N(G343)+N(E344)-N(F344))</f>
      </c>
      <c r="H344" s="10">
        <f t="array" ref="H344">IFERROR(SMALL(IF('Journal'!$D$8:$D$2007=$C$5,ROW('Journal'!$D$8:$D$2007)-7),337),"")</f>
      </c>
    </row>
    <row r="345">
      <c r="A345" s="13">
        <f>IF($H345="","",INDEX('Journal'!$A$8:$A$2007,$H345))</f>
      </c>
      <c r="B345" s="10">
        <f>IF($H345="","",INDEX('Journal'!$B$8:$B$2007,$H345))</f>
      </c>
      <c r="C345" s="9">
        <f>IF($H345="","",INDEX('Journal'!$C$8:$C$2007,$H345))</f>
      </c>
      <c r="D345" s="9">
        <f>IF($H345="","",INDEX('Journal'!$F$8:$F$2007,$H345))</f>
      </c>
      <c r="E345" s="11">
        <f>IF($H345="","",INDEX('Journal'!$H$8:$H$2007,$H345))</f>
      </c>
      <c r="F345" s="11">
        <f>IF($H345="","",INDEX('Journal'!$I$8:$I$2007,$H345))</f>
      </c>
      <c r="G345" s="11">
        <f>IF($H345="","",N(G344)+N(E345)-N(F345))</f>
      </c>
      <c r="H345" s="10">
        <f t="array" ref="H345">IFERROR(SMALL(IF('Journal'!$D$8:$D$2007=$C$5,ROW('Journal'!$D$8:$D$2007)-7),338),"")</f>
      </c>
    </row>
    <row r="346">
      <c r="A346" s="13">
        <f>IF($H346="","",INDEX('Journal'!$A$8:$A$2007,$H346))</f>
      </c>
      <c r="B346" s="10">
        <f>IF($H346="","",INDEX('Journal'!$B$8:$B$2007,$H346))</f>
      </c>
      <c r="C346" s="9">
        <f>IF($H346="","",INDEX('Journal'!$C$8:$C$2007,$H346))</f>
      </c>
      <c r="D346" s="9">
        <f>IF($H346="","",INDEX('Journal'!$F$8:$F$2007,$H346))</f>
      </c>
      <c r="E346" s="11">
        <f>IF($H346="","",INDEX('Journal'!$H$8:$H$2007,$H346))</f>
      </c>
      <c r="F346" s="11">
        <f>IF($H346="","",INDEX('Journal'!$I$8:$I$2007,$H346))</f>
      </c>
      <c r="G346" s="11">
        <f>IF($H346="","",N(G345)+N(E346)-N(F346))</f>
      </c>
      <c r="H346" s="10">
        <f t="array" ref="H346">IFERROR(SMALL(IF('Journal'!$D$8:$D$2007=$C$5,ROW('Journal'!$D$8:$D$2007)-7),339),"")</f>
      </c>
    </row>
    <row r="347">
      <c r="A347" s="13">
        <f>IF($H347="","",INDEX('Journal'!$A$8:$A$2007,$H347))</f>
      </c>
      <c r="B347" s="10">
        <f>IF($H347="","",INDEX('Journal'!$B$8:$B$2007,$H347))</f>
      </c>
      <c r="C347" s="9">
        <f>IF($H347="","",INDEX('Journal'!$C$8:$C$2007,$H347))</f>
      </c>
      <c r="D347" s="9">
        <f>IF($H347="","",INDEX('Journal'!$F$8:$F$2007,$H347))</f>
      </c>
      <c r="E347" s="11">
        <f>IF($H347="","",INDEX('Journal'!$H$8:$H$2007,$H347))</f>
      </c>
      <c r="F347" s="11">
        <f>IF($H347="","",INDEX('Journal'!$I$8:$I$2007,$H347))</f>
      </c>
      <c r="G347" s="11">
        <f>IF($H347="","",N(G346)+N(E347)-N(F347))</f>
      </c>
      <c r="H347" s="10">
        <f t="array" ref="H347">IFERROR(SMALL(IF('Journal'!$D$8:$D$2007=$C$5,ROW('Journal'!$D$8:$D$2007)-7),340),"")</f>
      </c>
    </row>
    <row r="348">
      <c r="A348" s="13">
        <f>IF($H348="","",INDEX('Journal'!$A$8:$A$2007,$H348))</f>
      </c>
      <c r="B348" s="10">
        <f>IF($H348="","",INDEX('Journal'!$B$8:$B$2007,$H348))</f>
      </c>
      <c r="C348" s="9">
        <f>IF($H348="","",INDEX('Journal'!$C$8:$C$2007,$H348))</f>
      </c>
      <c r="D348" s="9">
        <f>IF($H348="","",INDEX('Journal'!$F$8:$F$2007,$H348))</f>
      </c>
      <c r="E348" s="11">
        <f>IF($H348="","",INDEX('Journal'!$H$8:$H$2007,$H348))</f>
      </c>
      <c r="F348" s="11">
        <f>IF($H348="","",INDEX('Journal'!$I$8:$I$2007,$H348))</f>
      </c>
      <c r="G348" s="11">
        <f>IF($H348="","",N(G347)+N(E348)-N(F348))</f>
      </c>
      <c r="H348" s="10">
        <f t="array" ref="H348">IFERROR(SMALL(IF('Journal'!$D$8:$D$2007=$C$5,ROW('Journal'!$D$8:$D$2007)-7),341),"")</f>
      </c>
    </row>
    <row r="349">
      <c r="A349" s="13">
        <f>IF($H349="","",INDEX('Journal'!$A$8:$A$2007,$H349))</f>
      </c>
      <c r="B349" s="10">
        <f>IF($H349="","",INDEX('Journal'!$B$8:$B$2007,$H349))</f>
      </c>
      <c r="C349" s="9">
        <f>IF($H349="","",INDEX('Journal'!$C$8:$C$2007,$H349))</f>
      </c>
      <c r="D349" s="9">
        <f>IF($H349="","",INDEX('Journal'!$F$8:$F$2007,$H349))</f>
      </c>
      <c r="E349" s="11">
        <f>IF($H349="","",INDEX('Journal'!$H$8:$H$2007,$H349))</f>
      </c>
      <c r="F349" s="11">
        <f>IF($H349="","",INDEX('Journal'!$I$8:$I$2007,$H349))</f>
      </c>
      <c r="G349" s="11">
        <f>IF($H349="","",N(G348)+N(E349)-N(F349))</f>
      </c>
      <c r="H349" s="10">
        <f t="array" ref="H349">IFERROR(SMALL(IF('Journal'!$D$8:$D$2007=$C$5,ROW('Journal'!$D$8:$D$2007)-7),342),"")</f>
      </c>
    </row>
    <row r="350">
      <c r="A350" s="13">
        <f>IF($H350="","",INDEX('Journal'!$A$8:$A$2007,$H350))</f>
      </c>
      <c r="B350" s="10">
        <f>IF($H350="","",INDEX('Journal'!$B$8:$B$2007,$H350))</f>
      </c>
      <c r="C350" s="9">
        <f>IF($H350="","",INDEX('Journal'!$C$8:$C$2007,$H350))</f>
      </c>
      <c r="D350" s="9">
        <f>IF($H350="","",INDEX('Journal'!$F$8:$F$2007,$H350))</f>
      </c>
      <c r="E350" s="11">
        <f>IF($H350="","",INDEX('Journal'!$H$8:$H$2007,$H350))</f>
      </c>
      <c r="F350" s="11">
        <f>IF($H350="","",INDEX('Journal'!$I$8:$I$2007,$H350))</f>
      </c>
      <c r="G350" s="11">
        <f>IF($H350="","",N(G349)+N(E350)-N(F350))</f>
      </c>
      <c r="H350" s="10">
        <f t="array" ref="H350">IFERROR(SMALL(IF('Journal'!$D$8:$D$2007=$C$5,ROW('Journal'!$D$8:$D$2007)-7),343),"")</f>
      </c>
    </row>
    <row r="351">
      <c r="A351" s="13">
        <f>IF($H351="","",INDEX('Journal'!$A$8:$A$2007,$H351))</f>
      </c>
      <c r="B351" s="10">
        <f>IF($H351="","",INDEX('Journal'!$B$8:$B$2007,$H351))</f>
      </c>
      <c r="C351" s="9">
        <f>IF($H351="","",INDEX('Journal'!$C$8:$C$2007,$H351))</f>
      </c>
      <c r="D351" s="9">
        <f>IF($H351="","",INDEX('Journal'!$F$8:$F$2007,$H351))</f>
      </c>
      <c r="E351" s="11">
        <f>IF($H351="","",INDEX('Journal'!$H$8:$H$2007,$H351))</f>
      </c>
      <c r="F351" s="11">
        <f>IF($H351="","",INDEX('Journal'!$I$8:$I$2007,$H351))</f>
      </c>
      <c r="G351" s="11">
        <f>IF($H351="","",N(G350)+N(E351)-N(F351))</f>
      </c>
      <c r="H351" s="10">
        <f t="array" ref="H351">IFERROR(SMALL(IF('Journal'!$D$8:$D$2007=$C$5,ROW('Journal'!$D$8:$D$2007)-7),344),"")</f>
      </c>
    </row>
    <row r="352">
      <c r="A352" s="13">
        <f>IF($H352="","",INDEX('Journal'!$A$8:$A$2007,$H352))</f>
      </c>
      <c r="B352" s="10">
        <f>IF($H352="","",INDEX('Journal'!$B$8:$B$2007,$H352))</f>
      </c>
      <c r="C352" s="9">
        <f>IF($H352="","",INDEX('Journal'!$C$8:$C$2007,$H352))</f>
      </c>
      <c r="D352" s="9">
        <f>IF($H352="","",INDEX('Journal'!$F$8:$F$2007,$H352))</f>
      </c>
      <c r="E352" s="11">
        <f>IF($H352="","",INDEX('Journal'!$H$8:$H$2007,$H352))</f>
      </c>
      <c r="F352" s="11">
        <f>IF($H352="","",INDEX('Journal'!$I$8:$I$2007,$H352))</f>
      </c>
      <c r="G352" s="11">
        <f>IF($H352="","",N(G351)+N(E352)-N(F352))</f>
      </c>
      <c r="H352" s="10">
        <f t="array" ref="H352">IFERROR(SMALL(IF('Journal'!$D$8:$D$2007=$C$5,ROW('Journal'!$D$8:$D$2007)-7),345),"")</f>
      </c>
    </row>
    <row r="353">
      <c r="A353" s="13">
        <f>IF($H353="","",INDEX('Journal'!$A$8:$A$2007,$H353))</f>
      </c>
      <c r="B353" s="10">
        <f>IF($H353="","",INDEX('Journal'!$B$8:$B$2007,$H353))</f>
      </c>
      <c r="C353" s="9">
        <f>IF($H353="","",INDEX('Journal'!$C$8:$C$2007,$H353))</f>
      </c>
      <c r="D353" s="9">
        <f>IF($H353="","",INDEX('Journal'!$F$8:$F$2007,$H353))</f>
      </c>
      <c r="E353" s="11">
        <f>IF($H353="","",INDEX('Journal'!$H$8:$H$2007,$H353))</f>
      </c>
      <c r="F353" s="11">
        <f>IF($H353="","",INDEX('Journal'!$I$8:$I$2007,$H353))</f>
      </c>
      <c r="G353" s="11">
        <f>IF($H353="","",N(G352)+N(E353)-N(F353))</f>
      </c>
      <c r="H353" s="10">
        <f t="array" ref="H353">IFERROR(SMALL(IF('Journal'!$D$8:$D$2007=$C$5,ROW('Journal'!$D$8:$D$2007)-7),346),"")</f>
      </c>
    </row>
    <row r="354">
      <c r="A354" s="13">
        <f>IF($H354="","",INDEX('Journal'!$A$8:$A$2007,$H354))</f>
      </c>
      <c r="B354" s="10">
        <f>IF($H354="","",INDEX('Journal'!$B$8:$B$2007,$H354))</f>
      </c>
      <c r="C354" s="9">
        <f>IF($H354="","",INDEX('Journal'!$C$8:$C$2007,$H354))</f>
      </c>
      <c r="D354" s="9">
        <f>IF($H354="","",INDEX('Journal'!$F$8:$F$2007,$H354))</f>
      </c>
      <c r="E354" s="11">
        <f>IF($H354="","",INDEX('Journal'!$H$8:$H$2007,$H354))</f>
      </c>
      <c r="F354" s="11">
        <f>IF($H354="","",INDEX('Journal'!$I$8:$I$2007,$H354))</f>
      </c>
      <c r="G354" s="11">
        <f>IF($H354="","",N(G353)+N(E354)-N(F354))</f>
      </c>
      <c r="H354" s="10">
        <f t="array" ref="H354">IFERROR(SMALL(IF('Journal'!$D$8:$D$2007=$C$5,ROW('Journal'!$D$8:$D$2007)-7),347),"")</f>
      </c>
    </row>
    <row r="355">
      <c r="A355" s="13">
        <f>IF($H355="","",INDEX('Journal'!$A$8:$A$2007,$H355))</f>
      </c>
      <c r="B355" s="10">
        <f>IF($H355="","",INDEX('Journal'!$B$8:$B$2007,$H355))</f>
      </c>
      <c r="C355" s="9">
        <f>IF($H355="","",INDEX('Journal'!$C$8:$C$2007,$H355))</f>
      </c>
      <c r="D355" s="9">
        <f>IF($H355="","",INDEX('Journal'!$F$8:$F$2007,$H355))</f>
      </c>
      <c r="E355" s="11">
        <f>IF($H355="","",INDEX('Journal'!$H$8:$H$2007,$H355))</f>
      </c>
      <c r="F355" s="11">
        <f>IF($H355="","",INDEX('Journal'!$I$8:$I$2007,$H355))</f>
      </c>
      <c r="G355" s="11">
        <f>IF($H355="","",N(G354)+N(E355)-N(F355))</f>
      </c>
      <c r="H355" s="10">
        <f t="array" ref="H355">IFERROR(SMALL(IF('Journal'!$D$8:$D$2007=$C$5,ROW('Journal'!$D$8:$D$2007)-7),348),"")</f>
      </c>
    </row>
    <row r="356">
      <c r="A356" s="13">
        <f>IF($H356="","",INDEX('Journal'!$A$8:$A$2007,$H356))</f>
      </c>
      <c r="B356" s="10">
        <f>IF($H356="","",INDEX('Journal'!$B$8:$B$2007,$H356))</f>
      </c>
      <c r="C356" s="9">
        <f>IF($H356="","",INDEX('Journal'!$C$8:$C$2007,$H356))</f>
      </c>
      <c r="D356" s="9">
        <f>IF($H356="","",INDEX('Journal'!$F$8:$F$2007,$H356))</f>
      </c>
      <c r="E356" s="11">
        <f>IF($H356="","",INDEX('Journal'!$H$8:$H$2007,$H356))</f>
      </c>
      <c r="F356" s="11">
        <f>IF($H356="","",INDEX('Journal'!$I$8:$I$2007,$H356))</f>
      </c>
      <c r="G356" s="11">
        <f>IF($H356="","",N(G355)+N(E356)-N(F356))</f>
      </c>
      <c r="H356" s="10">
        <f t="array" ref="H356">IFERROR(SMALL(IF('Journal'!$D$8:$D$2007=$C$5,ROW('Journal'!$D$8:$D$2007)-7),349),"")</f>
      </c>
    </row>
    <row r="357">
      <c r="A357" s="13">
        <f>IF($H357="","",INDEX('Journal'!$A$8:$A$2007,$H357))</f>
      </c>
      <c r="B357" s="10">
        <f>IF($H357="","",INDEX('Journal'!$B$8:$B$2007,$H357))</f>
      </c>
      <c r="C357" s="9">
        <f>IF($H357="","",INDEX('Journal'!$C$8:$C$2007,$H357))</f>
      </c>
      <c r="D357" s="9">
        <f>IF($H357="","",INDEX('Journal'!$F$8:$F$2007,$H357))</f>
      </c>
      <c r="E357" s="11">
        <f>IF($H357="","",INDEX('Journal'!$H$8:$H$2007,$H357))</f>
      </c>
      <c r="F357" s="11">
        <f>IF($H357="","",INDEX('Journal'!$I$8:$I$2007,$H357))</f>
      </c>
      <c r="G357" s="11">
        <f>IF($H357="","",N(G356)+N(E357)-N(F357))</f>
      </c>
      <c r="H357" s="10">
        <f t="array" ref="H357">IFERROR(SMALL(IF('Journal'!$D$8:$D$2007=$C$5,ROW('Journal'!$D$8:$D$2007)-7),350),"")</f>
      </c>
    </row>
    <row r="358">
      <c r="A358" s="13">
        <f>IF($H358="","",INDEX('Journal'!$A$8:$A$2007,$H358))</f>
      </c>
      <c r="B358" s="10">
        <f>IF($H358="","",INDEX('Journal'!$B$8:$B$2007,$H358))</f>
      </c>
      <c r="C358" s="9">
        <f>IF($H358="","",INDEX('Journal'!$C$8:$C$2007,$H358))</f>
      </c>
      <c r="D358" s="9">
        <f>IF($H358="","",INDEX('Journal'!$F$8:$F$2007,$H358))</f>
      </c>
      <c r="E358" s="11">
        <f>IF($H358="","",INDEX('Journal'!$H$8:$H$2007,$H358))</f>
      </c>
      <c r="F358" s="11">
        <f>IF($H358="","",INDEX('Journal'!$I$8:$I$2007,$H358))</f>
      </c>
      <c r="G358" s="11">
        <f>IF($H358="","",N(G357)+N(E358)-N(F358))</f>
      </c>
      <c r="H358" s="10">
        <f t="array" ref="H358">IFERROR(SMALL(IF('Journal'!$D$8:$D$2007=$C$5,ROW('Journal'!$D$8:$D$2007)-7),351),"")</f>
      </c>
    </row>
    <row r="359">
      <c r="A359" s="13">
        <f>IF($H359="","",INDEX('Journal'!$A$8:$A$2007,$H359))</f>
      </c>
      <c r="B359" s="10">
        <f>IF($H359="","",INDEX('Journal'!$B$8:$B$2007,$H359))</f>
      </c>
      <c r="C359" s="9">
        <f>IF($H359="","",INDEX('Journal'!$C$8:$C$2007,$H359))</f>
      </c>
      <c r="D359" s="9">
        <f>IF($H359="","",INDEX('Journal'!$F$8:$F$2007,$H359))</f>
      </c>
      <c r="E359" s="11">
        <f>IF($H359="","",INDEX('Journal'!$H$8:$H$2007,$H359))</f>
      </c>
      <c r="F359" s="11">
        <f>IF($H359="","",INDEX('Journal'!$I$8:$I$2007,$H359))</f>
      </c>
      <c r="G359" s="11">
        <f>IF($H359="","",N(G358)+N(E359)-N(F359))</f>
      </c>
      <c r="H359" s="10">
        <f t="array" ref="H359">IFERROR(SMALL(IF('Journal'!$D$8:$D$2007=$C$5,ROW('Journal'!$D$8:$D$2007)-7),352),"")</f>
      </c>
    </row>
    <row r="360">
      <c r="A360" s="13">
        <f>IF($H360="","",INDEX('Journal'!$A$8:$A$2007,$H360))</f>
      </c>
      <c r="B360" s="10">
        <f>IF($H360="","",INDEX('Journal'!$B$8:$B$2007,$H360))</f>
      </c>
      <c r="C360" s="9">
        <f>IF($H360="","",INDEX('Journal'!$C$8:$C$2007,$H360))</f>
      </c>
      <c r="D360" s="9">
        <f>IF($H360="","",INDEX('Journal'!$F$8:$F$2007,$H360))</f>
      </c>
      <c r="E360" s="11">
        <f>IF($H360="","",INDEX('Journal'!$H$8:$H$2007,$H360))</f>
      </c>
      <c r="F360" s="11">
        <f>IF($H360="","",INDEX('Journal'!$I$8:$I$2007,$H360))</f>
      </c>
      <c r="G360" s="11">
        <f>IF($H360="","",N(G359)+N(E360)-N(F360))</f>
      </c>
      <c r="H360" s="10">
        <f t="array" ref="H360">IFERROR(SMALL(IF('Journal'!$D$8:$D$2007=$C$5,ROW('Journal'!$D$8:$D$2007)-7),353),"")</f>
      </c>
    </row>
    <row r="361">
      <c r="A361" s="13">
        <f>IF($H361="","",INDEX('Journal'!$A$8:$A$2007,$H361))</f>
      </c>
      <c r="B361" s="10">
        <f>IF($H361="","",INDEX('Journal'!$B$8:$B$2007,$H361))</f>
      </c>
      <c r="C361" s="9">
        <f>IF($H361="","",INDEX('Journal'!$C$8:$C$2007,$H361))</f>
      </c>
      <c r="D361" s="9">
        <f>IF($H361="","",INDEX('Journal'!$F$8:$F$2007,$H361))</f>
      </c>
      <c r="E361" s="11">
        <f>IF($H361="","",INDEX('Journal'!$H$8:$H$2007,$H361))</f>
      </c>
      <c r="F361" s="11">
        <f>IF($H361="","",INDEX('Journal'!$I$8:$I$2007,$H361))</f>
      </c>
      <c r="G361" s="11">
        <f>IF($H361="","",N(G360)+N(E361)-N(F361))</f>
      </c>
      <c r="H361" s="10">
        <f t="array" ref="H361">IFERROR(SMALL(IF('Journal'!$D$8:$D$2007=$C$5,ROW('Journal'!$D$8:$D$2007)-7),354),"")</f>
      </c>
    </row>
    <row r="362">
      <c r="A362" s="13">
        <f>IF($H362="","",INDEX('Journal'!$A$8:$A$2007,$H362))</f>
      </c>
      <c r="B362" s="10">
        <f>IF($H362="","",INDEX('Journal'!$B$8:$B$2007,$H362))</f>
      </c>
      <c r="C362" s="9">
        <f>IF($H362="","",INDEX('Journal'!$C$8:$C$2007,$H362))</f>
      </c>
      <c r="D362" s="9">
        <f>IF($H362="","",INDEX('Journal'!$F$8:$F$2007,$H362))</f>
      </c>
      <c r="E362" s="11">
        <f>IF($H362="","",INDEX('Journal'!$H$8:$H$2007,$H362))</f>
      </c>
      <c r="F362" s="11">
        <f>IF($H362="","",INDEX('Journal'!$I$8:$I$2007,$H362))</f>
      </c>
      <c r="G362" s="11">
        <f>IF($H362="","",N(G361)+N(E362)-N(F362))</f>
      </c>
      <c r="H362" s="10">
        <f t="array" ref="H362">IFERROR(SMALL(IF('Journal'!$D$8:$D$2007=$C$5,ROW('Journal'!$D$8:$D$2007)-7),355),"")</f>
      </c>
    </row>
    <row r="363">
      <c r="A363" s="13">
        <f>IF($H363="","",INDEX('Journal'!$A$8:$A$2007,$H363))</f>
      </c>
      <c r="B363" s="10">
        <f>IF($H363="","",INDEX('Journal'!$B$8:$B$2007,$H363))</f>
      </c>
      <c r="C363" s="9">
        <f>IF($H363="","",INDEX('Journal'!$C$8:$C$2007,$H363))</f>
      </c>
      <c r="D363" s="9">
        <f>IF($H363="","",INDEX('Journal'!$F$8:$F$2007,$H363))</f>
      </c>
      <c r="E363" s="11">
        <f>IF($H363="","",INDEX('Journal'!$H$8:$H$2007,$H363))</f>
      </c>
      <c r="F363" s="11">
        <f>IF($H363="","",INDEX('Journal'!$I$8:$I$2007,$H363))</f>
      </c>
      <c r="G363" s="11">
        <f>IF($H363="","",N(G362)+N(E363)-N(F363))</f>
      </c>
      <c r="H363" s="10">
        <f t="array" ref="H363">IFERROR(SMALL(IF('Journal'!$D$8:$D$2007=$C$5,ROW('Journal'!$D$8:$D$2007)-7),356),"")</f>
      </c>
    </row>
    <row r="364">
      <c r="A364" s="13">
        <f>IF($H364="","",INDEX('Journal'!$A$8:$A$2007,$H364))</f>
      </c>
      <c r="B364" s="10">
        <f>IF($H364="","",INDEX('Journal'!$B$8:$B$2007,$H364))</f>
      </c>
      <c r="C364" s="9">
        <f>IF($H364="","",INDEX('Journal'!$C$8:$C$2007,$H364))</f>
      </c>
      <c r="D364" s="9">
        <f>IF($H364="","",INDEX('Journal'!$F$8:$F$2007,$H364))</f>
      </c>
      <c r="E364" s="11">
        <f>IF($H364="","",INDEX('Journal'!$H$8:$H$2007,$H364))</f>
      </c>
      <c r="F364" s="11">
        <f>IF($H364="","",INDEX('Journal'!$I$8:$I$2007,$H364))</f>
      </c>
      <c r="G364" s="11">
        <f>IF($H364="","",N(G363)+N(E364)-N(F364))</f>
      </c>
      <c r="H364" s="10">
        <f t="array" ref="H364">IFERROR(SMALL(IF('Journal'!$D$8:$D$2007=$C$5,ROW('Journal'!$D$8:$D$2007)-7),357),"")</f>
      </c>
    </row>
    <row r="365">
      <c r="A365" s="13">
        <f>IF($H365="","",INDEX('Journal'!$A$8:$A$2007,$H365))</f>
      </c>
      <c r="B365" s="10">
        <f>IF($H365="","",INDEX('Journal'!$B$8:$B$2007,$H365))</f>
      </c>
      <c r="C365" s="9">
        <f>IF($H365="","",INDEX('Journal'!$C$8:$C$2007,$H365))</f>
      </c>
      <c r="D365" s="9">
        <f>IF($H365="","",INDEX('Journal'!$F$8:$F$2007,$H365))</f>
      </c>
      <c r="E365" s="11">
        <f>IF($H365="","",INDEX('Journal'!$H$8:$H$2007,$H365))</f>
      </c>
      <c r="F365" s="11">
        <f>IF($H365="","",INDEX('Journal'!$I$8:$I$2007,$H365))</f>
      </c>
      <c r="G365" s="11">
        <f>IF($H365="","",N(G364)+N(E365)-N(F365))</f>
      </c>
      <c r="H365" s="10">
        <f t="array" ref="H365">IFERROR(SMALL(IF('Journal'!$D$8:$D$2007=$C$5,ROW('Journal'!$D$8:$D$2007)-7),358),"")</f>
      </c>
    </row>
    <row r="366">
      <c r="A366" s="13">
        <f>IF($H366="","",INDEX('Journal'!$A$8:$A$2007,$H366))</f>
      </c>
      <c r="B366" s="10">
        <f>IF($H366="","",INDEX('Journal'!$B$8:$B$2007,$H366))</f>
      </c>
      <c r="C366" s="9">
        <f>IF($H366="","",INDEX('Journal'!$C$8:$C$2007,$H366))</f>
      </c>
      <c r="D366" s="9">
        <f>IF($H366="","",INDEX('Journal'!$F$8:$F$2007,$H366))</f>
      </c>
      <c r="E366" s="11">
        <f>IF($H366="","",INDEX('Journal'!$H$8:$H$2007,$H366))</f>
      </c>
      <c r="F366" s="11">
        <f>IF($H366="","",INDEX('Journal'!$I$8:$I$2007,$H366))</f>
      </c>
      <c r="G366" s="11">
        <f>IF($H366="","",N(G365)+N(E366)-N(F366))</f>
      </c>
      <c r="H366" s="10">
        <f t="array" ref="H366">IFERROR(SMALL(IF('Journal'!$D$8:$D$2007=$C$5,ROW('Journal'!$D$8:$D$2007)-7),359),"")</f>
      </c>
    </row>
    <row r="367">
      <c r="A367" s="13">
        <f>IF($H367="","",INDEX('Journal'!$A$8:$A$2007,$H367))</f>
      </c>
      <c r="B367" s="10">
        <f>IF($H367="","",INDEX('Journal'!$B$8:$B$2007,$H367))</f>
      </c>
      <c r="C367" s="9">
        <f>IF($H367="","",INDEX('Journal'!$C$8:$C$2007,$H367))</f>
      </c>
      <c r="D367" s="9">
        <f>IF($H367="","",INDEX('Journal'!$F$8:$F$2007,$H367))</f>
      </c>
      <c r="E367" s="11">
        <f>IF($H367="","",INDEX('Journal'!$H$8:$H$2007,$H367))</f>
      </c>
      <c r="F367" s="11">
        <f>IF($H367="","",INDEX('Journal'!$I$8:$I$2007,$H367))</f>
      </c>
      <c r="G367" s="11">
        <f>IF($H367="","",N(G366)+N(E367)-N(F367))</f>
      </c>
      <c r="H367" s="10">
        <f t="array" ref="H367">IFERROR(SMALL(IF('Journal'!$D$8:$D$2007=$C$5,ROW('Journal'!$D$8:$D$2007)-7),360),"")</f>
      </c>
    </row>
    <row r="368">
      <c r="A368" s="13">
        <f>IF($H368="","",INDEX('Journal'!$A$8:$A$2007,$H368))</f>
      </c>
      <c r="B368" s="10">
        <f>IF($H368="","",INDEX('Journal'!$B$8:$B$2007,$H368))</f>
      </c>
      <c r="C368" s="9">
        <f>IF($H368="","",INDEX('Journal'!$C$8:$C$2007,$H368))</f>
      </c>
      <c r="D368" s="9">
        <f>IF($H368="","",INDEX('Journal'!$F$8:$F$2007,$H368))</f>
      </c>
      <c r="E368" s="11">
        <f>IF($H368="","",INDEX('Journal'!$H$8:$H$2007,$H368))</f>
      </c>
      <c r="F368" s="11">
        <f>IF($H368="","",INDEX('Journal'!$I$8:$I$2007,$H368))</f>
      </c>
      <c r="G368" s="11">
        <f>IF($H368="","",N(G367)+N(E368)-N(F368))</f>
      </c>
      <c r="H368" s="10">
        <f t="array" ref="H368">IFERROR(SMALL(IF('Journal'!$D$8:$D$2007=$C$5,ROW('Journal'!$D$8:$D$2007)-7),361),"")</f>
      </c>
    </row>
    <row r="369">
      <c r="A369" s="13">
        <f>IF($H369="","",INDEX('Journal'!$A$8:$A$2007,$H369))</f>
      </c>
      <c r="B369" s="10">
        <f>IF($H369="","",INDEX('Journal'!$B$8:$B$2007,$H369))</f>
      </c>
      <c r="C369" s="9">
        <f>IF($H369="","",INDEX('Journal'!$C$8:$C$2007,$H369))</f>
      </c>
      <c r="D369" s="9">
        <f>IF($H369="","",INDEX('Journal'!$F$8:$F$2007,$H369))</f>
      </c>
      <c r="E369" s="11">
        <f>IF($H369="","",INDEX('Journal'!$H$8:$H$2007,$H369))</f>
      </c>
      <c r="F369" s="11">
        <f>IF($H369="","",INDEX('Journal'!$I$8:$I$2007,$H369))</f>
      </c>
      <c r="G369" s="11">
        <f>IF($H369="","",N(G368)+N(E369)-N(F369))</f>
      </c>
      <c r="H369" s="10">
        <f t="array" ref="H369">IFERROR(SMALL(IF('Journal'!$D$8:$D$2007=$C$5,ROW('Journal'!$D$8:$D$2007)-7),362),"")</f>
      </c>
    </row>
    <row r="370">
      <c r="A370" s="13">
        <f>IF($H370="","",INDEX('Journal'!$A$8:$A$2007,$H370))</f>
      </c>
      <c r="B370" s="10">
        <f>IF($H370="","",INDEX('Journal'!$B$8:$B$2007,$H370))</f>
      </c>
      <c r="C370" s="9">
        <f>IF($H370="","",INDEX('Journal'!$C$8:$C$2007,$H370))</f>
      </c>
      <c r="D370" s="9">
        <f>IF($H370="","",INDEX('Journal'!$F$8:$F$2007,$H370))</f>
      </c>
      <c r="E370" s="11">
        <f>IF($H370="","",INDEX('Journal'!$H$8:$H$2007,$H370))</f>
      </c>
      <c r="F370" s="11">
        <f>IF($H370="","",INDEX('Journal'!$I$8:$I$2007,$H370))</f>
      </c>
      <c r="G370" s="11">
        <f>IF($H370="","",N(G369)+N(E370)-N(F370))</f>
      </c>
      <c r="H370" s="10">
        <f t="array" ref="H370">IFERROR(SMALL(IF('Journal'!$D$8:$D$2007=$C$5,ROW('Journal'!$D$8:$D$2007)-7),363),"")</f>
      </c>
    </row>
    <row r="371">
      <c r="A371" s="13">
        <f>IF($H371="","",INDEX('Journal'!$A$8:$A$2007,$H371))</f>
      </c>
      <c r="B371" s="10">
        <f>IF($H371="","",INDEX('Journal'!$B$8:$B$2007,$H371))</f>
      </c>
      <c r="C371" s="9">
        <f>IF($H371="","",INDEX('Journal'!$C$8:$C$2007,$H371))</f>
      </c>
      <c r="D371" s="9">
        <f>IF($H371="","",INDEX('Journal'!$F$8:$F$2007,$H371))</f>
      </c>
      <c r="E371" s="11">
        <f>IF($H371="","",INDEX('Journal'!$H$8:$H$2007,$H371))</f>
      </c>
      <c r="F371" s="11">
        <f>IF($H371="","",INDEX('Journal'!$I$8:$I$2007,$H371))</f>
      </c>
      <c r="G371" s="11">
        <f>IF($H371="","",N(G370)+N(E371)-N(F371))</f>
      </c>
      <c r="H371" s="10">
        <f t="array" ref="H371">IFERROR(SMALL(IF('Journal'!$D$8:$D$2007=$C$5,ROW('Journal'!$D$8:$D$2007)-7),364),"")</f>
      </c>
    </row>
    <row r="372">
      <c r="A372" s="13">
        <f>IF($H372="","",INDEX('Journal'!$A$8:$A$2007,$H372))</f>
      </c>
      <c r="B372" s="10">
        <f>IF($H372="","",INDEX('Journal'!$B$8:$B$2007,$H372))</f>
      </c>
      <c r="C372" s="9">
        <f>IF($H372="","",INDEX('Journal'!$C$8:$C$2007,$H372))</f>
      </c>
      <c r="D372" s="9">
        <f>IF($H372="","",INDEX('Journal'!$F$8:$F$2007,$H372))</f>
      </c>
      <c r="E372" s="11">
        <f>IF($H372="","",INDEX('Journal'!$H$8:$H$2007,$H372))</f>
      </c>
      <c r="F372" s="11">
        <f>IF($H372="","",INDEX('Journal'!$I$8:$I$2007,$H372))</f>
      </c>
      <c r="G372" s="11">
        <f>IF($H372="","",N(G371)+N(E372)-N(F372))</f>
      </c>
      <c r="H372" s="10">
        <f t="array" ref="H372">IFERROR(SMALL(IF('Journal'!$D$8:$D$2007=$C$5,ROW('Journal'!$D$8:$D$2007)-7),365),"")</f>
      </c>
    </row>
    <row r="373">
      <c r="A373" s="13">
        <f>IF($H373="","",INDEX('Journal'!$A$8:$A$2007,$H373))</f>
      </c>
      <c r="B373" s="10">
        <f>IF($H373="","",INDEX('Journal'!$B$8:$B$2007,$H373))</f>
      </c>
      <c r="C373" s="9">
        <f>IF($H373="","",INDEX('Journal'!$C$8:$C$2007,$H373))</f>
      </c>
      <c r="D373" s="9">
        <f>IF($H373="","",INDEX('Journal'!$F$8:$F$2007,$H373))</f>
      </c>
      <c r="E373" s="11">
        <f>IF($H373="","",INDEX('Journal'!$H$8:$H$2007,$H373))</f>
      </c>
      <c r="F373" s="11">
        <f>IF($H373="","",INDEX('Journal'!$I$8:$I$2007,$H373))</f>
      </c>
      <c r="G373" s="11">
        <f>IF($H373="","",N(G372)+N(E373)-N(F373))</f>
      </c>
      <c r="H373" s="10">
        <f t="array" ref="H373">IFERROR(SMALL(IF('Journal'!$D$8:$D$2007=$C$5,ROW('Journal'!$D$8:$D$2007)-7),366),"")</f>
      </c>
    </row>
    <row r="374">
      <c r="A374" s="13">
        <f>IF($H374="","",INDEX('Journal'!$A$8:$A$2007,$H374))</f>
      </c>
      <c r="B374" s="10">
        <f>IF($H374="","",INDEX('Journal'!$B$8:$B$2007,$H374))</f>
      </c>
      <c r="C374" s="9">
        <f>IF($H374="","",INDEX('Journal'!$C$8:$C$2007,$H374))</f>
      </c>
      <c r="D374" s="9">
        <f>IF($H374="","",INDEX('Journal'!$F$8:$F$2007,$H374))</f>
      </c>
      <c r="E374" s="11">
        <f>IF($H374="","",INDEX('Journal'!$H$8:$H$2007,$H374))</f>
      </c>
      <c r="F374" s="11">
        <f>IF($H374="","",INDEX('Journal'!$I$8:$I$2007,$H374))</f>
      </c>
      <c r="G374" s="11">
        <f>IF($H374="","",N(G373)+N(E374)-N(F374))</f>
      </c>
      <c r="H374" s="10">
        <f t="array" ref="H374">IFERROR(SMALL(IF('Journal'!$D$8:$D$2007=$C$5,ROW('Journal'!$D$8:$D$2007)-7),367),"")</f>
      </c>
    </row>
    <row r="375">
      <c r="A375" s="13">
        <f>IF($H375="","",INDEX('Journal'!$A$8:$A$2007,$H375))</f>
      </c>
      <c r="B375" s="10">
        <f>IF($H375="","",INDEX('Journal'!$B$8:$B$2007,$H375))</f>
      </c>
      <c r="C375" s="9">
        <f>IF($H375="","",INDEX('Journal'!$C$8:$C$2007,$H375))</f>
      </c>
      <c r="D375" s="9">
        <f>IF($H375="","",INDEX('Journal'!$F$8:$F$2007,$H375))</f>
      </c>
      <c r="E375" s="11">
        <f>IF($H375="","",INDEX('Journal'!$H$8:$H$2007,$H375))</f>
      </c>
      <c r="F375" s="11">
        <f>IF($H375="","",INDEX('Journal'!$I$8:$I$2007,$H375))</f>
      </c>
      <c r="G375" s="11">
        <f>IF($H375="","",N(G374)+N(E375)-N(F375))</f>
      </c>
      <c r="H375" s="10">
        <f t="array" ref="H375">IFERROR(SMALL(IF('Journal'!$D$8:$D$2007=$C$5,ROW('Journal'!$D$8:$D$2007)-7),368),"")</f>
      </c>
    </row>
    <row r="376">
      <c r="A376" s="13">
        <f>IF($H376="","",INDEX('Journal'!$A$8:$A$2007,$H376))</f>
      </c>
      <c r="B376" s="10">
        <f>IF($H376="","",INDEX('Journal'!$B$8:$B$2007,$H376))</f>
      </c>
      <c r="C376" s="9">
        <f>IF($H376="","",INDEX('Journal'!$C$8:$C$2007,$H376))</f>
      </c>
      <c r="D376" s="9">
        <f>IF($H376="","",INDEX('Journal'!$F$8:$F$2007,$H376))</f>
      </c>
      <c r="E376" s="11">
        <f>IF($H376="","",INDEX('Journal'!$H$8:$H$2007,$H376))</f>
      </c>
      <c r="F376" s="11">
        <f>IF($H376="","",INDEX('Journal'!$I$8:$I$2007,$H376))</f>
      </c>
      <c r="G376" s="11">
        <f>IF($H376="","",N(G375)+N(E376)-N(F376))</f>
      </c>
      <c r="H376" s="10">
        <f t="array" ref="H376">IFERROR(SMALL(IF('Journal'!$D$8:$D$2007=$C$5,ROW('Journal'!$D$8:$D$2007)-7),369),"")</f>
      </c>
    </row>
    <row r="377">
      <c r="A377" s="13">
        <f>IF($H377="","",INDEX('Journal'!$A$8:$A$2007,$H377))</f>
      </c>
      <c r="B377" s="10">
        <f>IF($H377="","",INDEX('Journal'!$B$8:$B$2007,$H377))</f>
      </c>
      <c r="C377" s="9">
        <f>IF($H377="","",INDEX('Journal'!$C$8:$C$2007,$H377))</f>
      </c>
      <c r="D377" s="9">
        <f>IF($H377="","",INDEX('Journal'!$F$8:$F$2007,$H377))</f>
      </c>
      <c r="E377" s="11">
        <f>IF($H377="","",INDEX('Journal'!$H$8:$H$2007,$H377))</f>
      </c>
      <c r="F377" s="11">
        <f>IF($H377="","",INDEX('Journal'!$I$8:$I$2007,$H377))</f>
      </c>
      <c r="G377" s="11">
        <f>IF($H377="","",N(G376)+N(E377)-N(F377))</f>
      </c>
      <c r="H377" s="10">
        <f t="array" ref="H377">IFERROR(SMALL(IF('Journal'!$D$8:$D$2007=$C$5,ROW('Journal'!$D$8:$D$2007)-7),370),"")</f>
      </c>
    </row>
    <row r="378">
      <c r="A378" s="13">
        <f>IF($H378="","",INDEX('Journal'!$A$8:$A$2007,$H378))</f>
      </c>
      <c r="B378" s="10">
        <f>IF($H378="","",INDEX('Journal'!$B$8:$B$2007,$H378))</f>
      </c>
      <c r="C378" s="9">
        <f>IF($H378="","",INDEX('Journal'!$C$8:$C$2007,$H378))</f>
      </c>
      <c r="D378" s="9">
        <f>IF($H378="","",INDEX('Journal'!$F$8:$F$2007,$H378))</f>
      </c>
      <c r="E378" s="11">
        <f>IF($H378="","",INDEX('Journal'!$H$8:$H$2007,$H378))</f>
      </c>
      <c r="F378" s="11">
        <f>IF($H378="","",INDEX('Journal'!$I$8:$I$2007,$H378))</f>
      </c>
      <c r="G378" s="11">
        <f>IF($H378="","",N(G377)+N(E378)-N(F378))</f>
      </c>
      <c r="H378" s="10">
        <f t="array" ref="H378">IFERROR(SMALL(IF('Journal'!$D$8:$D$2007=$C$5,ROW('Journal'!$D$8:$D$2007)-7),371),"")</f>
      </c>
    </row>
    <row r="379">
      <c r="A379" s="13">
        <f>IF($H379="","",INDEX('Journal'!$A$8:$A$2007,$H379))</f>
      </c>
      <c r="B379" s="10">
        <f>IF($H379="","",INDEX('Journal'!$B$8:$B$2007,$H379))</f>
      </c>
      <c r="C379" s="9">
        <f>IF($H379="","",INDEX('Journal'!$C$8:$C$2007,$H379))</f>
      </c>
      <c r="D379" s="9">
        <f>IF($H379="","",INDEX('Journal'!$F$8:$F$2007,$H379))</f>
      </c>
      <c r="E379" s="11">
        <f>IF($H379="","",INDEX('Journal'!$H$8:$H$2007,$H379))</f>
      </c>
      <c r="F379" s="11">
        <f>IF($H379="","",INDEX('Journal'!$I$8:$I$2007,$H379))</f>
      </c>
      <c r="G379" s="11">
        <f>IF($H379="","",N(G378)+N(E379)-N(F379))</f>
      </c>
      <c r="H379" s="10">
        <f t="array" ref="H379">IFERROR(SMALL(IF('Journal'!$D$8:$D$2007=$C$5,ROW('Journal'!$D$8:$D$2007)-7),372),"")</f>
      </c>
    </row>
    <row r="380">
      <c r="A380" s="13">
        <f>IF($H380="","",INDEX('Journal'!$A$8:$A$2007,$H380))</f>
      </c>
      <c r="B380" s="10">
        <f>IF($H380="","",INDEX('Journal'!$B$8:$B$2007,$H380))</f>
      </c>
      <c r="C380" s="9">
        <f>IF($H380="","",INDEX('Journal'!$C$8:$C$2007,$H380))</f>
      </c>
      <c r="D380" s="9">
        <f>IF($H380="","",INDEX('Journal'!$F$8:$F$2007,$H380))</f>
      </c>
      <c r="E380" s="11">
        <f>IF($H380="","",INDEX('Journal'!$H$8:$H$2007,$H380))</f>
      </c>
      <c r="F380" s="11">
        <f>IF($H380="","",INDEX('Journal'!$I$8:$I$2007,$H380))</f>
      </c>
      <c r="G380" s="11">
        <f>IF($H380="","",N(G379)+N(E380)-N(F380))</f>
      </c>
      <c r="H380" s="10">
        <f t="array" ref="H380">IFERROR(SMALL(IF('Journal'!$D$8:$D$2007=$C$5,ROW('Journal'!$D$8:$D$2007)-7),373),"")</f>
      </c>
    </row>
    <row r="381">
      <c r="A381" s="13">
        <f>IF($H381="","",INDEX('Journal'!$A$8:$A$2007,$H381))</f>
      </c>
      <c r="B381" s="10">
        <f>IF($H381="","",INDEX('Journal'!$B$8:$B$2007,$H381))</f>
      </c>
      <c r="C381" s="9">
        <f>IF($H381="","",INDEX('Journal'!$C$8:$C$2007,$H381))</f>
      </c>
      <c r="D381" s="9">
        <f>IF($H381="","",INDEX('Journal'!$F$8:$F$2007,$H381))</f>
      </c>
      <c r="E381" s="11">
        <f>IF($H381="","",INDEX('Journal'!$H$8:$H$2007,$H381))</f>
      </c>
      <c r="F381" s="11">
        <f>IF($H381="","",INDEX('Journal'!$I$8:$I$2007,$H381))</f>
      </c>
      <c r="G381" s="11">
        <f>IF($H381="","",N(G380)+N(E381)-N(F381))</f>
      </c>
      <c r="H381" s="10">
        <f t="array" ref="H381">IFERROR(SMALL(IF('Journal'!$D$8:$D$2007=$C$5,ROW('Journal'!$D$8:$D$2007)-7),374),"")</f>
      </c>
    </row>
    <row r="382">
      <c r="A382" s="13">
        <f>IF($H382="","",INDEX('Journal'!$A$8:$A$2007,$H382))</f>
      </c>
      <c r="B382" s="10">
        <f>IF($H382="","",INDEX('Journal'!$B$8:$B$2007,$H382))</f>
      </c>
      <c r="C382" s="9">
        <f>IF($H382="","",INDEX('Journal'!$C$8:$C$2007,$H382))</f>
      </c>
      <c r="D382" s="9">
        <f>IF($H382="","",INDEX('Journal'!$F$8:$F$2007,$H382))</f>
      </c>
      <c r="E382" s="11">
        <f>IF($H382="","",INDEX('Journal'!$H$8:$H$2007,$H382))</f>
      </c>
      <c r="F382" s="11">
        <f>IF($H382="","",INDEX('Journal'!$I$8:$I$2007,$H382))</f>
      </c>
      <c r="G382" s="11">
        <f>IF($H382="","",N(G381)+N(E382)-N(F382))</f>
      </c>
      <c r="H382" s="10">
        <f t="array" ref="H382">IFERROR(SMALL(IF('Journal'!$D$8:$D$2007=$C$5,ROW('Journal'!$D$8:$D$2007)-7),375),"")</f>
      </c>
    </row>
    <row r="383">
      <c r="A383" s="13">
        <f>IF($H383="","",INDEX('Journal'!$A$8:$A$2007,$H383))</f>
      </c>
      <c r="B383" s="10">
        <f>IF($H383="","",INDEX('Journal'!$B$8:$B$2007,$H383))</f>
      </c>
      <c r="C383" s="9">
        <f>IF($H383="","",INDEX('Journal'!$C$8:$C$2007,$H383))</f>
      </c>
      <c r="D383" s="9">
        <f>IF($H383="","",INDEX('Journal'!$F$8:$F$2007,$H383))</f>
      </c>
      <c r="E383" s="11">
        <f>IF($H383="","",INDEX('Journal'!$H$8:$H$2007,$H383))</f>
      </c>
      <c r="F383" s="11">
        <f>IF($H383="","",INDEX('Journal'!$I$8:$I$2007,$H383))</f>
      </c>
      <c r="G383" s="11">
        <f>IF($H383="","",N(G382)+N(E383)-N(F383))</f>
      </c>
      <c r="H383" s="10">
        <f t="array" ref="H383">IFERROR(SMALL(IF('Journal'!$D$8:$D$2007=$C$5,ROW('Journal'!$D$8:$D$2007)-7),376),"")</f>
      </c>
    </row>
    <row r="384">
      <c r="A384" s="13">
        <f>IF($H384="","",INDEX('Journal'!$A$8:$A$2007,$H384))</f>
      </c>
      <c r="B384" s="10">
        <f>IF($H384="","",INDEX('Journal'!$B$8:$B$2007,$H384))</f>
      </c>
      <c r="C384" s="9">
        <f>IF($H384="","",INDEX('Journal'!$C$8:$C$2007,$H384))</f>
      </c>
      <c r="D384" s="9">
        <f>IF($H384="","",INDEX('Journal'!$F$8:$F$2007,$H384))</f>
      </c>
      <c r="E384" s="11">
        <f>IF($H384="","",INDEX('Journal'!$H$8:$H$2007,$H384))</f>
      </c>
      <c r="F384" s="11">
        <f>IF($H384="","",INDEX('Journal'!$I$8:$I$2007,$H384))</f>
      </c>
      <c r="G384" s="11">
        <f>IF($H384="","",N(G383)+N(E384)-N(F384))</f>
      </c>
      <c r="H384" s="10">
        <f t="array" ref="H384">IFERROR(SMALL(IF('Journal'!$D$8:$D$2007=$C$5,ROW('Journal'!$D$8:$D$2007)-7),377),"")</f>
      </c>
    </row>
    <row r="385">
      <c r="A385" s="13">
        <f>IF($H385="","",INDEX('Journal'!$A$8:$A$2007,$H385))</f>
      </c>
      <c r="B385" s="10">
        <f>IF($H385="","",INDEX('Journal'!$B$8:$B$2007,$H385))</f>
      </c>
      <c r="C385" s="9">
        <f>IF($H385="","",INDEX('Journal'!$C$8:$C$2007,$H385))</f>
      </c>
      <c r="D385" s="9">
        <f>IF($H385="","",INDEX('Journal'!$F$8:$F$2007,$H385))</f>
      </c>
      <c r="E385" s="11">
        <f>IF($H385="","",INDEX('Journal'!$H$8:$H$2007,$H385))</f>
      </c>
      <c r="F385" s="11">
        <f>IF($H385="","",INDEX('Journal'!$I$8:$I$2007,$H385))</f>
      </c>
      <c r="G385" s="11">
        <f>IF($H385="","",N(G384)+N(E385)-N(F385))</f>
      </c>
      <c r="H385" s="10">
        <f t="array" ref="H385">IFERROR(SMALL(IF('Journal'!$D$8:$D$2007=$C$5,ROW('Journal'!$D$8:$D$2007)-7),378),"")</f>
      </c>
    </row>
    <row r="386">
      <c r="A386" s="13">
        <f>IF($H386="","",INDEX('Journal'!$A$8:$A$2007,$H386))</f>
      </c>
      <c r="B386" s="10">
        <f>IF($H386="","",INDEX('Journal'!$B$8:$B$2007,$H386))</f>
      </c>
      <c r="C386" s="9">
        <f>IF($H386="","",INDEX('Journal'!$C$8:$C$2007,$H386))</f>
      </c>
      <c r="D386" s="9">
        <f>IF($H386="","",INDEX('Journal'!$F$8:$F$2007,$H386))</f>
      </c>
      <c r="E386" s="11">
        <f>IF($H386="","",INDEX('Journal'!$H$8:$H$2007,$H386))</f>
      </c>
      <c r="F386" s="11">
        <f>IF($H386="","",INDEX('Journal'!$I$8:$I$2007,$H386))</f>
      </c>
      <c r="G386" s="11">
        <f>IF($H386="","",N(G385)+N(E386)-N(F386))</f>
      </c>
      <c r="H386" s="10">
        <f t="array" ref="H386">IFERROR(SMALL(IF('Journal'!$D$8:$D$2007=$C$5,ROW('Journal'!$D$8:$D$2007)-7),379),"")</f>
      </c>
    </row>
    <row r="387">
      <c r="A387" s="13">
        <f>IF($H387="","",INDEX('Journal'!$A$8:$A$2007,$H387))</f>
      </c>
      <c r="B387" s="10">
        <f>IF($H387="","",INDEX('Journal'!$B$8:$B$2007,$H387))</f>
      </c>
      <c r="C387" s="9">
        <f>IF($H387="","",INDEX('Journal'!$C$8:$C$2007,$H387))</f>
      </c>
      <c r="D387" s="9">
        <f>IF($H387="","",INDEX('Journal'!$F$8:$F$2007,$H387))</f>
      </c>
      <c r="E387" s="11">
        <f>IF($H387="","",INDEX('Journal'!$H$8:$H$2007,$H387))</f>
      </c>
      <c r="F387" s="11">
        <f>IF($H387="","",INDEX('Journal'!$I$8:$I$2007,$H387))</f>
      </c>
      <c r="G387" s="11">
        <f>IF($H387="","",N(G386)+N(E387)-N(F387))</f>
      </c>
      <c r="H387" s="10">
        <f t="array" ref="H387">IFERROR(SMALL(IF('Journal'!$D$8:$D$2007=$C$5,ROW('Journal'!$D$8:$D$2007)-7),380),"")</f>
      </c>
    </row>
    <row r="388">
      <c r="A388" s="13">
        <f>IF($H388="","",INDEX('Journal'!$A$8:$A$2007,$H388))</f>
      </c>
      <c r="B388" s="10">
        <f>IF($H388="","",INDEX('Journal'!$B$8:$B$2007,$H388))</f>
      </c>
      <c r="C388" s="9">
        <f>IF($H388="","",INDEX('Journal'!$C$8:$C$2007,$H388))</f>
      </c>
      <c r="D388" s="9">
        <f>IF($H388="","",INDEX('Journal'!$F$8:$F$2007,$H388))</f>
      </c>
      <c r="E388" s="11">
        <f>IF($H388="","",INDEX('Journal'!$H$8:$H$2007,$H388))</f>
      </c>
      <c r="F388" s="11">
        <f>IF($H388="","",INDEX('Journal'!$I$8:$I$2007,$H388))</f>
      </c>
      <c r="G388" s="11">
        <f>IF($H388="","",N(G387)+N(E388)-N(F388))</f>
      </c>
      <c r="H388" s="10">
        <f t="array" ref="H388">IFERROR(SMALL(IF('Journal'!$D$8:$D$2007=$C$5,ROW('Journal'!$D$8:$D$2007)-7),381),"")</f>
      </c>
    </row>
    <row r="389">
      <c r="A389" s="13">
        <f>IF($H389="","",INDEX('Journal'!$A$8:$A$2007,$H389))</f>
      </c>
      <c r="B389" s="10">
        <f>IF($H389="","",INDEX('Journal'!$B$8:$B$2007,$H389))</f>
      </c>
      <c r="C389" s="9">
        <f>IF($H389="","",INDEX('Journal'!$C$8:$C$2007,$H389))</f>
      </c>
      <c r="D389" s="9">
        <f>IF($H389="","",INDEX('Journal'!$F$8:$F$2007,$H389))</f>
      </c>
      <c r="E389" s="11">
        <f>IF($H389="","",INDEX('Journal'!$H$8:$H$2007,$H389))</f>
      </c>
      <c r="F389" s="11">
        <f>IF($H389="","",INDEX('Journal'!$I$8:$I$2007,$H389))</f>
      </c>
      <c r="G389" s="11">
        <f>IF($H389="","",N(G388)+N(E389)-N(F389))</f>
      </c>
      <c r="H389" s="10">
        <f t="array" ref="H389">IFERROR(SMALL(IF('Journal'!$D$8:$D$2007=$C$5,ROW('Journal'!$D$8:$D$2007)-7),382),"")</f>
      </c>
    </row>
    <row r="390">
      <c r="A390" s="13">
        <f>IF($H390="","",INDEX('Journal'!$A$8:$A$2007,$H390))</f>
      </c>
      <c r="B390" s="10">
        <f>IF($H390="","",INDEX('Journal'!$B$8:$B$2007,$H390))</f>
      </c>
      <c r="C390" s="9">
        <f>IF($H390="","",INDEX('Journal'!$C$8:$C$2007,$H390))</f>
      </c>
      <c r="D390" s="9">
        <f>IF($H390="","",INDEX('Journal'!$F$8:$F$2007,$H390))</f>
      </c>
      <c r="E390" s="11">
        <f>IF($H390="","",INDEX('Journal'!$H$8:$H$2007,$H390))</f>
      </c>
      <c r="F390" s="11">
        <f>IF($H390="","",INDEX('Journal'!$I$8:$I$2007,$H390))</f>
      </c>
      <c r="G390" s="11">
        <f>IF($H390="","",N(G389)+N(E390)-N(F390))</f>
      </c>
      <c r="H390" s="10">
        <f t="array" ref="H390">IFERROR(SMALL(IF('Journal'!$D$8:$D$2007=$C$5,ROW('Journal'!$D$8:$D$2007)-7),383),"")</f>
      </c>
    </row>
    <row r="391">
      <c r="A391" s="13">
        <f>IF($H391="","",INDEX('Journal'!$A$8:$A$2007,$H391))</f>
      </c>
      <c r="B391" s="10">
        <f>IF($H391="","",INDEX('Journal'!$B$8:$B$2007,$H391))</f>
      </c>
      <c r="C391" s="9">
        <f>IF($H391="","",INDEX('Journal'!$C$8:$C$2007,$H391))</f>
      </c>
      <c r="D391" s="9">
        <f>IF($H391="","",INDEX('Journal'!$F$8:$F$2007,$H391))</f>
      </c>
      <c r="E391" s="11">
        <f>IF($H391="","",INDEX('Journal'!$H$8:$H$2007,$H391))</f>
      </c>
      <c r="F391" s="11">
        <f>IF($H391="","",INDEX('Journal'!$I$8:$I$2007,$H391))</f>
      </c>
      <c r="G391" s="11">
        <f>IF($H391="","",N(G390)+N(E391)-N(F391))</f>
      </c>
      <c r="H391" s="10">
        <f t="array" ref="H391">IFERROR(SMALL(IF('Journal'!$D$8:$D$2007=$C$5,ROW('Journal'!$D$8:$D$2007)-7),384),"")</f>
      </c>
    </row>
    <row r="392">
      <c r="A392" s="13">
        <f>IF($H392="","",INDEX('Journal'!$A$8:$A$2007,$H392))</f>
      </c>
      <c r="B392" s="10">
        <f>IF($H392="","",INDEX('Journal'!$B$8:$B$2007,$H392))</f>
      </c>
      <c r="C392" s="9">
        <f>IF($H392="","",INDEX('Journal'!$C$8:$C$2007,$H392))</f>
      </c>
      <c r="D392" s="9">
        <f>IF($H392="","",INDEX('Journal'!$F$8:$F$2007,$H392))</f>
      </c>
      <c r="E392" s="11">
        <f>IF($H392="","",INDEX('Journal'!$H$8:$H$2007,$H392))</f>
      </c>
      <c r="F392" s="11">
        <f>IF($H392="","",INDEX('Journal'!$I$8:$I$2007,$H392))</f>
      </c>
      <c r="G392" s="11">
        <f>IF($H392="","",N(G391)+N(E392)-N(F392))</f>
      </c>
      <c r="H392" s="10">
        <f t="array" ref="H392">IFERROR(SMALL(IF('Journal'!$D$8:$D$2007=$C$5,ROW('Journal'!$D$8:$D$2007)-7),385),"")</f>
      </c>
    </row>
    <row r="393">
      <c r="A393" s="13">
        <f>IF($H393="","",INDEX('Journal'!$A$8:$A$2007,$H393))</f>
      </c>
      <c r="B393" s="10">
        <f>IF($H393="","",INDEX('Journal'!$B$8:$B$2007,$H393))</f>
      </c>
      <c r="C393" s="9">
        <f>IF($H393="","",INDEX('Journal'!$C$8:$C$2007,$H393))</f>
      </c>
      <c r="D393" s="9">
        <f>IF($H393="","",INDEX('Journal'!$F$8:$F$2007,$H393))</f>
      </c>
      <c r="E393" s="11">
        <f>IF($H393="","",INDEX('Journal'!$H$8:$H$2007,$H393))</f>
      </c>
      <c r="F393" s="11">
        <f>IF($H393="","",INDEX('Journal'!$I$8:$I$2007,$H393))</f>
      </c>
      <c r="G393" s="11">
        <f>IF($H393="","",N(G392)+N(E393)-N(F393))</f>
      </c>
      <c r="H393" s="10">
        <f t="array" ref="H393">IFERROR(SMALL(IF('Journal'!$D$8:$D$2007=$C$5,ROW('Journal'!$D$8:$D$2007)-7),386),"")</f>
      </c>
    </row>
    <row r="394">
      <c r="A394" s="13">
        <f>IF($H394="","",INDEX('Journal'!$A$8:$A$2007,$H394))</f>
      </c>
      <c r="B394" s="10">
        <f>IF($H394="","",INDEX('Journal'!$B$8:$B$2007,$H394))</f>
      </c>
      <c r="C394" s="9">
        <f>IF($H394="","",INDEX('Journal'!$C$8:$C$2007,$H394))</f>
      </c>
      <c r="D394" s="9">
        <f>IF($H394="","",INDEX('Journal'!$F$8:$F$2007,$H394))</f>
      </c>
      <c r="E394" s="11">
        <f>IF($H394="","",INDEX('Journal'!$H$8:$H$2007,$H394))</f>
      </c>
      <c r="F394" s="11">
        <f>IF($H394="","",INDEX('Journal'!$I$8:$I$2007,$H394))</f>
      </c>
      <c r="G394" s="11">
        <f>IF($H394="","",N(G393)+N(E394)-N(F394))</f>
      </c>
      <c r="H394" s="10">
        <f t="array" ref="H394">IFERROR(SMALL(IF('Journal'!$D$8:$D$2007=$C$5,ROW('Journal'!$D$8:$D$2007)-7),387),"")</f>
      </c>
    </row>
    <row r="395">
      <c r="A395" s="13">
        <f>IF($H395="","",INDEX('Journal'!$A$8:$A$2007,$H395))</f>
      </c>
      <c r="B395" s="10">
        <f>IF($H395="","",INDEX('Journal'!$B$8:$B$2007,$H395))</f>
      </c>
      <c r="C395" s="9">
        <f>IF($H395="","",INDEX('Journal'!$C$8:$C$2007,$H395))</f>
      </c>
      <c r="D395" s="9">
        <f>IF($H395="","",INDEX('Journal'!$F$8:$F$2007,$H395))</f>
      </c>
      <c r="E395" s="11">
        <f>IF($H395="","",INDEX('Journal'!$H$8:$H$2007,$H395))</f>
      </c>
      <c r="F395" s="11">
        <f>IF($H395="","",INDEX('Journal'!$I$8:$I$2007,$H395))</f>
      </c>
      <c r="G395" s="11">
        <f>IF($H395="","",N(G394)+N(E395)-N(F395))</f>
      </c>
      <c r="H395" s="10">
        <f t="array" ref="H395">IFERROR(SMALL(IF('Journal'!$D$8:$D$2007=$C$5,ROW('Journal'!$D$8:$D$2007)-7),388),"")</f>
      </c>
    </row>
    <row r="396">
      <c r="A396" s="13">
        <f>IF($H396="","",INDEX('Journal'!$A$8:$A$2007,$H396))</f>
      </c>
      <c r="B396" s="10">
        <f>IF($H396="","",INDEX('Journal'!$B$8:$B$2007,$H396))</f>
      </c>
      <c r="C396" s="9">
        <f>IF($H396="","",INDEX('Journal'!$C$8:$C$2007,$H396))</f>
      </c>
      <c r="D396" s="9">
        <f>IF($H396="","",INDEX('Journal'!$F$8:$F$2007,$H396))</f>
      </c>
      <c r="E396" s="11">
        <f>IF($H396="","",INDEX('Journal'!$H$8:$H$2007,$H396))</f>
      </c>
      <c r="F396" s="11">
        <f>IF($H396="","",INDEX('Journal'!$I$8:$I$2007,$H396))</f>
      </c>
      <c r="G396" s="11">
        <f>IF($H396="","",N(G395)+N(E396)-N(F396))</f>
      </c>
      <c r="H396" s="10">
        <f t="array" ref="H396">IFERROR(SMALL(IF('Journal'!$D$8:$D$2007=$C$5,ROW('Journal'!$D$8:$D$2007)-7),389),"")</f>
      </c>
    </row>
    <row r="397">
      <c r="A397" s="13">
        <f>IF($H397="","",INDEX('Journal'!$A$8:$A$2007,$H397))</f>
      </c>
      <c r="B397" s="10">
        <f>IF($H397="","",INDEX('Journal'!$B$8:$B$2007,$H397))</f>
      </c>
      <c r="C397" s="9">
        <f>IF($H397="","",INDEX('Journal'!$C$8:$C$2007,$H397))</f>
      </c>
      <c r="D397" s="9">
        <f>IF($H397="","",INDEX('Journal'!$F$8:$F$2007,$H397))</f>
      </c>
      <c r="E397" s="11">
        <f>IF($H397="","",INDEX('Journal'!$H$8:$H$2007,$H397))</f>
      </c>
      <c r="F397" s="11">
        <f>IF($H397="","",INDEX('Journal'!$I$8:$I$2007,$H397))</f>
      </c>
      <c r="G397" s="11">
        <f>IF($H397="","",N(G396)+N(E397)-N(F397))</f>
      </c>
      <c r="H397" s="10">
        <f t="array" ref="H397">IFERROR(SMALL(IF('Journal'!$D$8:$D$2007=$C$5,ROW('Journal'!$D$8:$D$2007)-7),390),"")</f>
      </c>
    </row>
    <row r="398">
      <c r="A398" s="13">
        <f>IF($H398="","",INDEX('Journal'!$A$8:$A$2007,$H398))</f>
      </c>
      <c r="B398" s="10">
        <f>IF($H398="","",INDEX('Journal'!$B$8:$B$2007,$H398))</f>
      </c>
      <c r="C398" s="9">
        <f>IF($H398="","",INDEX('Journal'!$C$8:$C$2007,$H398))</f>
      </c>
      <c r="D398" s="9">
        <f>IF($H398="","",INDEX('Journal'!$F$8:$F$2007,$H398))</f>
      </c>
      <c r="E398" s="11">
        <f>IF($H398="","",INDEX('Journal'!$H$8:$H$2007,$H398))</f>
      </c>
      <c r="F398" s="11">
        <f>IF($H398="","",INDEX('Journal'!$I$8:$I$2007,$H398))</f>
      </c>
      <c r="G398" s="11">
        <f>IF($H398="","",N(G397)+N(E398)-N(F398))</f>
      </c>
      <c r="H398" s="10">
        <f t="array" ref="H398">IFERROR(SMALL(IF('Journal'!$D$8:$D$2007=$C$5,ROW('Journal'!$D$8:$D$2007)-7),391),"")</f>
      </c>
    </row>
    <row r="399">
      <c r="A399" s="13">
        <f>IF($H399="","",INDEX('Journal'!$A$8:$A$2007,$H399))</f>
      </c>
      <c r="B399" s="10">
        <f>IF($H399="","",INDEX('Journal'!$B$8:$B$2007,$H399))</f>
      </c>
      <c r="C399" s="9">
        <f>IF($H399="","",INDEX('Journal'!$C$8:$C$2007,$H399))</f>
      </c>
      <c r="D399" s="9">
        <f>IF($H399="","",INDEX('Journal'!$F$8:$F$2007,$H399))</f>
      </c>
      <c r="E399" s="11">
        <f>IF($H399="","",INDEX('Journal'!$H$8:$H$2007,$H399))</f>
      </c>
      <c r="F399" s="11">
        <f>IF($H399="","",INDEX('Journal'!$I$8:$I$2007,$H399))</f>
      </c>
      <c r="G399" s="11">
        <f>IF($H399="","",N(G398)+N(E399)-N(F399))</f>
      </c>
      <c r="H399" s="10">
        <f t="array" ref="H399">IFERROR(SMALL(IF('Journal'!$D$8:$D$2007=$C$5,ROW('Journal'!$D$8:$D$2007)-7),392),"")</f>
      </c>
    </row>
    <row r="400">
      <c r="A400" s="13">
        <f>IF($H400="","",INDEX('Journal'!$A$8:$A$2007,$H400))</f>
      </c>
      <c r="B400" s="10">
        <f>IF($H400="","",INDEX('Journal'!$B$8:$B$2007,$H400))</f>
      </c>
      <c r="C400" s="9">
        <f>IF($H400="","",INDEX('Journal'!$C$8:$C$2007,$H400))</f>
      </c>
      <c r="D400" s="9">
        <f>IF($H400="","",INDEX('Journal'!$F$8:$F$2007,$H400))</f>
      </c>
      <c r="E400" s="11">
        <f>IF($H400="","",INDEX('Journal'!$H$8:$H$2007,$H400))</f>
      </c>
      <c r="F400" s="11">
        <f>IF($H400="","",INDEX('Journal'!$I$8:$I$2007,$H400))</f>
      </c>
      <c r="G400" s="11">
        <f>IF($H400="","",N(G399)+N(E400)-N(F400))</f>
      </c>
      <c r="H400" s="10">
        <f t="array" ref="H400">IFERROR(SMALL(IF('Journal'!$D$8:$D$2007=$C$5,ROW('Journal'!$D$8:$D$2007)-7),393),"")</f>
      </c>
    </row>
    <row r="401">
      <c r="A401" s="13">
        <f>IF($H401="","",INDEX('Journal'!$A$8:$A$2007,$H401))</f>
      </c>
      <c r="B401" s="10">
        <f>IF($H401="","",INDEX('Journal'!$B$8:$B$2007,$H401))</f>
      </c>
      <c r="C401" s="9">
        <f>IF($H401="","",INDEX('Journal'!$C$8:$C$2007,$H401))</f>
      </c>
      <c r="D401" s="9">
        <f>IF($H401="","",INDEX('Journal'!$F$8:$F$2007,$H401))</f>
      </c>
      <c r="E401" s="11">
        <f>IF($H401="","",INDEX('Journal'!$H$8:$H$2007,$H401))</f>
      </c>
      <c r="F401" s="11">
        <f>IF($H401="","",INDEX('Journal'!$I$8:$I$2007,$H401))</f>
      </c>
      <c r="G401" s="11">
        <f>IF($H401="","",N(G400)+N(E401)-N(F401))</f>
      </c>
      <c r="H401" s="10">
        <f t="array" ref="H401">IFERROR(SMALL(IF('Journal'!$D$8:$D$2007=$C$5,ROW('Journal'!$D$8:$D$2007)-7),394),"")</f>
      </c>
    </row>
    <row r="402">
      <c r="A402" s="13">
        <f>IF($H402="","",INDEX('Journal'!$A$8:$A$2007,$H402))</f>
      </c>
      <c r="B402" s="10">
        <f>IF($H402="","",INDEX('Journal'!$B$8:$B$2007,$H402))</f>
      </c>
      <c r="C402" s="9">
        <f>IF($H402="","",INDEX('Journal'!$C$8:$C$2007,$H402))</f>
      </c>
      <c r="D402" s="9">
        <f>IF($H402="","",INDEX('Journal'!$F$8:$F$2007,$H402))</f>
      </c>
      <c r="E402" s="11">
        <f>IF($H402="","",INDEX('Journal'!$H$8:$H$2007,$H402))</f>
      </c>
      <c r="F402" s="11">
        <f>IF($H402="","",INDEX('Journal'!$I$8:$I$2007,$H402))</f>
      </c>
      <c r="G402" s="11">
        <f>IF($H402="","",N(G401)+N(E402)-N(F402))</f>
      </c>
      <c r="H402" s="10">
        <f t="array" ref="H402">IFERROR(SMALL(IF('Journal'!$D$8:$D$2007=$C$5,ROW('Journal'!$D$8:$D$2007)-7),395),"")</f>
      </c>
    </row>
    <row r="403">
      <c r="A403" s="13">
        <f>IF($H403="","",INDEX('Journal'!$A$8:$A$2007,$H403))</f>
      </c>
      <c r="B403" s="10">
        <f>IF($H403="","",INDEX('Journal'!$B$8:$B$2007,$H403))</f>
      </c>
      <c r="C403" s="9">
        <f>IF($H403="","",INDEX('Journal'!$C$8:$C$2007,$H403))</f>
      </c>
      <c r="D403" s="9">
        <f>IF($H403="","",INDEX('Journal'!$F$8:$F$2007,$H403))</f>
      </c>
      <c r="E403" s="11">
        <f>IF($H403="","",INDEX('Journal'!$H$8:$H$2007,$H403))</f>
      </c>
      <c r="F403" s="11">
        <f>IF($H403="","",INDEX('Journal'!$I$8:$I$2007,$H403))</f>
      </c>
      <c r="G403" s="11">
        <f>IF($H403="","",N(G402)+N(E403)-N(F403))</f>
      </c>
      <c r="H403" s="10">
        <f t="array" ref="H403">IFERROR(SMALL(IF('Journal'!$D$8:$D$2007=$C$5,ROW('Journal'!$D$8:$D$2007)-7),396),"")</f>
      </c>
    </row>
    <row r="404">
      <c r="A404" s="13">
        <f>IF($H404="","",INDEX('Journal'!$A$8:$A$2007,$H404))</f>
      </c>
      <c r="B404" s="10">
        <f>IF($H404="","",INDEX('Journal'!$B$8:$B$2007,$H404))</f>
      </c>
      <c r="C404" s="9">
        <f>IF($H404="","",INDEX('Journal'!$C$8:$C$2007,$H404))</f>
      </c>
      <c r="D404" s="9">
        <f>IF($H404="","",INDEX('Journal'!$F$8:$F$2007,$H404))</f>
      </c>
      <c r="E404" s="11">
        <f>IF($H404="","",INDEX('Journal'!$H$8:$H$2007,$H404))</f>
      </c>
      <c r="F404" s="11">
        <f>IF($H404="","",INDEX('Journal'!$I$8:$I$2007,$H404))</f>
      </c>
      <c r="G404" s="11">
        <f>IF($H404="","",N(G403)+N(E404)-N(F404))</f>
      </c>
      <c r="H404" s="10">
        <f t="array" ref="H404">IFERROR(SMALL(IF('Journal'!$D$8:$D$2007=$C$5,ROW('Journal'!$D$8:$D$2007)-7),397),"")</f>
      </c>
    </row>
    <row r="405">
      <c r="A405" s="13">
        <f>IF($H405="","",INDEX('Journal'!$A$8:$A$2007,$H405))</f>
      </c>
      <c r="B405" s="10">
        <f>IF($H405="","",INDEX('Journal'!$B$8:$B$2007,$H405))</f>
      </c>
      <c r="C405" s="9">
        <f>IF($H405="","",INDEX('Journal'!$C$8:$C$2007,$H405))</f>
      </c>
      <c r="D405" s="9">
        <f>IF($H405="","",INDEX('Journal'!$F$8:$F$2007,$H405))</f>
      </c>
      <c r="E405" s="11">
        <f>IF($H405="","",INDEX('Journal'!$H$8:$H$2007,$H405))</f>
      </c>
      <c r="F405" s="11">
        <f>IF($H405="","",INDEX('Journal'!$I$8:$I$2007,$H405))</f>
      </c>
      <c r="G405" s="11">
        <f>IF($H405="","",N(G404)+N(E405)-N(F405))</f>
      </c>
      <c r="H405" s="10">
        <f t="array" ref="H405">IFERROR(SMALL(IF('Journal'!$D$8:$D$2007=$C$5,ROW('Journal'!$D$8:$D$2007)-7),398),"")</f>
      </c>
    </row>
    <row r="406">
      <c r="A406" s="13">
        <f>IF($H406="","",INDEX('Journal'!$A$8:$A$2007,$H406))</f>
      </c>
      <c r="B406" s="10">
        <f>IF($H406="","",INDEX('Journal'!$B$8:$B$2007,$H406))</f>
      </c>
      <c r="C406" s="9">
        <f>IF($H406="","",INDEX('Journal'!$C$8:$C$2007,$H406))</f>
      </c>
      <c r="D406" s="9">
        <f>IF($H406="","",INDEX('Journal'!$F$8:$F$2007,$H406))</f>
      </c>
      <c r="E406" s="11">
        <f>IF($H406="","",INDEX('Journal'!$H$8:$H$2007,$H406))</f>
      </c>
      <c r="F406" s="11">
        <f>IF($H406="","",INDEX('Journal'!$I$8:$I$2007,$H406))</f>
      </c>
      <c r="G406" s="11">
        <f>IF($H406="","",N(G405)+N(E406)-N(F406))</f>
      </c>
      <c r="H406" s="10">
        <f t="array" ref="H406">IFERROR(SMALL(IF('Journal'!$D$8:$D$2007=$C$5,ROW('Journal'!$D$8:$D$2007)-7),399),"")</f>
      </c>
    </row>
    <row r="407">
      <c r="A407" s="13">
        <f>IF($H407="","",INDEX('Journal'!$A$8:$A$2007,$H407))</f>
      </c>
      <c r="B407" s="10">
        <f>IF($H407="","",INDEX('Journal'!$B$8:$B$2007,$H407))</f>
      </c>
      <c r="C407" s="9">
        <f>IF($H407="","",INDEX('Journal'!$C$8:$C$2007,$H407))</f>
      </c>
      <c r="D407" s="9">
        <f>IF($H407="","",INDEX('Journal'!$F$8:$F$2007,$H407))</f>
      </c>
      <c r="E407" s="11">
        <f>IF($H407="","",INDEX('Journal'!$H$8:$H$2007,$H407))</f>
      </c>
      <c r="F407" s="11">
        <f>IF($H407="","",INDEX('Journal'!$I$8:$I$2007,$H407))</f>
      </c>
      <c r="G407" s="11">
        <f>IF($H407="","",N(G406)+N(E407)-N(F407))</f>
      </c>
      <c r="H407" s="10">
        <f t="array" ref="H407">IFERROR(SMALL(IF('Journal'!$D$8:$D$2007=$C$5,ROW('Journal'!$D$8:$D$2007)-7),400),"")</f>
      </c>
    </row>
  </sheetData>
  <mergeCells count="4">
    <mergeCell ref="A1:H1"/>
    <mergeCell ref="A2:H2"/>
    <mergeCell ref="A3:H3"/>
    <mergeCell ref="D5:G5"/>
  </mergeCells>
  <dataValidations count="1">
    <dataValidation type="list" allowBlank="1" showInputMessage="1" showErrorMessage="0" sqref="C5">
      <formula1>Comptes</formula1>
    </dataValidation>
  </dataValidations>
  <pageMargins left="0.4" right="0.4" top="0.5" bottom="0.5" header="0.3" footer="0.3"/>
</worksheet>
</file>

<file path=xl/worksheets/sheet6.xml><?xml version="1.0" encoding="utf-8"?>
<worksheet xmlns="http://schemas.openxmlformats.org/spreadsheetml/2006/main">
  <sheetPr>
    <tabColor rgb="FF475569"/>
  </sheetPr>
  <sheetViews>
    <sheetView workbookViewId="0" showGridLines="0">
      <pane ySplit="7" topLeftCell="A8" activePane="bottomLeft" state="frozen"/>
      <selection pane="bottomLeft" activeCell="A8" sqref="A8"/>
    </sheetView>
  </sheetViews>
  <sheetFormatPr defaultRowHeight="15"/>
  <cols>
    <col min="1" max="1" width="11" customWidth="1"/>
    <col min="2" max="2" width="52" customWidth="1"/>
    <col min="3" max="3" width="17" customWidth="1"/>
    <col min="4" max="4" width="17" customWidth="1"/>
    <col min="5" max="5" width="17" customWidth="1"/>
    <col min="6" max="6" width="17" customWidth="1"/>
    <col min="7" max="7" width="17" customWidth="1"/>
    <col min="8" max="8" width="12" customWidth="1"/>
    <col min="9" max="9" width="7" customWidth="1"/>
    <col min="10" max="10" width="6" customWidth="1"/>
    <col min="11" max="11" width="9" customWidth="1"/>
    <col min="12" max="12" width="9" customWidth="1"/>
  </cols>
  <sheetData>
    <row r="1" ht="30" customHeight="1">
      <c r="A1" s="1" t="inlineStr">
        <is>
          <t xml:space="preserve">BALANCE GÉNÉRALE</t>
        </is>
      </c>
    </row>
    <row r="2" ht="22" customHeight="1">
      <c r="A2" s="2" t="inlineStr">
        <is>
          <t xml:space="preserve">ميزان المراجعة</t>
        </is>
      </c>
    </row>
    <row r="3">
      <c r="A3" s="18">
        <f>Societe&amp;"   ·   Exercice "&amp;Exercice</f>
      </c>
    </row>
    <row r="5">
      <c r="A5" s="18">
        <f>IF(ROUND(SUM(C8:C192)-SUM(D8:D192),2)=0,"Balance équilibrée : total débit = total crédit.","Balance déséquilibrée — écart de "&amp;TEXT(SUM(C8:C192)-SUM(D8:D192),"#,##0.00")&amp;" DA. Une écriture du journal ne se boucle pas.")</f>
      </c>
    </row>
    <row r="7">
      <c r="A7" s="8" t="inlineStr">
        <is>
          <t xml:space="preserve">Compte</t>
        </is>
      </c>
      <c r="B7" s="8" t="inlineStr">
        <is>
          <t xml:space="preserve">Intitulé</t>
        </is>
      </c>
      <c r="C7" s="8" t="inlineStr">
        <is>
          <t xml:space="preserve">Mouvement débit</t>
        </is>
      </c>
      <c r="D7" s="8" t="inlineStr">
        <is>
          <t xml:space="preserve">Mouvement crédit</t>
        </is>
      </c>
      <c r="E7" s="8" t="inlineStr">
        <is>
          <t xml:space="preserve">Solde débiteur</t>
        </is>
      </c>
      <c r="F7" s="8" t="inlineStr">
        <is>
          <t xml:space="preserve">Solde créditeur</t>
        </is>
      </c>
      <c r="G7" s="8" t="inlineStr">
        <is>
          <t xml:space="preserve">Solde signé</t>
        </is>
      </c>
      <c r="H7" s="8" t="inlineStr">
        <is>
          <t xml:space="preserve">Rubrique</t>
        </is>
      </c>
      <c r="I7" s="8" t="inlineStr">
        <is>
          <t xml:space="preserve">Déd.</t>
        </is>
      </c>
      <c r="J7" s="8" t="inlineStr">
        <is>
          <t xml:space="preserve">Cl.</t>
        </is>
      </c>
      <c r="K7" s="8" t="inlineStr">
        <is>
          <t xml:space="preserve">Préf. 2</t>
        </is>
      </c>
      <c r="L7" s="8" t="inlineStr">
        <is>
          <t xml:space="preserve">Préf. 3</t>
        </is>
      </c>
    </row>
    <row r="8">
      <c r="A8" s="20" t="inlineStr">
        <is>
          <t xml:space="preserve">101</t>
        </is>
      </c>
      <c r="B8" s="9" t="inlineStr">
        <is>
          <t xml:space="preserve">Capital émis (capital social, fonds de dotation)</t>
        </is>
      </c>
      <c r="C8" s="11">
        <f>SUMIF('Journal'!$D$8:$D$2007,$A8,'Journal'!$H$8:$H$2007)</f>
      </c>
      <c r="D8" s="11">
        <f>SUMIF('Journal'!$D$8:$D$2007,$A8,'Journal'!$I$8:$I$2007)</f>
      </c>
      <c r="E8" s="11">
        <f>IF($C8-$D8&gt;0,$C8-$D8,0)</f>
      </c>
      <c r="F8" s="11">
        <f>IF($D8-$C8&gt;0,$D8-$C8,0)</f>
      </c>
      <c r="G8" s="11">
        <f>$C8-$D8</f>
      </c>
      <c r="H8" s="10" t="inlineStr">
        <is>
          <t xml:space="preserve">CP_CAP</t>
        </is>
      </c>
      <c r="I8" s="10">
        <v>0</v>
      </c>
      <c r="J8" s="10" t="inlineStr">
        <is>
          <t xml:space="preserve">1</t>
        </is>
      </c>
      <c r="K8" s="10" t="inlineStr">
        <is>
          <t xml:space="preserve">10</t>
        </is>
      </c>
      <c r="L8" s="10" t="inlineStr">
        <is>
          <t xml:space="preserve">101</t>
        </is>
      </c>
    </row>
    <row r="9">
      <c r="A9" s="20" t="inlineStr">
        <is>
          <t xml:space="preserve">103</t>
        </is>
      </c>
      <c r="B9" s="9" t="inlineStr">
        <is>
          <t xml:space="preserve">Primes liées au capital social</t>
        </is>
      </c>
      <c r="C9" s="11">
        <f>SUMIF('Journal'!$D$8:$D$2007,$A9,'Journal'!$H$8:$H$2007)</f>
      </c>
      <c r="D9" s="11">
        <f>SUMIF('Journal'!$D$8:$D$2007,$A9,'Journal'!$I$8:$I$2007)</f>
      </c>
      <c r="E9" s="11">
        <f>IF($C9-$D9&gt;0,$C9-$D9,0)</f>
      </c>
      <c r="F9" s="11">
        <f>IF($D9-$C9&gt;0,$D9-$C9,0)</f>
      </c>
      <c r="G9" s="11">
        <f>$C9-$D9</f>
      </c>
      <c r="H9" s="10" t="inlineStr">
        <is>
          <t xml:space="preserve">CP_PRI</t>
        </is>
      </c>
      <c r="I9" s="10">
        <v>0</v>
      </c>
      <c r="J9" s="10" t="inlineStr">
        <is>
          <t xml:space="preserve">1</t>
        </is>
      </c>
      <c r="K9" s="10" t="inlineStr">
        <is>
          <t xml:space="preserve">10</t>
        </is>
      </c>
      <c r="L9" s="10" t="inlineStr">
        <is>
          <t xml:space="preserve">103</t>
        </is>
      </c>
    </row>
    <row r="10">
      <c r="A10" s="20" t="inlineStr">
        <is>
          <t xml:space="preserve">104</t>
        </is>
      </c>
      <c r="B10" s="9" t="inlineStr">
        <is>
          <t xml:space="preserve">Écart d'évaluation</t>
        </is>
      </c>
      <c r="C10" s="11">
        <f>SUMIF('Journal'!$D$8:$D$2007,$A10,'Journal'!$H$8:$H$2007)</f>
      </c>
      <c r="D10" s="11">
        <f>SUMIF('Journal'!$D$8:$D$2007,$A10,'Journal'!$I$8:$I$2007)</f>
      </c>
      <c r="E10" s="11">
        <f>IF($C10-$D10&gt;0,$C10-$D10,0)</f>
      </c>
      <c r="F10" s="11">
        <f>IF($D10-$C10&gt;0,$D10-$C10,0)</f>
      </c>
      <c r="G10" s="11">
        <f>$C10-$D10</f>
      </c>
      <c r="H10" s="10" t="inlineStr">
        <is>
          <t xml:space="preserve">CP_PRI</t>
        </is>
      </c>
      <c r="I10" s="10">
        <v>0</v>
      </c>
      <c r="J10" s="10" t="inlineStr">
        <is>
          <t xml:space="preserve">1</t>
        </is>
      </c>
      <c r="K10" s="10" t="inlineStr">
        <is>
          <t xml:space="preserve">10</t>
        </is>
      </c>
      <c r="L10" s="10" t="inlineStr">
        <is>
          <t xml:space="preserve">104</t>
        </is>
      </c>
    </row>
    <row r="11">
      <c r="A11" s="20" t="inlineStr">
        <is>
          <t xml:space="preserve">105</t>
        </is>
      </c>
      <c r="B11" s="9" t="inlineStr">
        <is>
          <t xml:space="preserve">Écart de réévaluation</t>
        </is>
      </c>
      <c r="C11" s="11">
        <f>SUMIF('Journal'!$D$8:$D$2007,$A11,'Journal'!$H$8:$H$2007)</f>
      </c>
      <c r="D11" s="11">
        <f>SUMIF('Journal'!$D$8:$D$2007,$A11,'Journal'!$I$8:$I$2007)</f>
      </c>
      <c r="E11" s="11">
        <f>IF($C11-$D11&gt;0,$C11-$D11,0)</f>
      </c>
      <c r="F11" s="11">
        <f>IF($D11-$C11&gt;0,$D11-$C11,0)</f>
      </c>
      <c r="G11" s="11">
        <f>$C11-$D11</f>
      </c>
      <c r="H11" s="10" t="inlineStr">
        <is>
          <t xml:space="preserve">CP_REE</t>
        </is>
      </c>
      <c r="I11" s="10">
        <v>0</v>
      </c>
      <c r="J11" s="10" t="inlineStr">
        <is>
          <t xml:space="preserve">1</t>
        </is>
      </c>
      <c r="K11" s="10" t="inlineStr">
        <is>
          <t xml:space="preserve">10</t>
        </is>
      </c>
      <c r="L11" s="10" t="inlineStr">
        <is>
          <t xml:space="preserve">105</t>
        </is>
      </c>
    </row>
    <row r="12">
      <c r="A12" s="20" t="inlineStr">
        <is>
          <t xml:space="preserve">106</t>
        </is>
      </c>
      <c r="B12" s="9" t="inlineStr">
        <is>
          <t xml:space="preserve">Réserves (légale, statutaire, ordinaire, réglementée)</t>
        </is>
      </c>
      <c r="C12" s="11">
        <f>SUMIF('Journal'!$D$8:$D$2007,$A12,'Journal'!$H$8:$H$2007)</f>
      </c>
      <c r="D12" s="11">
        <f>SUMIF('Journal'!$D$8:$D$2007,$A12,'Journal'!$I$8:$I$2007)</f>
      </c>
      <c r="E12" s="11">
        <f>IF($C12-$D12&gt;0,$C12-$D12,0)</f>
      </c>
      <c r="F12" s="11">
        <f>IF($D12-$C12&gt;0,$D12-$C12,0)</f>
      </c>
      <c r="G12" s="11">
        <f>$C12-$D12</f>
      </c>
      <c r="H12" s="10" t="inlineStr">
        <is>
          <t xml:space="preserve">CP_PRI</t>
        </is>
      </c>
      <c r="I12" s="10">
        <v>0</v>
      </c>
      <c r="J12" s="10" t="inlineStr">
        <is>
          <t xml:space="preserve">1</t>
        </is>
      </c>
      <c r="K12" s="10" t="inlineStr">
        <is>
          <t xml:space="preserve">10</t>
        </is>
      </c>
      <c r="L12" s="10" t="inlineStr">
        <is>
          <t xml:space="preserve">106</t>
        </is>
      </c>
    </row>
    <row r="13">
      <c r="A13" s="20" t="inlineStr">
        <is>
          <t xml:space="preserve">107</t>
        </is>
      </c>
      <c r="B13" s="9" t="inlineStr">
        <is>
          <t xml:space="preserve">Écart d'équivalence</t>
        </is>
      </c>
      <c r="C13" s="11">
        <f>SUMIF('Journal'!$D$8:$D$2007,$A13,'Journal'!$H$8:$H$2007)</f>
      </c>
      <c r="D13" s="11">
        <f>SUMIF('Journal'!$D$8:$D$2007,$A13,'Journal'!$I$8:$I$2007)</f>
      </c>
      <c r="E13" s="11">
        <f>IF($C13-$D13&gt;0,$C13-$D13,0)</f>
      </c>
      <c r="F13" s="11">
        <f>IF($D13-$C13&gt;0,$D13-$C13,0)</f>
      </c>
      <c r="G13" s="11">
        <f>$C13-$D13</f>
      </c>
      <c r="H13" s="10" t="inlineStr">
        <is>
          <t xml:space="preserve">CP_EQU</t>
        </is>
      </c>
      <c r="I13" s="10">
        <v>0</v>
      </c>
      <c r="J13" s="10" t="inlineStr">
        <is>
          <t xml:space="preserve">1</t>
        </is>
      </c>
      <c r="K13" s="10" t="inlineStr">
        <is>
          <t xml:space="preserve">10</t>
        </is>
      </c>
      <c r="L13" s="10" t="inlineStr">
        <is>
          <t xml:space="preserve">107</t>
        </is>
      </c>
    </row>
    <row r="14">
      <c r="A14" s="20" t="inlineStr">
        <is>
          <t xml:space="preserve">108</t>
        </is>
      </c>
      <c r="B14" s="9" t="inlineStr">
        <is>
          <t xml:space="preserve">Compte de l'exploitant</t>
        </is>
      </c>
      <c r="C14" s="11">
        <f>SUMIF('Journal'!$D$8:$D$2007,$A14,'Journal'!$H$8:$H$2007)</f>
      </c>
      <c r="D14" s="11">
        <f>SUMIF('Journal'!$D$8:$D$2007,$A14,'Journal'!$I$8:$I$2007)</f>
      </c>
      <c r="E14" s="11">
        <f>IF($C14-$D14&gt;0,$C14-$D14,0)</f>
      </c>
      <c r="F14" s="11">
        <f>IF($D14-$C14&gt;0,$D14-$C14,0)</f>
      </c>
      <c r="G14" s="11">
        <f>$C14-$D14</f>
      </c>
      <c r="H14" s="10" t="inlineStr">
        <is>
          <t xml:space="preserve">CP_ART</t>
        </is>
      </c>
      <c r="I14" s="10">
        <v>0</v>
      </c>
      <c r="J14" s="10" t="inlineStr">
        <is>
          <t xml:space="preserve">1</t>
        </is>
      </c>
      <c r="K14" s="10" t="inlineStr">
        <is>
          <t xml:space="preserve">10</t>
        </is>
      </c>
      <c r="L14" s="10" t="inlineStr">
        <is>
          <t xml:space="preserve">108</t>
        </is>
      </c>
    </row>
    <row r="15">
      <c r="A15" s="20" t="inlineStr">
        <is>
          <t xml:space="preserve">109</t>
        </is>
      </c>
      <c r="B15" s="9" t="inlineStr">
        <is>
          <t xml:space="preserve">Capital souscrit non appelé</t>
        </is>
      </c>
      <c r="C15" s="11">
        <f>SUMIF('Journal'!$D$8:$D$2007,$A15,'Journal'!$H$8:$H$2007)</f>
      </c>
      <c r="D15" s="11">
        <f>SUMIF('Journal'!$D$8:$D$2007,$A15,'Journal'!$I$8:$I$2007)</f>
      </c>
      <c r="E15" s="11">
        <f>IF($C15-$D15&gt;0,$C15-$D15,0)</f>
      </c>
      <c r="F15" s="11">
        <f>IF($D15-$C15&gt;0,$D15-$C15,0)</f>
      </c>
      <c r="G15" s="11">
        <f>$C15-$D15</f>
      </c>
      <c r="H15" s="10" t="inlineStr">
        <is>
          <t xml:space="preserve">CP_NAP</t>
        </is>
      </c>
      <c r="I15" s="10">
        <v>0</v>
      </c>
      <c r="J15" s="10" t="inlineStr">
        <is>
          <t xml:space="preserve">1</t>
        </is>
      </c>
      <c r="K15" s="10" t="inlineStr">
        <is>
          <t xml:space="preserve">10</t>
        </is>
      </c>
      <c r="L15" s="10" t="inlineStr">
        <is>
          <t xml:space="preserve">109</t>
        </is>
      </c>
    </row>
    <row r="16">
      <c r="A16" s="20" t="inlineStr">
        <is>
          <t xml:space="preserve">110</t>
        </is>
      </c>
      <c r="B16" s="9" t="inlineStr">
        <is>
          <t xml:space="preserve">Report à nouveau (solde créditeur)</t>
        </is>
      </c>
      <c r="C16" s="11">
        <f>SUMIF('Journal'!$D$8:$D$2007,$A16,'Journal'!$H$8:$H$2007)</f>
      </c>
      <c r="D16" s="11">
        <f>SUMIF('Journal'!$D$8:$D$2007,$A16,'Journal'!$I$8:$I$2007)</f>
      </c>
      <c r="E16" s="11">
        <f>IF($C16-$D16&gt;0,$C16-$D16,0)</f>
      </c>
      <c r="F16" s="11">
        <f>IF($D16-$C16&gt;0,$D16-$C16,0)</f>
      </c>
      <c r="G16" s="11">
        <f>$C16-$D16</f>
      </c>
      <c r="H16" s="10" t="inlineStr">
        <is>
          <t xml:space="preserve">CP_ART</t>
        </is>
      </c>
      <c r="I16" s="10">
        <v>0</v>
      </c>
      <c r="J16" s="10" t="inlineStr">
        <is>
          <t xml:space="preserve">1</t>
        </is>
      </c>
      <c r="K16" s="10" t="inlineStr">
        <is>
          <t xml:space="preserve">11</t>
        </is>
      </c>
      <c r="L16" s="10" t="inlineStr">
        <is>
          <t xml:space="preserve">110</t>
        </is>
      </c>
    </row>
    <row r="17">
      <c r="A17" s="20" t="inlineStr">
        <is>
          <t xml:space="preserve">119</t>
        </is>
      </c>
      <c r="B17" s="9" t="inlineStr">
        <is>
          <t xml:space="preserve">Report à nouveau (solde débiteur)</t>
        </is>
      </c>
      <c r="C17" s="11">
        <f>SUMIF('Journal'!$D$8:$D$2007,$A17,'Journal'!$H$8:$H$2007)</f>
      </c>
      <c r="D17" s="11">
        <f>SUMIF('Journal'!$D$8:$D$2007,$A17,'Journal'!$I$8:$I$2007)</f>
      </c>
      <c r="E17" s="11">
        <f>IF($C17-$D17&gt;0,$C17-$D17,0)</f>
      </c>
      <c r="F17" s="11">
        <f>IF($D17-$C17&gt;0,$D17-$C17,0)</f>
      </c>
      <c r="G17" s="11">
        <f>$C17-$D17</f>
      </c>
      <c r="H17" s="10" t="inlineStr">
        <is>
          <t xml:space="preserve">CP_ART</t>
        </is>
      </c>
      <c r="I17" s="10">
        <v>0</v>
      </c>
      <c r="J17" s="10" t="inlineStr">
        <is>
          <t xml:space="preserve">1</t>
        </is>
      </c>
      <c r="K17" s="10" t="inlineStr">
        <is>
          <t xml:space="preserve">11</t>
        </is>
      </c>
      <c r="L17" s="10" t="inlineStr">
        <is>
          <t xml:space="preserve">119</t>
        </is>
      </c>
    </row>
    <row r="18">
      <c r="A18" s="20" t="inlineStr">
        <is>
          <t xml:space="preserve">120</t>
        </is>
      </c>
      <c r="B18" s="9" t="inlineStr">
        <is>
          <t xml:space="preserve">Résultat de l'exercice (bénéfice)</t>
        </is>
      </c>
      <c r="C18" s="11">
        <f>SUMIF('Journal'!$D$8:$D$2007,$A18,'Journal'!$H$8:$H$2007)</f>
      </c>
      <c r="D18" s="11">
        <f>SUMIF('Journal'!$D$8:$D$2007,$A18,'Journal'!$I$8:$I$2007)</f>
      </c>
      <c r="E18" s="11">
        <f>IF($C18-$D18&gt;0,$C18-$D18,0)</f>
      </c>
      <c r="F18" s="11">
        <f>IF($D18-$C18&gt;0,$D18-$C18,0)</f>
      </c>
      <c r="G18" s="11">
        <f>$C18-$D18</f>
      </c>
      <c r="H18" s="10" t="inlineStr">
        <is>
          <t xml:space="preserve">CP_RES</t>
        </is>
      </c>
      <c r="I18" s="10">
        <v>0</v>
      </c>
      <c r="J18" s="10" t="inlineStr">
        <is>
          <t xml:space="preserve">1</t>
        </is>
      </c>
      <c r="K18" s="10" t="inlineStr">
        <is>
          <t xml:space="preserve">12</t>
        </is>
      </c>
      <c r="L18" s="10" t="inlineStr">
        <is>
          <t xml:space="preserve">120</t>
        </is>
      </c>
    </row>
    <row r="19">
      <c r="A19" s="20" t="inlineStr">
        <is>
          <t xml:space="preserve">129</t>
        </is>
      </c>
      <c r="B19" s="9" t="inlineStr">
        <is>
          <t xml:space="preserve">Résultat de l'exercice (perte)</t>
        </is>
      </c>
      <c r="C19" s="11">
        <f>SUMIF('Journal'!$D$8:$D$2007,$A19,'Journal'!$H$8:$H$2007)</f>
      </c>
      <c r="D19" s="11">
        <f>SUMIF('Journal'!$D$8:$D$2007,$A19,'Journal'!$I$8:$I$2007)</f>
      </c>
      <c r="E19" s="11">
        <f>IF($C19-$D19&gt;0,$C19-$D19,0)</f>
      </c>
      <c r="F19" s="11">
        <f>IF($D19-$C19&gt;0,$D19-$C19,0)</f>
      </c>
      <c r="G19" s="11">
        <f>$C19-$D19</f>
      </c>
      <c r="H19" s="10" t="inlineStr">
        <is>
          <t xml:space="preserve">CP_RES</t>
        </is>
      </c>
      <c r="I19" s="10">
        <v>0</v>
      </c>
      <c r="J19" s="10" t="inlineStr">
        <is>
          <t xml:space="preserve">1</t>
        </is>
      </c>
      <c r="K19" s="10" t="inlineStr">
        <is>
          <t xml:space="preserve">12</t>
        </is>
      </c>
      <c r="L19" s="10" t="inlineStr">
        <is>
          <t xml:space="preserve">129</t>
        </is>
      </c>
    </row>
    <row r="20">
      <c r="A20" s="20" t="inlineStr">
        <is>
          <t xml:space="preserve">131</t>
        </is>
      </c>
      <c r="B20" s="9" t="inlineStr">
        <is>
          <t xml:space="preserve">Subventions d'équipement</t>
        </is>
      </c>
      <c r="C20" s="11">
        <f>SUMIF('Journal'!$D$8:$D$2007,$A20,'Journal'!$H$8:$H$2007)</f>
      </c>
      <c r="D20" s="11">
        <f>SUMIF('Journal'!$D$8:$D$2007,$A20,'Journal'!$I$8:$I$2007)</f>
      </c>
      <c r="E20" s="11">
        <f>IF($C20-$D20&gt;0,$C20-$D20,0)</f>
      </c>
      <c r="F20" s="11">
        <f>IF($D20-$C20&gt;0,$D20-$C20,0)</f>
      </c>
      <c r="G20" s="11">
        <f>$C20-$D20</f>
      </c>
      <c r="H20" s="10" t="inlineStr">
        <is>
          <t xml:space="preserve">PN_AUT</t>
        </is>
      </c>
      <c r="I20" s="10">
        <v>0</v>
      </c>
      <c r="J20" s="10" t="inlineStr">
        <is>
          <t xml:space="preserve">1</t>
        </is>
      </c>
      <c r="K20" s="10" t="inlineStr">
        <is>
          <t xml:space="preserve">13</t>
        </is>
      </c>
      <c r="L20" s="10" t="inlineStr">
        <is>
          <t xml:space="preserve">131</t>
        </is>
      </c>
    </row>
    <row r="21">
      <c r="A21" s="20" t="inlineStr">
        <is>
          <t xml:space="preserve">133</t>
        </is>
      </c>
      <c r="B21" s="9" t="inlineStr">
        <is>
          <t xml:space="preserve">Impôts différés actif</t>
        </is>
      </c>
      <c r="C21" s="11">
        <f>SUMIF('Journal'!$D$8:$D$2007,$A21,'Journal'!$H$8:$H$2007)</f>
      </c>
      <c r="D21" s="11">
        <f>SUMIF('Journal'!$D$8:$D$2007,$A21,'Journal'!$I$8:$I$2007)</f>
      </c>
      <c r="E21" s="11">
        <f>IF($C21-$D21&gt;0,$C21-$D21,0)</f>
      </c>
      <c r="F21" s="11">
        <f>IF($D21-$C21&gt;0,$D21-$C21,0)</f>
      </c>
      <c r="G21" s="11">
        <f>$C21-$D21</f>
      </c>
      <c r="H21" s="10" t="inlineStr">
        <is>
          <t xml:space="preserve">AN_IDA</t>
        </is>
      </c>
      <c r="I21" s="10">
        <v>0</v>
      </c>
      <c r="J21" s="10" t="inlineStr">
        <is>
          <t xml:space="preserve">1</t>
        </is>
      </c>
      <c r="K21" s="10" t="inlineStr">
        <is>
          <t xml:space="preserve">13</t>
        </is>
      </c>
      <c r="L21" s="10" t="inlineStr">
        <is>
          <t xml:space="preserve">133</t>
        </is>
      </c>
    </row>
    <row r="22">
      <c r="A22" s="20" t="inlineStr">
        <is>
          <t xml:space="preserve">134</t>
        </is>
      </c>
      <c r="B22" s="9" t="inlineStr">
        <is>
          <t xml:space="preserve">Impôts différés passif</t>
        </is>
      </c>
      <c r="C22" s="11">
        <f>SUMIF('Journal'!$D$8:$D$2007,$A22,'Journal'!$H$8:$H$2007)</f>
      </c>
      <c r="D22" s="11">
        <f>SUMIF('Journal'!$D$8:$D$2007,$A22,'Journal'!$I$8:$I$2007)</f>
      </c>
      <c r="E22" s="11">
        <f>IF($C22-$D22&gt;0,$C22-$D22,0)</f>
      </c>
      <c r="F22" s="11">
        <f>IF($D22-$C22&gt;0,$D22-$C22,0)</f>
      </c>
      <c r="G22" s="11">
        <f>$C22-$D22</f>
      </c>
      <c r="H22" s="10" t="inlineStr">
        <is>
          <t xml:space="preserve">PN_IDP</t>
        </is>
      </c>
      <c r="I22" s="10">
        <v>0</v>
      </c>
      <c r="J22" s="10" t="inlineStr">
        <is>
          <t xml:space="preserve">1</t>
        </is>
      </c>
      <c r="K22" s="10" t="inlineStr">
        <is>
          <t xml:space="preserve">13</t>
        </is>
      </c>
      <c r="L22" s="10" t="inlineStr">
        <is>
          <t xml:space="preserve">134</t>
        </is>
      </c>
    </row>
    <row r="23">
      <c r="A23" s="20" t="inlineStr">
        <is>
          <t xml:space="preserve">138</t>
        </is>
      </c>
      <c r="B23" s="9" t="inlineStr">
        <is>
          <t xml:space="preserve">Autres produits et charges différés</t>
        </is>
      </c>
      <c r="C23" s="11">
        <f>SUMIF('Journal'!$D$8:$D$2007,$A23,'Journal'!$H$8:$H$2007)</f>
      </c>
      <c r="D23" s="11">
        <f>SUMIF('Journal'!$D$8:$D$2007,$A23,'Journal'!$I$8:$I$2007)</f>
      </c>
      <c r="E23" s="11">
        <f>IF($C23-$D23&gt;0,$C23-$D23,0)</f>
      </c>
      <c r="F23" s="11">
        <f>IF($D23-$C23&gt;0,$D23-$C23,0)</f>
      </c>
      <c r="G23" s="11">
        <f>$C23-$D23</f>
      </c>
      <c r="H23" s="10" t="inlineStr">
        <is>
          <t xml:space="preserve">PN_AUT</t>
        </is>
      </c>
      <c r="I23" s="10">
        <v>0</v>
      </c>
      <c r="J23" s="10" t="inlineStr">
        <is>
          <t xml:space="preserve">1</t>
        </is>
      </c>
      <c r="K23" s="10" t="inlineStr">
        <is>
          <t xml:space="preserve">13</t>
        </is>
      </c>
      <c r="L23" s="10" t="inlineStr">
        <is>
          <t xml:space="preserve">138</t>
        </is>
      </c>
    </row>
    <row r="24">
      <c r="A24" s="20" t="inlineStr">
        <is>
          <t xml:space="preserve">153</t>
        </is>
      </c>
      <c r="B24" s="9" t="inlineStr">
        <is>
          <t xml:space="preserve">Provisions pour pensions et obligations similaires</t>
        </is>
      </c>
      <c r="C24" s="11">
        <f>SUMIF('Journal'!$D$8:$D$2007,$A24,'Journal'!$H$8:$H$2007)</f>
      </c>
      <c r="D24" s="11">
        <f>SUMIF('Journal'!$D$8:$D$2007,$A24,'Journal'!$I$8:$I$2007)</f>
      </c>
      <c r="E24" s="11">
        <f>IF($C24-$D24&gt;0,$C24-$D24,0)</f>
      </c>
      <c r="F24" s="11">
        <f>IF($D24-$C24&gt;0,$D24-$C24,0)</f>
      </c>
      <c r="G24" s="11">
        <f>$C24-$D24</f>
      </c>
      <c r="H24" s="10" t="inlineStr">
        <is>
          <t xml:space="preserve">PN_PRO</t>
        </is>
      </c>
      <c r="I24" s="10">
        <v>0</v>
      </c>
      <c r="J24" s="10" t="inlineStr">
        <is>
          <t xml:space="preserve">1</t>
        </is>
      </c>
      <c r="K24" s="10" t="inlineStr">
        <is>
          <t xml:space="preserve">15</t>
        </is>
      </c>
      <c r="L24" s="10" t="inlineStr">
        <is>
          <t xml:space="preserve">153</t>
        </is>
      </c>
    </row>
    <row r="25">
      <c r="A25" s="20" t="inlineStr">
        <is>
          <t xml:space="preserve">155</t>
        </is>
      </c>
      <c r="B25" s="9" t="inlineStr">
        <is>
          <t xml:space="preserve">Provisions pour impôts</t>
        </is>
      </c>
      <c r="C25" s="11">
        <f>SUMIF('Journal'!$D$8:$D$2007,$A25,'Journal'!$H$8:$H$2007)</f>
      </c>
      <c r="D25" s="11">
        <f>SUMIF('Journal'!$D$8:$D$2007,$A25,'Journal'!$I$8:$I$2007)</f>
      </c>
      <c r="E25" s="11">
        <f>IF($C25-$D25&gt;0,$C25-$D25,0)</f>
      </c>
      <c r="F25" s="11">
        <f>IF($D25-$C25&gt;0,$D25-$C25,0)</f>
      </c>
      <c r="G25" s="11">
        <f>$C25-$D25</f>
      </c>
      <c r="H25" s="10" t="inlineStr">
        <is>
          <t xml:space="preserve">PN_IDP</t>
        </is>
      </c>
      <c r="I25" s="10">
        <v>0</v>
      </c>
      <c r="J25" s="10" t="inlineStr">
        <is>
          <t xml:space="preserve">1</t>
        </is>
      </c>
      <c r="K25" s="10" t="inlineStr">
        <is>
          <t xml:space="preserve">15</t>
        </is>
      </c>
      <c r="L25" s="10" t="inlineStr">
        <is>
          <t xml:space="preserve">155</t>
        </is>
      </c>
    </row>
    <row r="26">
      <c r="A26" s="20" t="inlineStr">
        <is>
          <t xml:space="preserve">156</t>
        </is>
      </c>
      <c r="B26" s="9" t="inlineStr">
        <is>
          <t xml:space="preserve">Provisions pour renouvellement des immobilisations</t>
        </is>
      </c>
      <c r="C26" s="11">
        <f>SUMIF('Journal'!$D$8:$D$2007,$A26,'Journal'!$H$8:$H$2007)</f>
      </c>
      <c r="D26" s="11">
        <f>SUMIF('Journal'!$D$8:$D$2007,$A26,'Journal'!$I$8:$I$2007)</f>
      </c>
      <c r="E26" s="11">
        <f>IF($C26-$D26&gt;0,$C26-$D26,0)</f>
      </c>
      <c r="F26" s="11">
        <f>IF($D26-$C26&gt;0,$D26-$C26,0)</f>
      </c>
      <c r="G26" s="11">
        <f>$C26-$D26</f>
      </c>
      <c r="H26" s="10" t="inlineStr">
        <is>
          <t xml:space="preserve">PN_PRO</t>
        </is>
      </c>
      <c r="I26" s="10">
        <v>0</v>
      </c>
      <c r="J26" s="10" t="inlineStr">
        <is>
          <t xml:space="preserve">1</t>
        </is>
      </c>
      <c r="K26" s="10" t="inlineStr">
        <is>
          <t xml:space="preserve">15</t>
        </is>
      </c>
      <c r="L26" s="10" t="inlineStr">
        <is>
          <t xml:space="preserve">156</t>
        </is>
      </c>
    </row>
    <row r="27">
      <c r="A27" s="20" t="inlineStr">
        <is>
          <t xml:space="preserve">158</t>
        </is>
      </c>
      <c r="B27" s="9" t="inlineStr">
        <is>
          <t xml:space="preserve">Autres provisions pour charges</t>
        </is>
      </c>
      <c r="C27" s="11">
        <f>SUMIF('Journal'!$D$8:$D$2007,$A27,'Journal'!$H$8:$H$2007)</f>
      </c>
      <c r="D27" s="11">
        <f>SUMIF('Journal'!$D$8:$D$2007,$A27,'Journal'!$I$8:$I$2007)</f>
      </c>
      <c r="E27" s="11">
        <f>IF($C27-$D27&gt;0,$C27-$D27,0)</f>
      </c>
      <c r="F27" s="11">
        <f>IF($D27-$C27&gt;0,$D27-$C27,0)</f>
      </c>
      <c r="G27" s="11">
        <f>$C27-$D27</f>
      </c>
      <c r="H27" s="10" t="inlineStr">
        <is>
          <t xml:space="preserve">PN_PRO</t>
        </is>
      </c>
      <c r="I27" s="10">
        <v>0</v>
      </c>
      <c r="J27" s="10" t="inlineStr">
        <is>
          <t xml:space="preserve">1</t>
        </is>
      </c>
      <c r="K27" s="10" t="inlineStr">
        <is>
          <t xml:space="preserve">15</t>
        </is>
      </c>
      <c r="L27" s="10" t="inlineStr">
        <is>
          <t xml:space="preserve">158</t>
        </is>
      </c>
    </row>
    <row r="28">
      <c r="A28" s="20" t="inlineStr">
        <is>
          <t xml:space="preserve">161</t>
        </is>
      </c>
      <c r="B28" s="9" t="inlineStr">
        <is>
          <t xml:space="preserve">Titres participatifs</t>
        </is>
      </c>
      <c r="C28" s="11">
        <f>SUMIF('Journal'!$D$8:$D$2007,$A28,'Journal'!$H$8:$H$2007)</f>
      </c>
      <c r="D28" s="11">
        <f>SUMIF('Journal'!$D$8:$D$2007,$A28,'Journal'!$I$8:$I$2007)</f>
      </c>
      <c r="E28" s="11">
        <f>IF($C28-$D28&gt;0,$C28-$D28,0)</f>
      </c>
      <c r="F28" s="11">
        <f>IF($D28-$C28&gt;0,$D28-$C28,0)</f>
      </c>
      <c r="G28" s="11">
        <f>$C28-$D28</f>
      </c>
      <c r="H28" s="10" t="inlineStr">
        <is>
          <t xml:space="preserve">PN_EMP</t>
        </is>
      </c>
      <c r="I28" s="10">
        <v>0</v>
      </c>
      <c r="J28" s="10" t="inlineStr">
        <is>
          <t xml:space="preserve">1</t>
        </is>
      </c>
      <c r="K28" s="10" t="inlineStr">
        <is>
          <t xml:space="preserve">16</t>
        </is>
      </c>
      <c r="L28" s="10" t="inlineStr">
        <is>
          <t xml:space="preserve">161</t>
        </is>
      </c>
    </row>
    <row r="29">
      <c r="A29" s="20" t="inlineStr">
        <is>
          <t xml:space="preserve">163</t>
        </is>
      </c>
      <c r="B29" s="9" t="inlineStr">
        <is>
          <t xml:space="preserve">Autres emprunts obligataires</t>
        </is>
      </c>
      <c r="C29" s="11">
        <f>SUMIF('Journal'!$D$8:$D$2007,$A29,'Journal'!$H$8:$H$2007)</f>
      </c>
      <c r="D29" s="11">
        <f>SUMIF('Journal'!$D$8:$D$2007,$A29,'Journal'!$I$8:$I$2007)</f>
      </c>
      <c r="E29" s="11">
        <f>IF($C29-$D29&gt;0,$C29-$D29,0)</f>
      </c>
      <c r="F29" s="11">
        <f>IF($D29-$C29&gt;0,$D29-$C29,0)</f>
      </c>
      <c r="G29" s="11">
        <f>$C29-$D29</f>
      </c>
      <c r="H29" s="10" t="inlineStr">
        <is>
          <t xml:space="preserve">PN_EMP</t>
        </is>
      </c>
      <c r="I29" s="10">
        <v>0</v>
      </c>
      <c r="J29" s="10" t="inlineStr">
        <is>
          <t xml:space="preserve">1</t>
        </is>
      </c>
      <c r="K29" s="10" t="inlineStr">
        <is>
          <t xml:space="preserve">16</t>
        </is>
      </c>
      <c r="L29" s="10" t="inlineStr">
        <is>
          <t xml:space="preserve">163</t>
        </is>
      </c>
    </row>
    <row r="30">
      <c r="A30" s="20" t="inlineStr">
        <is>
          <t xml:space="preserve">164</t>
        </is>
      </c>
      <c r="B30" s="9" t="inlineStr">
        <is>
          <t xml:space="preserve">Emprunts auprès des établissements de crédit</t>
        </is>
      </c>
      <c r="C30" s="11">
        <f>SUMIF('Journal'!$D$8:$D$2007,$A30,'Journal'!$H$8:$H$2007)</f>
      </c>
      <c r="D30" s="11">
        <f>SUMIF('Journal'!$D$8:$D$2007,$A30,'Journal'!$I$8:$I$2007)</f>
      </c>
      <c r="E30" s="11">
        <f>IF($C30-$D30&gt;0,$C30-$D30,0)</f>
      </c>
      <c r="F30" s="11">
        <f>IF($D30-$C30&gt;0,$D30-$C30,0)</f>
      </c>
      <c r="G30" s="11">
        <f>$C30-$D30</f>
      </c>
      <c r="H30" s="10" t="inlineStr">
        <is>
          <t xml:space="preserve">PN_EMP</t>
        </is>
      </c>
      <c r="I30" s="10">
        <v>0</v>
      </c>
      <c r="J30" s="10" t="inlineStr">
        <is>
          <t xml:space="preserve">1</t>
        </is>
      </c>
      <c r="K30" s="10" t="inlineStr">
        <is>
          <t xml:space="preserve">16</t>
        </is>
      </c>
      <c r="L30" s="10" t="inlineStr">
        <is>
          <t xml:space="preserve">164</t>
        </is>
      </c>
    </row>
    <row r="31">
      <c r="A31" s="20" t="inlineStr">
        <is>
          <t xml:space="preserve">165</t>
        </is>
      </c>
      <c r="B31" s="9" t="inlineStr">
        <is>
          <t xml:space="preserve">Dépôts et cautionnements reçus</t>
        </is>
      </c>
      <c r="C31" s="11">
        <f>SUMIF('Journal'!$D$8:$D$2007,$A31,'Journal'!$H$8:$H$2007)</f>
      </c>
      <c r="D31" s="11">
        <f>SUMIF('Journal'!$D$8:$D$2007,$A31,'Journal'!$I$8:$I$2007)</f>
      </c>
      <c r="E31" s="11">
        <f>IF($C31-$D31&gt;0,$C31-$D31,0)</f>
      </c>
      <c r="F31" s="11">
        <f>IF($D31-$C31&gt;0,$D31-$C31,0)</f>
      </c>
      <c r="G31" s="11">
        <f>$C31-$D31</f>
      </c>
      <c r="H31" s="10" t="inlineStr">
        <is>
          <t xml:space="preserve">PN_AUT</t>
        </is>
      </c>
      <c r="I31" s="10">
        <v>0</v>
      </c>
      <c r="J31" s="10" t="inlineStr">
        <is>
          <t xml:space="preserve">1</t>
        </is>
      </c>
      <c r="K31" s="10" t="inlineStr">
        <is>
          <t xml:space="preserve">16</t>
        </is>
      </c>
      <c r="L31" s="10" t="inlineStr">
        <is>
          <t xml:space="preserve">165</t>
        </is>
      </c>
    </row>
    <row r="32">
      <c r="A32" s="20" t="inlineStr">
        <is>
          <t xml:space="preserve">167</t>
        </is>
      </c>
      <c r="B32" s="9" t="inlineStr">
        <is>
          <t xml:space="preserve">Dettes sur contrat de location-financement</t>
        </is>
      </c>
      <c r="C32" s="11">
        <f>SUMIF('Journal'!$D$8:$D$2007,$A32,'Journal'!$H$8:$H$2007)</f>
      </c>
      <c r="D32" s="11">
        <f>SUMIF('Journal'!$D$8:$D$2007,$A32,'Journal'!$I$8:$I$2007)</f>
      </c>
      <c r="E32" s="11">
        <f>IF($C32-$D32&gt;0,$C32-$D32,0)</f>
      </c>
      <c r="F32" s="11">
        <f>IF($D32-$C32&gt;0,$D32-$C32,0)</f>
      </c>
      <c r="G32" s="11">
        <f>$C32-$D32</f>
      </c>
      <c r="H32" s="10" t="inlineStr">
        <is>
          <t xml:space="preserve">PN_EMP</t>
        </is>
      </c>
      <c r="I32" s="10">
        <v>0</v>
      </c>
      <c r="J32" s="10" t="inlineStr">
        <is>
          <t xml:space="preserve">1</t>
        </is>
      </c>
      <c r="K32" s="10" t="inlineStr">
        <is>
          <t xml:space="preserve">16</t>
        </is>
      </c>
      <c r="L32" s="10" t="inlineStr">
        <is>
          <t xml:space="preserve">167</t>
        </is>
      </c>
    </row>
    <row r="33">
      <c r="A33" s="20" t="inlineStr">
        <is>
          <t xml:space="preserve">168</t>
        </is>
      </c>
      <c r="B33" s="9" t="inlineStr">
        <is>
          <t xml:space="preserve">Autres emprunts et dettes assimilées</t>
        </is>
      </c>
      <c r="C33" s="11">
        <f>SUMIF('Journal'!$D$8:$D$2007,$A33,'Journal'!$H$8:$H$2007)</f>
      </c>
      <c r="D33" s="11">
        <f>SUMIF('Journal'!$D$8:$D$2007,$A33,'Journal'!$I$8:$I$2007)</f>
      </c>
      <c r="E33" s="11">
        <f>IF($C33-$D33&gt;0,$C33-$D33,0)</f>
      </c>
      <c r="F33" s="11">
        <f>IF($D33-$C33&gt;0,$D33-$C33,0)</f>
      </c>
      <c r="G33" s="11">
        <f>$C33-$D33</f>
      </c>
      <c r="H33" s="10" t="inlineStr">
        <is>
          <t xml:space="preserve">PN_EMP</t>
        </is>
      </c>
      <c r="I33" s="10">
        <v>0</v>
      </c>
      <c r="J33" s="10" t="inlineStr">
        <is>
          <t xml:space="preserve">1</t>
        </is>
      </c>
      <c r="K33" s="10" t="inlineStr">
        <is>
          <t xml:space="preserve">16</t>
        </is>
      </c>
      <c r="L33" s="10" t="inlineStr">
        <is>
          <t xml:space="preserve">168</t>
        </is>
      </c>
    </row>
    <row r="34">
      <c r="A34" s="20" t="inlineStr">
        <is>
          <t xml:space="preserve">17</t>
        </is>
      </c>
      <c r="B34" s="9" t="inlineStr">
        <is>
          <t xml:space="preserve">Dettes rattachées à des participations</t>
        </is>
      </c>
      <c r="C34" s="11">
        <f>SUMIF('Journal'!$D$8:$D$2007,$A34,'Journal'!$H$8:$H$2007)</f>
      </c>
      <c r="D34" s="11">
        <f>SUMIF('Journal'!$D$8:$D$2007,$A34,'Journal'!$I$8:$I$2007)</f>
      </c>
      <c r="E34" s="11">
        <f>IF($C34-$D34&gt;0,$C34-$D34,0)</f>
      </c>
      <c r="F34" s="11">
        <f>IF($D34-$C34&gt;0,$D34-$C34,0)</f>
      </c>
      <c r="G34" s="11">
        <f>$C34-$D34</f>
      </c>
      <c r="H34" s="10" t="inlineStr">
        <is>
          <t xml:space="preserve">PN_EMP</t>
        </is>
      </c>
      <c r="I34" s="10">
        <v>0</v>
      </c>
      <c r="J34" s="10" t="inlineStr">
        <is>
          <t xml:space="preserve">1</t>
        </is>
      </c>
      <c r="K34" s="10" t="inlineStr">
        <is>
          <t xml:space="preserve">17</t>
        </is>
      </c>
      <c r="L34" s="10" t="inlineStr">
        <is>
          <t xml:space="preserve">17</t>
        </is>
      </c>
    </row>
    <row r="35">
      <c r="A35" s="20" t="inlineStr">
        <is>
          <t xml:space="preserve">203</t>
        </is>
      </c>
      <c r="B35" s="9" t="inlineStr">
        <is>
          <t xml:space="preserve">Frais de développement immobilisables</t>
        </is>
      </c>
      <c r="C35" s="11">
        <f>SUMIF('Journal'!$D$8:$D$2007,$A35,'Journal'!$H$8:$H$2007)</f>
      </c>
      <c r="D35" s="11">
        <f>SUMIF('Journal'!$D$8:$D$2007,$A35,'Journal'!$I$8:$I$2007)</f>
      </c>
      <c r="E35" s="11">
        <f>IF($C35-$D35&gt;0,$C35-$D35,0)</f>
      </c>
      <c r="F35" s="11">
        <f>IF($D35-$C35&gt;0,$D35-$C35,0)</f>
      </c>
      <c r="G35" s="11">
        <f>$C35-$D35</f>
      </c>
      <c r="H35" s="10" t="inlineStr">
        <is>
          <t xml:space="preserve">AN_INC</t>
        </is>
      </c>
      <c r="I35" s="10">
        <v>0</v>
      </c>
      <c r="J35" s="10" t="inlineStr">
        <is>
          <t xml:space="preserve">2</t>
        </is>
      </c>
      <c r="K35" s="10" t="inlineStr">
        <is>
          <t xml:space="preserve">20</t>
        </is>
      </c>
      <c r="L35" s="10" t="inlineStr">
        <is>
          <t xml:space="preserve">203</t>
        </is>
      </c>
    </row>
    <row r="36">
      <c r="A36" s="20" t="inlineStr">
        <is>
          <t xml:space="preserve">204</t>
        </is>
      </c>
      <c r="B36" s="9" t="inlineStr">
        <is>
          <t xml:space="preserve">Logiciels informatiques et assimilés</t>
        </is>
      </c>
      <c r="C36" s="11">
        <f>SUMIF('Journal'!$D$8:$D$2007,$A36,'Journal'!$H$8:$H$2007)</f>
      </c>
      <c r="D36" s="11">
        <f>SUMIF('Journal'!$D$8:$D$2007,$A36,'Journal'!$I$8:$I$2007)</f>
      </c>
      <c r="E36" s="11">
        <f>IF($C36-$D36&gt;0,$C36-$D36,0)</f>
      </c>
      <c r="F36" s="11">
        <f>IF($D36-$C36&gt;0,$D36-$C36,0)</f>
      </c>
      <c r="G36" s="11">
        <f>$C36-$D36</f>
      </c>
      <c r="H36" s="10" t="inlineStr">
        <is>
          <t xml:space="preserve">AN_INC</t>
        </is>
      </c>
      <c r="I36" s="10">
        <v>0</v>
      </c>
      <c r="J36" s="10" t="inlineStr">
        <is>
          <t xml:space="preserve">2</t>
        </is>
      </c>
      <c r="K36" s="10" t="inlineStr">
        <is>
          <t xml:space="preserve">20</t>
        </is>
      </c>
      <c r="L36" s="10" t="inlineStr">
        <is>
          <t xml:space="preserve">204</t>
        </is>
      </c>
    </row>
    <row r="37">
      <c r="A37" s="20" t="inlineStr">
        <is>
          <t xml:space="preserve">205</t>
        </is>
      </c>
      <c r="B37" s="9" t="inlineStr">
        <is>
          <t xml:space="preserve">Concessions, brevets, licences, marques</t>
        </is>
      </c>
      <c r="C37" s="11">
        <f>SUMIF('Journal'!$D$8:$D$2007,$A37,'Journal'!$H$8:$H$2007)</f>
      </c>
      <c r="D37" s="11">
        <f>SUMIF('Journal'!$D$8:$D$2007,$A37,'Journal'!$I$8:$I$2007)</f>
      </c>
      <c r="E37" s="11">
        <f>IF($C37-$D37&gt;0,$C37-$D37,0)</f>
      </c>
      <c r="F37" s="11">
        <f>IF($D37-$C37&gt;0,$D37-$C37,0)</f>
      </c>
      <c r="G37" s="11">
        <f>$C37-$D37</f>
      </c>
      <c r="H37" s="10" t="inlineStr">
        <is>
          <t xml:space="preserve">AN_INC</t>
        </is>
      </c>
      <c r="I37" s="10">
        <v>0</v>
      </c>
      <c r="J37" s="10" t="inlineStr">
        <is>
          <t xml:space="preserve">2</t>
        </is>
      </c>
      <c r="K37" s="10" t="inlineStr">
        <is>
          <t xml:space="preserve">20</t>
        </is>
      </c>
      <c r="L37" s="10" t="inlineStr">
        <is>
          <t xml:space="preserve">205</t>
        </is>
      </c>
    </row>
    <row r="38">
      <c r="A38" s="20" t="inlineStr">
        <is>
          <t xml:space="preserve">207</t>
        </is>
      </c>
      <c r="B38" s="9" t="inlineStr">
        <is>
          <t xml:space="preserve">Écart d'acquisition (goodwill)</t>
        </is>
      </c>
      <c r="C38" s="11">
        <f>SUMIF('Journal'!$D$8:$D$2007,$A38,'Journal'!$H$8:$H$2007)</f>
      </c>
      <c r="D38" s="11">
        <f>SUMIF('Journal'!$D$8:$D$2007,$A38,'Journal'!$I$8:$I$2007)</f>
      </c>
      <c r="E38" s="11">
        <f>IF($C38-$D38&gt;0,$C38-$D38,0)</f>
      </c>
      <c r="F38" s="11">
        <f>IF($D38-$C38&gt;0,$D38-$C38,0)</f>
      </c>
      <c r="G38" s="11">
        <f>$C38-$D38</f>
      </c>
      <c r="H38" s="10" t="inlineStr">
        <is>
          <t xml:space="preserve">AN_GW</t>
        </is>
      </c>
      <c r="I38" s="10">
        <v>0</v>
      </c>
      <c r="J38" s="10" t="inlineStr">
        <is>
          <t xml:space="preserve">2</t>
        </is>
      </c>
      <c r="K38" s="10" t="inlineStr">
        <is>
          <t xml:space="preserve">20</t>
        </is>
      </c>
      <c r="L38" s="10" t="inlineStr">
        <is>
          <t xml:space="preserve">207</t>
        </is>
      </c>
    </row>
    <row r="39">
      <c r="A39" s="20" t="inlineStr">
        <is>
          <t xml:space="preserve">208</t>
        </is>
      </c>
      <c r="B39" s="9" t="inlineStr">
        <is>
          <t xml:space="preserve">Autres immobilisations incorporelles</t>
        </is>
      </c>
      <c r="C39" s="11">
        <f>SUMIF('Journal'!$D$8:$D$2007,$A39,'Journal'!$H$8:$H$2007)</f>
      </c>
      <c r="D39" s="11">
        <f>SUMIF('Journal'!$D$8:$D$2007,$A39,'Journal'!$I$8:$I$2007)</f>
      </c>
      <c r="E39" s="11">
        <f>IF($C39-$D39&gt;0,$C39-$D39,0)</f>
      </c>
      <c r="F39" s="11">
        <f>IF($D39-$C39&gt;0,$D39-$C39,0)</f>
      </c>
      <c r="G39" s="11">
        <f>$C39-$D39</f>
      </c>
      <c r="H39" s="10" t="inlineStr">
        <is>
          <t xml:space="preserve">AN_INC</t>
        </is>
      </c>
      <c r="I39" s="10">
        <v>0</v>
      </c>
      <c r="J39" s="10" t="inlineStr">
        <is>
          <t xml:space="preserve">2</t>
        </is>
      </c>
      <c r="K39" s="10" t="inlineStr">
        <is>
          <t xml:space="preserve">20</t>
        </is>
      </c>
      <c r="L39" s="10" t="inlineStr">
        <is>
          <t xml:space="preserve">208</t>
        </is>
      </c>
    </row>
    <row r="40">
      <c r="A40" s="20" t="inlineStr">
        <is>
          <t xml:space="preserve">211</t>
        </is>
      </c>
      <c r="B40" s="9" t="inlineStr">
        <is>
          <t xml:space="preserve">Terrains</t>
        </is>
      </c>
      <c r="C40" s="11">
        <f>SUMIF('Journal'!$D$8:$D$2007,$A40,'Journal'!$H$8:$H$2007)</f>
      </c>
      <c r="D40" s="11">
        <f>SUMIF('Journal'!$D$8:$D$2007,$A40,'Journal'!$I$8:$I$2007)</f>
      </c>
      <c r="E40" s="11">
        <f>IF($C40-$D40&gt;0,$C40-$D40,0)</f>
      </c>
      <c r="F40" s="11">
        <f>IF($D40-$C40&gt;0,$D40-$C40,0)</f>
      </c>
      <c r="G40" s="11">
        <f>$C40-$D40</f>
      </c>
      <c r="H40" s="10" t="inlineStr">
        <is>
          <t xml:space="preserve">AN_TER</t>
        </is>
      </c>
      <c r="I40" s="10">
        <v>0</v>
      </c>
      <c r="J40" s="10" t="inlineStr">
        <is>
          <t xml:space="preserve">2</t>
        </is>
      </c>
      <c r="K40" s="10" t="inlineStr">
        <is>
          <t xml:space="preserve">21</t>
        </is>
      </c>
      <c r="L40" s="10" t="inlineStr">
        <is>
          <t xml:space="preserve">211</t>
        </is>
      </c>
    </row>
    <row r="41">
      <c r="A41" s="20" t="inlineStr">
        <is>
          <t xml:space="preserve">212</t>
        </is>
      </c>
      <c r="B41" s="9" t="inlineStr">
        <is>
          <t xml:space="preserve">Agencements et aménagements de terrain</t>
        </is>
      </c>
      <c r="C41" s="11">
        <f>SUMIF('Journal'!$D$8:$D$2007,$A41,'Journal'!$H$8:$H$2007)</f>
      </c>
      <c r="D41" s="11">
        <f>SUMIF('Journal'!$D$8:$D$2007,$A41,'Journal'!$I$8:$I$2007)</f>
      </c>
      <c r="E41" s="11">
        <f>IF($C41-$D41&gt;0,$C41-$D41,0)</f>
      </c>
      <c r="F41" s="11">
        <f>IF($D41-$C41&gt;0,$D41-$C41,0)</f>
      </c>
      <c r="G41" s="11">
        <f>$C41-$D41</f>
      </c>
      <c r="H41" s="10" t="inlineStr">
        <is>
          <t xml:space="preserve">AN_AUT</t>
        </is>
      </c>
      <c r="I41" s="10">
        <v>0</v>
      </c>
      <c r="J41" s="10" t="inlineStr">
        <is>
          <t xml:space="preserve">2</t>
        </is>
      </c>
      <c r="K41" s="10" t="inlineStr">
        <is>
          <t xml:space="preserve">21</t>
        </is>
      </c>
      <c r="L41" s="10" t="inlineStr">
        <is>
          <t xml:space="preserve">212</t>
        </is>
      </c>
    </row>
    <row r="42">
      <c r="A42" s="20" t="inlineStr">
        <is>
          <t xml:space="preserve">213</t>
        </is>
      </c>
      <c r="B42" s="9" t="inlineStr">
        <is>
          <t xml:space="preserve">Constructions</t>
        </is>
      </c>
      <c r="C42" s="11">
        <f>SUMIF('Journal'!$D$8:$D$2007,$A42,'Journal'!$H$8:$H$2007)</f>
      </c>
      <c r="D42" s="11">
        <f>SUMIF('Journal'!$D$8:$D$2007,$A42,'Journal'!$I$8:$I$2007)</f>
      </c>
      <c r="E42" s="11">
        <f>IF($C42-$D42&gt;0,$C42-$D42,0)</f>
      </c>
      <c r="F42" s="11">
        <f>IF($D42-$C42&gt;0,$D42-$C42,0)</f>
      </c>
      <c r="G42" s="11">
        <f>$C42-$D42</f>
      </c>
      <c r="H42" s="10" t="inlineStr">
        <is>
          <t xml:space="preserve">AN_BAT</t>
        </is>
      </c>
      <c r="I42" s="10">
        <v>0</v>
      </c>
      <c r="J42" s="10" t="inlineStr">
        <is>
          <t xml:space="preserve">2</t>
        </is>
      </c>
      <c r="K42" s="10" t="inlineStr">
        <is>
          <t xml:space="preserve">21</t>
        </is>
      </c>
      <c r="L42" s="10" t="inlineStr">
        <is>
          <t xml:space="preserve">213</t>
        </is>
      </c>
    </row>
    <row r="43">
      <c r="A43" s="20" t="inlineStr">
        <is>
          <t xml:space="preserve">215</t>
        </is>
      </c>
      <c r="B43" s="9" t="inlineStr">
        <is>
          <t xml:space="preserve">Installations techniques, matériel et outillage</t>
        </is>
      </c>
      <c r="C43" s="11">
        <f>SUMIF('Journal'!$D$8:$D$2007,$A43,'Journal'!$H$8:$H$2007)</f>
      </c>
      <c r="D43" s="11">
        <f>SUMIF('Journal'!$D$8:$D$2007,$A43,'Journal'!$I$8:$I$2007)</f>
      </c>
      <c r="E43" s="11">
        <f>IF($C43-$D43&gt;0,$C43-$D43,0)</f>
      </c>
      <c r="F43" s="11">
        <f>IF($D43-$C43&gt;0,$D43-$C43,0)</f>
      </c>
      <c r="G43" s="11">
        <f>$C43-$D43</f>
      </c>
      <c r="H43" s="10" t="inlineStr">
        <is>
          <t xml:space="preserve">AN_AUT</t>
        </is>
      </c>
      <c r="I43" s="10">
        <v>0</v>
      </c>
      <c r="J43" s="10" t="inlineStr">
        <is>
          <t xml:space="preserve">2</t>
        </is>
      </c>
      <c r="K43" s="10" t="inlineStr">
        <is>
          <t xml:space="preserve">21</t>
        </is>
      </c>
      <c r="L43" s="10" t="inlineStr">
        <is>
          <t xml:space="preserve">215</t>
        </is>
      </c>
    </row>
    <row r="44">
      <c r="A44" s="20" t="inlineStr">
        <is>
          <t xml:space="preserve">218</t>
        </is>
      </c>
      <c r="B44" s="9" t="inlineStr">
        <is>
          <t xml:space="preserve">Autres immobilisations corporelles</t>
        </is>
      </c>
      <c r="C44" s="11">
        <f>SUMIF('Journal'!$D$8:$D$2007,$A44,'Journal'!$H$8:$H$2007)</f>
      </c>
      <c r="D44" s="11">
        <f>SUMIF('Journal'!$D$8:$D$2007,$A44,'Journal'!$I$8:$I$2007)</f>
      </c>
      <c r="E44" s="11">
        <f>IF($C44-$D44&gt;0,$C44-$D44,0)</f>
      </c>
      <c r="F44" s="11">
        <f>IF($D44-$C44&gt;0,$D44-$C44,0)</f>
      </c>
      <c r="G44" s="11">
        <f>$C44-$D44</f>
      </c>
      <c r="H44" s="10" t="inlineStr">
        <is>
          <t xml:space="preserve">AN_AUT</t>
        </is>
      </c>
      <c r="I44" s="10">
        <v>0</v>
      </c>
      <c r="J44" s="10" t="inlineStr">
        <is>
          <t xml:space="preserve">2</t>
        </is>
      </c>
      <c r="K44" s="10" t="inlineStr">
        <is>
          <t xml:space="preserve">21</t>
        </is>
      </c>
      <c r="L44" s="10" t="inlineStr">
        <is>
          <t xml:space="preserve">218</t>
        </is>
      </c>
    </row>
    <row r="45">
      <c r="A45" s="20" t="inlineStr">
        <is>
          <t xml:space="preserve">2182</t>
        </is>
      </c>
      <c r="B45" s="9" t="inlineStr">
        <is>
          <t xml:space="preserve">Matériel de transport</t>
        </is>
      </c>
      <c r="C45" s="11">
        <f>SUMIF('Journal'!$D$8:$D$2007,$A45,'Journal'!$H$8:$H$2007)</f>
      </c>
      <c r="D45" s="11">
        <f>SUMIF('Journal'!$D$8:$D$2007,$A45,'Journal'!$I$8:$I$2007)</f>
      </c>
      <c r="E45" s="11">
        <f>IF($C45-$D45&gt;0,$C45-$D45,0)</f>
      </c>
      <c r="F45" s="11">
        <f>IF($D45-$C45&gt;0,$D45-$C45,0)</f>
      </c>
      <c r="G45" s="11">
        <f>$C45-$D45</f>
      </c>
      <c r="H45" s="10" t="inlineStr">
        <is>
          <t xml:space="preserve">AN_AUT</t>
        </is>
      </c>
      <c r="I45" s="10">
        <v>0</v>
      </c>
      <c r="J45" s="10" t="inlineStr">
        <is>
          <t xml:space="preserve">2</t>
        </is>
      </c>
      <c r="K45" s="10" t="inlineStr">
        <is>
          <t xml:space="preserve">21</t>
        </is>
      </c>
      <c r="L45" s="10" t="inlineStr">
        <is>
          <t xml:space="preserve">218</t>
        </is>
      </c>
    </row>
    <row r="46">
      <c r="A46" s="20" t="inlineStr">
        <is>
          <t xml:space="preserve">2183</t>
        </is>
      </c>
      <c r="B46" s="9" t="inlineStr">
        <is>
          <t xml:space="preserve">Matériel de bureau et informatique</t>
        </is>
      </c>
      <c r="C46" s="11">
        <f>SUMIF('Journal'!$D$8:$D$2007,$A46,'Journal'!$H$8:$H$2007)</f>
      </c>
      <c r="D46" s="11">
        <f>SUMIF('Journal'!$D$8:$D$2007,$A46,'Journal'!$I$8:$I$2007)</f>
      </c>
      <c r="E46" s="11">
        <f>IF($C46-$D46&gt;0,$C46-$D46,0)</f>
      </c>
      <c r="F46" s="11">
        <f>IF($D46-$C46&gt;0,$D46-$C46,0)</f>
      </c>
      <c r="G46" s="11">
        <f>$C46-$D46</f>
      </c>
      <c r="H46" s="10" t="inlineStr">
        <is>
          <t xml:space="preserve">AN_AUT</t>
        </is>
      </c>
      <c r="I46" s="10">
        <v>0</v>
      </c>
      <c r="J46" s="10" t="inlineStr">
        <is>
          <t xml:space="preserve">2</t>
        </is>
      </c>
      <c r="K46" s="10" t="inlineStr">
        <is>
          <t xml:space="preserve">21</t>
        </is>
      </c>
      <c r="L46" s="10" t="inlineStr">
        <is>
          <t xml:space="preserve">218</t>
        </is>
      </c>
    </row>
    <row r="47">
      <c r="A47" s="20" t="inlineStr">
        <is>
          <t xml:space="preserve">2184</t>
        </is>
      </c>
      <c r="B47" s="9" t="inlineStr">
        <is>
          <t xml:space="preserve">Mobilier</t>
        </is>
      </c>
      <c r="C47" s="11">
        <f>SUMIF('Journal'!$D$8:$D$2007,$A47,'Journal'!$H$8:$H$2007)</f>
      </c>
      <c r="D47" s="11">
        <f>SUMIF('Journal'!$D$8:$D$2007,$A47,'Journal'!$I$8:$I$2007)</f>
      </c>
      <c r="E47" s="11">
        <f>IF($C47-$D47&gt;0,$C47-$D47,0)</f>
      </c>
      <c r="F47" s="11">
        <f>IF($D47-$C47&gt;0,$D47-$C47,0)</f>
      </c>
      <c r="G47" s="11">
        <f>$C47-$D47</f>
      </c>
      <c r="H47" s="10" t="inlineStr">
        <is>
          <t xml:space="preserve">AN_AUT</t>
        </is>
      </c>
      <c r="I47" s="10">
        <v>0</v>
      </c>
      <c r="J47" s="10" t="inlineStr">
        <is>
          <t xml:space="preserve">2</t>
        </is>
      </c>
      <c r="K47" s="10" t="inlineStr">
        <is>
          <t xml:space="preserve">21</t>
        </is>
      </c>
      <c r="L47" s="10" t="inlineStr">
        <is>
          <t xml:space="preserve">218</t>
        </is>
      </c>
    </row>
    <row r="48">
      <c r="A48" s="20" t="inlineStr">
        <is>
          <t xml:space="preserve">22</t>
        </is>
      </c>
      <c r="B48" s="9" t="inlineStr">
        <is>
          <t xml:space="preserve">Immobilisations en concession</t>
        </is>
      </c>
      <c r="C48" s="11">
        <f>SUMIF('Journal'!$D$8:$D$2007,$A48,'Journal'!$H$8:$H$2007)</f>
      </c>
      <c r="D48" s="11">
        <f>SUMIF('Journal'!$D$8:$D$2007,$A48,'Journal'!$I$8:$I$2007)</f>
      </c>
      <c r="E48" s="11">
        <f>IF($C48-$D48&gt;0,$C48-$D48,0)</f>
      </c>
      <c r="F48" s="11">
        <f>IF($D48-$C48&gt;0,$D48-$C48,0)</f>
      </c>
      <c r="G48" s="11">
        <f>$C48-$D48</f>
      </c>
      <c r="H48" s="10" t="inlineStr">
        <is>
          <t xml:space="preserve">AN_CONC</t>
        </is>
      </c>
      <c r="I48" s="10">
        <v>0</v>
      </c>
      <c r="J48" s="10" t="inlineStr">
        <is>
          <t xml:space="preserve">2</t>
        </is>
      </c>
      <c r="K48" s="10" t="inlineStr">
        <is>
          <t xml:space="preserve">22</t>
        </is>
      </c>
      <c r="L48" s="10" t="inlineStr">
        <is>
          <t xml:space="preserve">22</t>
        </is>
      </c>
    </row>
    <row r="49">
      <c r="A49" s="20" t="inlineStr">
        <is>
          <t xml:space="preserve">232</t>
        </is>
      </c>
      <c r="B49" s="9" t="inlineStr">
        <is>
          <t xml:space="preserve">Immobilisations corporelles en cours</t>
        </is>
      </c>
      <c r="C49" s="11">
        <f>SUMIF('Journal'!$D$8:$D$2007,$A49,'Journal'!$H$8:$H$2007)</f>
      </c>
      <c r="D49" s="11">
        <f>SUMIF('Journal'!$D$8:$D$2007,$A49,'Journal'!$I$8:$I$2007)</f>
      </c>
      <c r="E49" s="11">
        <f>IF($C49-$D49&gt;0,$C49-$D49,0)</f>
      </c>
      <c r="F49" s="11">
        <f>IF($D49-$C49&gt;0,$D49-$C49,0)</f>
      </c>
      <c r="G49" s="11">
        <f>$C49-$D49</f>
      </c>
      <c r="H49" s="10" t="inlineStr">
        <is>
          <t xml:space="preserve">AN_ENC</t>
        </is>
      </c>
      <c r="I49" s="10">
        <v>0</v>
      </c>
      <c r="J49" s="10" t="inlineStr">
        <is>
          <t xml:space="preserve">2</t>
        </is>
      </c>
      <c r="K49" s="10" t="inlineStr">
        <is>
          <t xml:space="preserve">23</t>
        </is>
      </c>
      <c r="L49" s="10" t="inlineStr">
        <is>
          <t xml:space="preserve">232</t>
        </is>
      </c>
    </row>
    <row r="50">
      <c r="A50" s="20" t="inlineStr">
        <is>
          <t xml:space="preserve">237</t>
        </is>
      </c>
      <c r="B50" s="9" t="inlineStr">
        <is>
          <t xml:space="preserve">Immobilisations incorporelles en cours</t>
        </is>
      </c>
      <c r="C50" s="11">
        <f>SUMIF('Journal'!$D$8:$D$2007,$A50,'Journal'!$H$8:$H$2007)</f>
      </c>
      <c r="D50" s="11">
        <f>SUMIF('Journal'!$D$8:$D$2007,$A50,'Journal'!$I$8:$I$2007)</f>
      </c>
      <c r="E50" s="11">
        <f>IF($C50-$D50&gt;0,$C50-$D50,0)</f>
      </c>
      <c r="F50" s="11">
        <f>IF($D50-$C50&gt;0,$D50-$C50,0)</f>
      </c>
      <c r="G50" s="11">
        <f>$C50-$D50</f>
      </c>
      <c r="H50" s="10" t="inlineStr">
        <is>
          <t xml:space="preserve">AN_ENC</t>
        </is>
      </c>
      <c r="I50" s="10">
        <v>0</v>
      </c>
      <c r="J50" s="10" t="inlineStr">
        <is>
          <t xml:space="preserve">2</t>
        </is>
      </c>
      <c r="K50" s="10" t="inlineStr">
        <is>
          <t xml:space="preserve">23</t>
        </is>
      </c>
      <c r="L50" s="10" t="inlineStr">
        <is>
          <t xml:space="preserve">237</t>
        </is>
      </c>
    </row>
    <row r="51">
      <c r="A51" s="20" t="inlineStr">
        <is>
          <t xml:space="preserve">261</t>
        </is>
      </c>
      <c r="B51" s="9" t="inlineStr">
        <is>
          <t xml:space="preserve">Titres de filiales</t>
        </is>
      </c>
      <c r="C51" s="11">
        <f>SUMIF('Journal'!$D$8:$D$2007,$A51,'Journal'!$H$8:$H$2007)</f>
      </c>
      <c r="D51" s="11">
        <f>SUMIF('Journal'!$D$8:$D$2007,$A51,'Journal'!$I$8:$I$2007)</f>
      </c>
      <c r="E51" s="11">
        <f>IF($C51-$D51&gt;0,$C51-$D51,0)</f>
      </c>
      <c r="F51" s="11">
        <f>IF($D51-$C51&gt;0,$D51-$C51,0)</f>
      </c>
      <c r="G51" s="11">
        <f>$C51-$D51</f>
      </c>
      <c r="H51" s="10" t="inlineStr">
        <is>
          <t xml:space="preserve">AN_FIN</t>
        </is>
      </c>
      <c r="I51" s="10">
        <v>0</v>
      </c>
      <c r="J51" s="10" t="inlineStr">
        <is>
          <t xml:space="preserve">2</t>
        </is>
      </c>
      <c r="K51" s="10" t="inlineStr">
        <is>
          <t xml:space="preserve">26</t>
        </is>
      </c>
      <c r="L51" s="10" t="inlineStr">
        <is>
          <t xml:space="preserve">261</t>
        </is>
      </c>
    </row>
    <row r="52">
      <c r="A52" s="20" t="inlineStr">
        <is>
          <t xml:space="preserve">265</t>
        </is>
      </c>
      <c r="B52" s="9" t="inlineStr">
        <is>
          <t xml:space="preserve">Titres mis en équivalence</t>
        </is>
      </c>
      <c r="C52" s="11">
        <f>SUMIF('Journal'!$D$8:$D$2007,$A52,'Journal'!$H$8:$H$2007)</f>
      </c>
      <c r="D52" s="11">
        <f>SUMIF('Journal'!$D$8:$D$2007,$A52,'Journal'!$I$8:$I$2007)</f>
      </c>
      <c r="E52" s="11">
        <f>IF($C52-$D52&gt;0,$C52-$D52,0)</f>
      </c>
      <c r="F52" s="11">
        <f>IF($D52-$C52&gt;0,$D52-$C52,0)</f>
      </c>
      <c r="G52" s="11">
        <f>$C52-$D52</f>
      </c>
      <c r="H52" s="10" t="inlineStr">
        <is>
          <t xml:space="preserve">AN_FIN</t>
        </is>
      </c>
      <c r="I52" s="10">
        <v>0</v>
      </c>
      <c r="J52" s="10" t="inlineStr">
        <is>
          <t xml:space="preserve">2</t>
        </is>
      </c>
      <c r="K52" s="10" t="inlineStr">
        <is>
          <t xml:space="preserve">26</t>
        </is>
      </c>
      <c r="L52" s="10" t="inlineStr">
        <is>
          <t xml:space="preserve">265</t>
        </is>
      </c>
    </row>
    <row r="53">
      <c r="A53" s="20" t="inlineStr">
        <is>
          <t xml:space="preserve">274</t>
        </is>
      </c>
      <c r="B53" s="9" t="inlineStr">
        <is>
          <t xml:space="preserve">Prêts et créances sur contrat de location-financement</t>
        </is>
      </c>
      <c r="C53" s="11">
        <f>SUMIF('Journal'!$D$8:$D$2007,$A53,'Journal'!$H$8:$H$2007)</f>
      </c>
      <c r="D53" s="11">
        <f>SUMIF('Journal'!$D$8:$D$2007,$A53,'Journal'!$I$8:$I$2007)</f>
      </c>
      <c r="E53" s="11">
        <f>IF($C53-$D53&gt;0,$C53-$D53,0)</f>
      </c>
      <c r="F53" s="11">
        <f>IF($D53-$C53&gt;0,$D53-$C53,0)</f>
      </c>
      <c r="G53" s="11">
        <f>$C53-$D53</f>
      </c>
      <c r="H53" s="10" t="inlineStr">
        <is>
          <t xml:space="preserve">AN_PRET</t>
        </is>
      </c>
      <c r="I53" s="10">
        <v>0</v>
      </c>
      <c r="J53" s="10" t="inlineStr">
        <is>
          <t xml:space="preserve">2</t>
        </is>
      </c>
      <c r="K53" s="10" t="inlineStr">
        <is>
          <t xml:space="preserve">27</t>
        </is>
      </c>
      <c r="L53" s="10" t="inlineStr">
        <is>
          <t xml:space="preserve">274</t>
        </is>
      </c>
    </row>
    <row r="54">
      <c r="A54" s="20" t="inlineStr">
        <is>
          <t xml:space="preserve">275</t>
        </is>
      </c>
      <c r="B54" s="9" t="inlineStr">
        <is>
          <t xml:space="preserve">Dépôts et cautionnements versés</t>
        </is>
      </c>
      <c r="C54" s="11">
        <f>SUMIF('Journal'!$D$8:$D$2007,$A54,'Journal'!$H$8:$H$2007)</f>
      </c>
      <c r="D54" s="11">
        <f>SUMIF('Journal'!$D$8:$D$2007,$A54,'Journal'!$I$8:$I$2007)</f>
      </c>
      <c r="E54" s="11">
        <f>IF($C54-$D54&gt;0,$C54-$D54,0)</f>
      </c>
      <c r="F54" s="11">
        <f>IF($D54-$C54&gt;0,$D54-$C54,0)</f>
      </c>
      <c r="G54" s="11">
        <f>$C54-$D54</f>
      </c>
      <c r="H54" s="10" t="inlineStr">
        <is>
          <t xml:space="preserve">AN_PRET</t>
        </is>
      </c>
      <c r="I54" s="10">
        <v>0</v>
      </c>
      <c r="J54" s="10" t="inlineStr">
        <is>
          <t xml:space="preserve">2</t>
        </is>
      </c>
      <c r="K54" s="10" t="inlineStr">
        <is>
          <t xml:space="preserve">27</t>
        </is>
      </c>
      <c r="L54" s="10" t="inlineStr">
        <is>
          <t xml:space="preserve">275</t>
        </is>
      </c>
    </row>
    <row r="55">
      <c r="A55" s="20" t="inlineStr">
        <is>
          <t xml:space="preserve">280</t>
        </is>
      </c>
      <c r="B55" s="9" t="inlineStr">
        <is>
          <t xml:space="preserve">Amortissement des immobilisations incorporelles</t>
        </is>
      </c>
      <c r="C55" s="11">
        <f>SUMIF('Journal'!$D$8:$D$2007,$A55,'Journal'!$H$8:$H$2007)</f>
      </c>
      <c r="D55" s="11">
        <f>SUMIF('Journal'!$D$8:$D$2007,$A55,'Journal'!$I$8:$I$2007)</f>
      </c>
      <c r="E55" s="11">
        <f>IF($C55-$D55&gt;0,$C55-$D55,0)</f>
      </c>
      <c r="F55" s="11">
        <f>IF($D55-$C55&gt;0,$D55-$C55,0)</f>
      </c>
      <c r="G55" s="11">
        <f>$C55-$D55</f>
      </c>
      <c r="H55" s="10" t="inlineStr">
        <is>
          <t xml:space="preserve">AN_INC</t>
        </is>
      </c>
      <c r="I55" s="10">
        <v>1</v>
      </c>
      <c r="J55" s="10" t="inlineStr">
        <is>
          <t xml:space="preserve">2</t>
        </is>
      </c>
      <c r="K55" s="10" t="inlineStr">
        <is>
          <t xml:space="preserve">28</t>
        </is>
      </c>
      <c r="L55" s="10" t="inlineStr">
        <is>
          <t xml:space="preserve">280</t>
        </is>
      </c>
    </row>
    <row r="56">
      <c r="A56" s="20" t="inlineStr">
        <is>
          <t xml:space="preserve">281</t>
        </is>
      </c>
      <c r="B56" s="9" t="inlineStr">
        <is>
          <t xml:space="preserve">Amortissement des immobilisations corporelles</t>
        </is>
      </c>
      <c r="C56" s="11">
        <f>SUMIF('Journal'!$D$8:$D$2007,$A56,'Journal'!$H$8:$H$2007)</f>
      </c>
      <c r="D56" s="11">
        <f>SUMIF('Journal'!$D$8:$D$2007,$A56,'Journal'!$I$8:$I$2007)</f>
      </c>
      <c r="E56" s="11">
        <f>IF($C56-$D56&gt;0,$C56-$D56,0)</f>
      </c>
      <c r="F56" s="11">
        <f>IF($D56-$C56&gt;0,$D56-$C56,0)</f>
      </c>
      <c r="G56" s="11">
        <f>$C56-$D56</f>
      </c>
      <c r="H56" s="10" t="inlineStr">
        <is>
          <t xml:space="preserve">AN_AUT</t>
        </is>
      </c>
      <c r="I56" s="10">
        <v>1</v>
      </c>
      <c r="J56" s="10" t="inlineStr">
        <is>
          <t xml:space="preserve">2</t>
        </is>
      </c>
      <c r="K56" s="10" t="inlineStr">
        <is>
          <t xml:space="preserve">28</t>
        </is>
      </c>
      <c r="L56" s="10" t="inlineStr">
        <is>
          <t xml:space="preserve">281</t>
        </is>
      </c>
    </row>
    <row r="57">
      <c r="A57" s="20" t="inlineStr">
        <is>
          <t xml:space="preserve">2813</t>
        </is>
      </c>
      <c r="B57" s="9" t="inlineStr">
        <is>
          <t xml:space="preserve">Amortissement des constructions</t>
        </is>
      </c>
      <c r="C57" s="11">
        <f>SUMIF('Journal'!$D$8:$D$2007,$A57,'Journal'!$H$8:$H$2007)</f>
      </c>
      <c r="D57" s="11">
        <f>SUMIF('Journal'!$D$8:$D$2007,$A57,'Journal'!$I$8:$I$2007)</f>
      </c>
      <c r="E57" s="11">
        <f>IF($C57-$D57&gt;0,$C57-$D57,0)</f>
      </c>
      <c r="F57" s="11">
        <f>IF($D57-$C57&gt;0,$D57-$C57,0)</f>
      </c>
      <c r="G57" s="11">
        <f>$C57-$D57</f>
      </c>
      <c r="H57" s="10" t="inlineStr">
        <is>
          <t xml:space="preserve">AN_BAT</t>
        </is>
      </c>
      <c r="I57" s="10">
        <v>1</v>
      </c>
      <c r="J57" s="10" t="inlineStr">
        <is>
          <t xml:space="preserve">2</t>
        </is>
      </c>
      <c r="K57" s="10" t="inlineStr">
        <is>
          <t xml:space="preserve">28</t>
        </is>
      </c>
      <c r="L57" s="10" t="inlineStr">
        <is>
          <t xml:space="preserve">281</t>
        </is>
      </c>
    </row>
    <row r="58">
      <c r="A58" s="20" t="inlineStr">
        <is>
          <t xml:space="preserve">2818</t>
        </is>
      </c>
      <c r="B58" s="9" t="inlineStr">
        <is>
          <t xml:space="preserve">Amortissement des autres immobilisations corporelles</t>
        </is>
      </c>
      <c r="C58" s="11">
        <f>SUMIF('Journal'!$D$8:$D$2007,$A58,'Journal'!$H$8:$H$2007)</f>
      </c>
      <c r="D58" s="11">
        <f>SUMIF('Journal'!$D$8:$D$2007,$A58,'Journal'!$I$8:$I$2007)</f>
      </c>
      <c r="E58" s="11">
        <f>IF($C58-$D58&gt;0,$C58-$D58,0)</f>
      </c>
      <c r="F58" s="11">
        <f>IF($D58-$C58&gt;0,$D58-$C58,0)</f>
      </c>
      <c r="G58" s="11">
        <f>$C58-$D58</f>
      </c>
      <c r="H58" s="10" t="inlineStr">
        <is>
          <t xml:space="preserve">AN_AUT</t>
        </is>
      </c>
      <c r="I58" s="10">
        <v>1</v>
      </c>
      <c r="J58" s="10" t="inlineStr">
        <is>
          <t xml:space="preserve">2</t>
        </is>
      </c>
      <c r="K58" s="10" t="inlineStr">
        <is>
          <t xml:space="preserve">28</t>
        </is>
      </c>
      <c r="L58" s="10" t="inlineStr">
        <is>
          <t xml:space="preserve">281</t>
        </is>
      </c>
    </row>
    <row r="59">
      <c r="A59" s="20" t="inlineStr">
        <is>
          <t xml:space="preserve">29</t>
        </is>
      </c>
      <c r="B59" s="9" t="inlineStr">
        <is>
          <t xml:space="preserve">Pertes de valeur sur immobilisations</t>
        </is>
      </c>
      <c r="C59" s="11">
        <f>SUMIF('Journal'!$D$8:$D$2007,$A59,'Journal'!$H$8:$H$2007)</f>
      </c>
      <c r="D59" s="11">
        <f>SUMIF('Journal'!$D$8:$D$2007,$A59,'Journal'!$I$8:$I$2007)</f>
      </c>
      <c r="E59" s="11">
        <f>IF($C59-$D59&gt;0,$C59-$D59,0)</f>
      </c>
      <c r="F59" s="11">
        <f>IF($D59-$C59&gt;0,$D59-$C59,0)</f>
      </c>
      <c r="G59" s="11">
        <f>$C59-$D59</f>
      </c>
      <c r="H59" s="10" t="inlineStr">
        <is>
          <t xml:space="preserve">AN_AUT</t>
        </is>
      </c>
      <c r="I59" s="10">
        <v>1</v>
      </c>
      <c r="J59" s="10" t="inlineStr">
        <is>
          <t xml:space="preserve">2</t>
        </is>
      </c>
      <c r="K59" s="10" t="inlineStr">
        <is>
          <t xml:space="preserve">29</t>
        </is>
      </c>
      <c r="L59" s="10" t="inlineStr">
        <is>
          <t xml:space="preserve">29</t>
        </is>
      </c>
    </row>
    <row r="60">
      <c r="A60" s="20" t="inlineStr">
        <is>
          <t xml:space="preserve">30</t>
        </is>
      </c>
      <c r="B60" s="9" t="inlineStr">
        <is>
          <t xml:space="preserve">Stocks de marchandises</t>
        </is>
      </c>
      <c r="C60" s="11">
        <f>SUMIF('Journal'!$D$8:$D$2007,$A60,'Journal'!$H$8:$H$2007)</f>
      </c>
      <c r="D60" s="11">
        <f>SUMIF('Journal'!$D$8:$D$2007,$A60,'Journal'!$I$8:$I$2007)</f>
      </c>
      <c r="E60" s="11">
        <f>IF($C60-$D60&gt;0,$C60-$D60,0)</f>
      </c>
      <c r="F60" s="11">
        <f>IF($D60-$C60&gt;0,$D60-$C60,0)</f>
      </c>
      <c r="G60" s="11">
        <f>$C60-$D60</f>
      </c>
      <c r="H60" s="10" t="inlineStr">
        <is>
          <t xml:space="preserve">AC_STK</t>
        </is>
      </c>
      <c r="I60" s="10">
        <v>0</v>
      </c>
      <c r="J60" s="10" t="inlineStr">
        <is>
          <t xml:space="preserve">3</t>
        </is>
      </c>
      <c r="K60" s="10" t="inlineStr">
        <is>
          <t xml:space="preserve">30</t>
        </is>
      </c>
      <c r="L60" s="10" t="inlineStr">
        <is>
          <t xml:space="preserve">30</t>
        </is>
      </c>
    </row>
    <row r="61">
      <c r="A61" s="20" t="inlineStr">
        <is>
          <t xml:space="preserve">31</t>
        </is>
      </c>
      <c r="B61" s="9" t="inlineStr">
        <is>
          <t xml:space="preserve">Matières premières et fournitures</t>
        </is>
      </c>
      <c r="C61" s="11">
        <f>SUMIF('Journal'!$D$8:$D$2007,$A61,'Journal'!$H$8:$H$2007)</f>
      </c>
      <c r="D61" s="11">
        <f>SUMIF('Journal'!$D$8:$D$2007,$A61,'Journal'!$I$8:$I$2007)</f>
      </c>
      <c r="E61" s="11">
        <f>IF($C61-$D61&gt;0,$C61-$D61,0)</f>
      </c>
      <c r="F61" s="11">
        <f>IF($D61-$C61&gt;0,$D61-$C61,0)</f>
      </c>
      <c r="G61" s="11">
        <f>$C61-$D61</f>
      </c>
      <c r="H61" s="10" t="inlineStr">
        <is>
          <t xml:space="preserve">AC_STK</t>
        </is>
      </c>
      <c r="I61" s="10">
        <v>0</v>
      </c>
      <c r="J61" s="10" t="inlineStr">
        <is>
          <t xml:space="preserve">3</t>
        </is>
      </c>
      <c r="K61" s="10" t="inlineStr">
        <is>
          <t xml:space="preserve">31</t>
        </is>
      </c>
      <c r="L61" s="10" t="inlineStr">
        <is>
          <t xml:space="preserve">31</t>
        </is>
      </c>
    </row>
    <row r="62">
      <c r="A62" s="20" t="inlineStr">
        <is>
          <t xml:space="preserve">32</t>
        </is>
      </c>
      <c r="B62" s="9" t="inlineStr">
        <is>
          <t xml:space="preserve">Autres approvisionnements</t>
        </is>
      </c>
      <c r="C62" s="11">
        <f>SUMIF('Journal'!$D$8:$D$2007,$A62,'Journal'!$H$8:$H$2007)</f>
      </c>
      <c r="D62" s="11">
        <f>SUMIF('Journal'!$D$8:$D$2007,$A62,'Journal'!$I$8:$I$2007)</f>
      </c>
      <c r="E62" s="11">
        <f>IF($C62-$D62&gt;0,$C62-$D62,0)</f>
      </c>
      <c r="F62" s="11">
        <f>IF($D62-$C62&gt;0,$D62-$C62,0)</f>
      </c>
      <c r="G62" s="11">
        <f>$C62-$D62</f>
      </c>
      <c r="H62" s="10" t="inlineStr">
        <is>
          <t xml:space="preserve">AC_STK</t>
        </is>
      </c>
      <c r="I62" s="10">
        <v>0</v>
      </c>
      <c r="J62" s="10" t="inlineStr">
        <is>
          <t xml:space="preserve">3</t>
        </is>
      </c>
      <c r="K62" s="10" t="inlineStr">
        <is>
          <t xml:space="preserve">32</t>
        </is>
      </c>
      <c r="L62" s="10" t="inlineStr">
        <is>
          <t xml:space="preserve">32</t>
        </is>
      </c>
    </row>
    <row r="63">
      <c r="A63" s="20" t="inlineStr">
        <is>
          <t xml:space="preserve">33</t>
        </is>
      </c>
      <c r="B63" s="9" t="inlineStr">
        <is>
          <t xml:space="preserve">En-cours de production de biens</t>
        </is>
      </c>
      <c r="C63" s="11">
        <f>SUMIF('Journal'!$D$8:$D$2007,$A63,'Journal'!$H$8:$H$2007)</f>
      </c>
      <c r="D63" s="11">
        <f>SUMIF('Journal'!$D$8:$D$2007,$A63,'Journal'!$I$8:$I$2007)</f>
      </c>
      <c r="E63" s="11">
        <f>IF($C63-$D63&gt;0,$C63-$D63,0)</f>
      </c>
      <c r="F63" s="11">
        <f>IF($D63-$C63&gt;0,$D63-$C63,0)</f>
      </c>
      <c r="G63" s="11">
        <f>$C63-$D63</f>
      </c>
      <c r="H63" s="10" t="inlineStr">
        <is>
          <t xml:space="preserve">AC_STK</t>
        </is>
      </c>
      <c r="I63" s="10">
        <v>0</v>
      </c>
      <c r="J63" s="10" t="inlineStr">
        <is>
          <t xml:space="preserve">3</t>
        </is>
      </c>
      <c r="K63" s="10" t="inlineStr">
        <is>
          <t xml:space="preserve">33</t>
        </is>
      </c>
      <c r="L63" s="10" t="inlineStr">
        <is>
          <t xml:space="preserve">33</t>
        </is>
      </c>
    </row>
    <row r="64">
      <c r="A64" s="20" t="inlineStr">
        <is>
          <t xml:space="preserve">34</t>
        </is>
      </c>
      <c r="B64" s="9" t="inlineStr">
        <is>
          <t xml:space="preserve">En-cours de production de services</t>
        </is>
      </c>
      <c r="C64" s="11">
        <f>SUMIF('Journal'!$D$8:$D$2007,$A64,'Journal'!$H$8:$H$2007)</f>
      </c>
      <c r="D64" s="11">
        <f>SUMIF('Journal'!$D$8:$D$2007,$A64,'Journal'!$I$8:$I$2007)</f>
      </c>
      <c r="E64" s="11">
        <f>IF($C64-$D64&gt;0,$C64-$D64,0)</f>
      </c>
      <c r="F64" s="11">
        <f>IF($D64-$C64&gt;0,$D64-$C64,0)</f>
      </c>
      <c r="G64" s="11">
        <f>$C64-$D64</f>
      </c>
      <c r="H64" s="10" t="inlineStr">
        <is>
          <t xml:space="preserve">AC_STK</t>
        </is>
      </c>
      <c r="I64" s="10">
        <v>0</v>
      </c>
      <c r="J64" s="10" t="inlineStr">
        <is>
          <t xml:space="preserve">3</t>
        </is>
      </c>
      <c r="K64" s="10" t="inlineStr">
        <is>
          <t xml:space="preserve">34</t>
        </is>
      </c>
      <c r="L64" s="10" t="inlineStr">
        <is>
          <t xml:space="preserve">34</t>
        </is>
      </c>
    </row>
    <row r="65">
      <c r="A65" s="20" t="inlineStr">
        <is>
          <t xml:space="preserve">35</t>
        </is>
      </c>
      <c r="B65" s="9" t="inlineStr">
        <is>
          <t xml:space="preserve">Stocks de produits finis</t>
        </is>
      </c>
      <c r="C65" s="11">
        <f>SUMIF('Journal'!$D$8:$D$2007,$A65,'Journal'!$H$8:$H$2007)</f>
      </c>
      <c r="D65" s="11">
        <f>SUMIF('Journal'!$D$8:$D$2007,$A65,'Journal'!$I$8:$I$2007)</f>
      </c>
      <c r="E65" s="11">
        <f>IF($C65-$D65&gt;0,$C65-$D65,0)</f>
      </c>
      <c r="F65" s="11">
        <f>IF($D65-$C65&gt;0,$D65-$C65,0)</f>
      </c>
      <c r="G65" s="11">
        <f>$C65-$D65</f>
      </c>
      <c r="H65" s="10" t="inlineStr">
        <is>
          <t xml:space="preserve">AC_STK</t>
        </is>
      </c>
      <c r="I65" s="10">
        <v>0</v>
      </c>
      <c r="J65" s="10" t="inlineStr">
        <is>
          <t xml:space="preserve">3</t>
        </is>
      </c>
      <c r="K65" s="10" t="inlineStr">
        <is>
          <t xml:space="preserve">35</t>
        </is>
      </c>
      <c r="L65" s="10" t="inlineStr">
        <is>
          <t xml:space="preserve">35</t>
        </is>
      </c>
    </row>
    <row r="66">
      <c r="A66" s="20" t="inlineStr">
        <is>
          <t xml:space="preserve">36</t>
        </is>
      </c>
      <c r="B66" s="9" t="inlineStr">
        <is>
          <t xml:space="preserve">Stocks provenant d'immobilisations</t>
        </is>
      </c>
      <c r="C66" s="11">
        <f>SUMIF('Journal'!$D$8:$D$2007,$A66,'Journal'!$H$8:$H$2007)</f>
      </c>
      <c r="D66" s="11">
        <f>SUMIF('Journal'!$D$8:$D$2007,$A66,'Journal'!$I$8:$I$2007)</f>
      </c>
      <c r="E66" s="11">
        <f>IF($C66-$D66&gt;0,$C66-$D66,0)</f>
      </c>
      <c r="F66" s="11">
        <f>IF($D66-$C66&gt;0,$D66-$C66,0)</f>
      </c>
      <c r="G66" s="11">
        <f>$C66-$D66</f>
      </c>
      <c r="H66" s="10" t="inlineStr">
        <is>
          <t xml:space="preserve">AC_STK</t>
        </is>
      </c>
      <c r="I66" s="10">
        <v>0</v>
      </c>
      <c r="J66" s="10" t="inlineStr">
        <is>
          <t xml:space="preserve">3</t>
        </is>
      </c>
      <c r="K66" s="10" t="inlineStr">
        <is>
          <t xml:space="preserve">36</t>
        </is>
      </c>
      <c r="L66" s="10" t="inlineStr">
        <is>
          <t xml:space="preserve">36</t>
        </is>
      </c>
    </row>
    <row r="67">
      <c r="A67" s="20" t="inlineStr">
        <is>
          <t xml:space="preserve">37</t>
        </is>
      </c>
      <c r="B67" s="9" t="inlineStr">
        <is>
          <t xml:space="preserve">Stocks à l'extérieur (en consignation, en dépôt)</t>
        </is>
      </c>
      <c r="C67" s="11">
        <f>SUMIF('Journal'!$D$8:$D$2007,$A67,'Journal'!$H$8:$H$2007)</f>
      </c>
      <c r="D67" s="11">
        <f>SUMIF('Journal'!$D$8:$D$2007,$A67,'Journal'!$I$8:$I$2007)</f>
      </c>
      <c r="E67" s="11">
        <f>IF($C67-$D67&gt;0,$C67-$D67,0)</f>
      </c>
      <c r="F67" s="11">
        <f>IF($D67-$C67&gt;0,$D67-$C67,0)</f>
      </c>
      <c r="G67" s="11">
        <f>$C67-$D67</f>
      </c>
      <c r="H67" s="10" t="inlineStr">
        <is>
          <t xml:space="preserve">AC_STK</t>
        </is>
      </c>
      <c r="I67" s="10">
        <v>0</v>
      </c>
      <c r="J67" s="10" t="inlineStr">
        <is>
          <t xml:space="preserve">3</t>
        </is>
      </c>
      <c r="K67" s="10" t="inlineStr">
        <is>
          <t xml:space="preserve">37</t>
        </is>
      </c>
      <c r="L67" s="10" t="inlineStr">
        <is>
          <t xml:space="preserve">37</t>
        </is>
      </c>
    </row>
    <row r="68">
      <c r="A68" s="20" t="inlineStr">
        <is>
          <t xml:space="preserve">38</t>
        </is>
      </c>
      <c r="B68" s="9" t="inlineStr">
        <is>
          <t xml:space="preserve">Achats stockés</t>
        </is>
      </c>
      <c r="C68" s="11">
        <f>SUMIF('Journal'!$D$8:$D$2007,$A68,'Journal'!$H$8:$H$2007)</f>
      </c>
      <c r="D68" s="11">
        <f>SUMIF('Journal'!$D$8:$D$2007,$A68,'Journal'!$I$8:$I$2007)</f>
      </c>
      <c r="E68" s="11">
        <f>IF($C68-$D68&gt;0,$C68-$D68,0)</f>
      </c>
      <c r="F68" s="11">
        <f>IF($D68-$C68&gt;0,$D68-$C68,0)</f>
      </c>
      <c r="G68" s="11">
        <f>$C68-$D68</f>
      </c>
      <c r="H68" s="10" t="inlineStr">
        <is>
          <t xml:space="preserve">AC_STK</t>
        </is>
      </c>
      <c r="I68" s="10">
        <v>0</v>
      </c>
      <c r="J68" s="10" t="inlineStr">
        <is>
          <t xml:space="preserve">3</t>
        </is>
      </c>
      <c r="K68" s="10" t="inlineStr">
        <is>
          <t xml:space="preserve">38</t>
        </is>
      </c>
      <c r="L68" s="10" t="inlineStr">
        <is>
          <t xml:space="preserve">38</t>
        </is>
      </c>
    </row>
    <row r="69">
      <c r="A69" s="20" t="inlineStr">
        <is>
          <t xml:space="preserve">39</t>
        </is>
      </c>
      <c r="B69" s="9" t="inlineStr">
        <is>
          <t xml:space="preserve">Pertes de valeur sur stocks et en-cours</t>
        </is>
      </c>
      <c r="C69" s="11">
        <f>SUMIF('Journal'!$D$8:$D$2007,$A69,'Journal'!$H$8:$H$2007)</f>
      </c>
      <c r="D69" s="11">
        <f>SUMIF('Journal'!$D$8:$D$2007,$A69,'Journal'!$I$8:$I$2007)</f>
      </c>
      <c r="E69" s="11">
        <f>IF($C69-$D69&gt;0,$C69-$D69,0)</f>
      </c>
      <c r="F69" s="11">
        <f>IF($D69-$C69&gt;0,$D69-$C69,0)</f>
      </c>
      <c r="G69" s="11">
        <f>$C69-$D69</f>
      </c>
      <c r="H69" s="10" t="inlineStr">
        <is>
          <t xml:space="preserve">AC_STK</t>
        </is>
      </c>
      <c r="I69" s="10">
        <v>1</v>
      </c>
      <c r="J69" s="10" t="inlineStr">
        <is>
          <t xml:space="preserve">3</t>
        </is>
      </c>
      <c r="K69" s="10" t="inlineStr">
        <is>
          <t xml:space="preserve">39</t>
        </is>
      </c>
      <c r="L69" s="10" t="inlineStr">
        <is>
          <t xml:space="preserve">39</t>
        </is>
      </c>
    </row>
    <row r="70">
      <c r="A70" s="20" t="inlineStr">
        <is>
          <t xml:space="preserve">401</t>
        </is>
      </c>
      <c r="B70" s="9" t="inlineStr">
        <is>
          <t xml:space="preserve">Fournisseurs de stocks et services</t>
        </is>
      </c>
      <c r="C70" s="11">
        <f>SUMIF('Journal'!$D$8:$D$2007,$A70,'Journal'!$H$8:$H$2007)</f>
      </c>
      <c r="D70" s="11">
        <f>SUMIF('Journal'!$D$8:$D$2007,$A70,'Journal'!$I$8:$I$2007)</f>
      </c>
      <c r="E70" s="11">
        <f>IF($C70-$D70&gt;0,$C70-$D70,0)</f>
      </c>
      <c r="F70" s="11">
        <f>IF($D70-$C70&gt;0,$D70-$C70,0)</f>
      </c>
      <c r="G70" s="11">
        <f>$C70-$D70</f>
      </c>
      <c r="H70" s="10" t="inlineStr">
        <is>
          <t xml:space="preserve">PC_FRN</t>
        </is>
      </c>
      <c r="I70" s="10">
        <v>0</v>
      </c>
      <c r="J70" s="10" t="inlineStr">
        <is>
          <t xml:space="preserve">4</t>
        </is>
      </c>
      <c r="K70" s="10" t="inlineStr">
        <is>
          <t xml:space="preserve">40</t>
        </is>
      </c>
      <c r="L70" s="10" t="inlineStr">
        <is>
          <t xml:space="preserve">401</t>
        </is>
      </c>
    </row>
    <row r="71">
      <c r="A71" s="20" t="inlineStr">
        <is>
          <t xml:space="preserve">403</t>
        </is>
      </c>
      <c r="B71" s="9" t="inlineStr">
        <is>
          <t xml:space="preserve">Fournisseurs, effets à payer</t>
        </is>
      </c>
      <c r="C71" s="11">
        <f>SUMIF('Journal'!$D$8:$D$2007,$A71,'Journal'!$H$8:$H$2007)</f>
      </c>
      <c r="D71" s="11">
        <f>SUMIF('Journal'!$D$8:$D$2007,$A71,'Journal'!$I$8:$I$2007)</f>
      </c>
      <c r="E71" s="11">
        <f>IF($C71-$D71&gt;0,$C71-$D71,0)</f>
      </c>
      <c r="F71" s="11">
        <f>IF($D71-$C71&gt;0,$D71-$C71,0)</f>
      </c>
      <c r="G71" s="11">
        <f>$C71-$D71</f>
      </c>
      <c r="H71" s="10" t="inlineStr">
        <is>
          <t xml:space="preserve">PC_FRN</t>
        </is>
      </c>
      <c r="I71" s="10">
        <v>0</v>
      </c>
      <c r="J71" s="10" t="inlineStr">
        <is>
          <t xml:space="preserve">4</t>
        </is>
      </c>
      <c r="K71" s="10" t="inlineStr">
        <is>
          <t xml:space="preserve">40</t>
        </is>
      </c>
      <c r="L71" s="10" t="inlineStr">
        <is>
          <t xml:space="preserve">403</t>
        </is>
      </c>
    </row>
    <row r="72">
      <c r="A72" s="20" t="inlineStr">
        <is>
          <t xml:space="preserve">404</t>
        </is>
      </c>
      <c r="B72" s="9" t="inlineStr">
        <is>
          <t xml:space="preserve">Fournisseurs d'immobilisations</t>
        </is>
      </c>
      <c r="C72" s="11">
        <f>SUMIF('Journal'!$D$8:$D$2007,$A72,'Journal'!$H$8:$H$2007)</f>
      </c>
      <c r="D72" s="11">
        <f>SUMIF('Journal'!$D$8:$D$2007,$A72,'Journal'!$I$8:$I$2007)</f>
      </c>
      <c r="E72" s="11">
        <f>IF($C72-$D72&gt;0,$C72-$D72,0)</f>
      </c>
      <c r="F72" s="11">
        <f>IF($D72-$C72&gt;0,$D72-$C72,0)</f>
      </c>
      <c r="G72" s="11">
        <f>$C72-$D72</f>
      </c>
      <c r="H72" s="10" t="inlineStr">
        <is>
          <t xml:space="preserve">PC_FRN</t>
        </is>
      </c>
      <c r="I72" s="10">
        <v>0</v>
      </c>
      <c r="J72" s="10" t="inlineStr">
        <is>
          <t xml:space="preserve">4</t>
        </is>
      </c>
      <c r="K72" s="10" t="inlineStr">
        <is>
          <t xml:space="preserve">40</t>
        </is>
      </c>
      <c r="L72" s="10" t="inlineStr">
        <is>
          <t xml:space="preserve">404</t>
        </is>
      </c>
    </row>
    <row r="73">
      <c r="A73" s="20" t="inlineStr">
        <is>
          <t xml:space="preserve">408</t>
        </is>
      </c>
      <c r="B73" s="9" t="inlineStr">
        <is>
          <t xml:space="preserve">Fournisseurs, factures non parvenues</t>
        </is>
      </c>
      <c r="C73" s="11">
        <f>SUMIF('Journal'!$D$8:$D$2007,$A73,'Journal'!$H$8:$H$2007)</f>
      </c>
      <c r="D73" s="11">
        <f>SUMIF('Journal'!$D$8:$D$2007,$A73,'Journal'!$I$8:$I$2007)</f>
      </c>
      <c r="E73" s="11">
        <f>IF($C73-$D73&gt;0,$C73-$D73,0)</f>
      </c>
      <c r="F73" s="11">
        <f>IF($D73-$C73&gt;0,$D73-$C73,0)</f>
      </c>
      <c r="G73" s="11">
        <f>$C73-$D73</f>
      </c>
      <c r="H73" s="10" t="inlineStr">
        <is>
          <t xml:space="preserve">PC_FRN</t>
        </is>
      </c>
      <c r="I73" s="10">
        <v>0</v>
      </c>
      <c r="J73" s="10" t="inlineStr">
        <is>
          <t xml:space="preserve">4</t>
        </is>
      </c>
      <c r="K73" s="10" t="inlineStr">
        <is>
          <t xml:space="preserve">40</t>
        </is>
      </c>
      <c r="L73" s="10" t="inlineStr">
        <is>
          <t xml:space="preserve">408</t>
        </is>
      </c>
    </row>
    <row r="74">
      <c r="A74" s="20" t="inlineStr">
        <is>
          <t xml:space="preserve">409</t>
        </is>
      </c>
      <c r="B74" s="9" t="inlineStr">
        <is>
          <t xml:space="preserve">Fournisseurs débiteurs (avances, acomptes)</t>
        </is>
      </c>
      <c r="C74" s="11">
        <f>SUMIF('Journal'!$D$8:$D$2007,$A74,'Journal'!$H$8:$H$2007)</f>
      </c>
      <c r="D74" s="11">
        <f>SUMIF('Journal'!$D$8:$D$2007,$A74,'Journal'!$I$8:$I$2007)</f>
      </c>
      <c r="E74" s="11">
        <f>IF($C74-$D74&gt;0,$C74-$D74,0)</f>
      </c>
      <c r="F74" s="11">
        <f>IF($D74-$C74&gt;0,$D74-$C74,0)</f>
      </c>
      <c r="G74" s="11">
        <f>$C74-$D74</f>
      </c>
      <c r="H74" s="10" t="inlineStr">
        <is>
          <t xml:space="preserve">AC_DEB</t>
        </is>
      </c>
      <c r="I74" s="10">
        <v>0</v>
      </c>
      <c r="J74" s="10" t="inlineStr">
        <is>
          <t xml:space="preserve">4</t>
        </is>
      </c>
      <c r="K74" s="10" t="inlineStr">
        <is>
          <t xml:space="preserve">40</t>
        </is>
      </c>
      <c r="L74" s="10" t="inlineStr">
        <is>
          <t xml:space="preserve">409</t>
        </is>
      </c>
    </row>
    <row r="75">
      <c r="A75" s="20" t="inlineStr">
        <is>
          <t xml:space="preserve">411</t>
        </is>
      </c>
      <c r="B75" s="9" t="inlineStr">
        <is>
          <t xml:space="preserve">Clients</t>
        </is>
      </c>
      <c r="C75" s="11">
        <f>SUMIF('Journal'!$D$8:$D$2007,$A75,'Journal'!$H$8:$H$2007)</f>
      </c>
      <c r="D75" s="11">
        <f>SUMIF('Journal'!$D$8:$D$2007,$A75,'Journal'!$I$8:$I$2007)</f>
      </c>
      <c r="E75" s="11">
        <f>IF($C75-$D75&gt;0,$C75-$D75,0)</f>
      </c>
      <c r="F75" s="11">
        <f>IF($D75-$C75&gt;0,$D75-$C75,0)</f>
      </c>
      <c r="G75" s="11">
        <f>$C75-$D75</f>
      </c>
      <c r="H75" s="10" t="inlineStr">
        <is>
          <t xml:space="preserve">AC_CLI</t>
        </is>
      </c>
      <c r="I75" s="10">
        <v>0</v>
      </c>
      <c r="J75" s="10" t="inlineStr">
        <is>
          <t xml:space="preserve">4</t>
        </is>
      </c>
      <c r="K75" s="10" t="inlineStr">
        <is>
          <t xml:space="preserve">41</t>
        </is>
      </c>
      <c r="L75" s="10" t="inlineStr">
        <is>
          <t xml:space="preserve">411</t>
        </is>
      </c>
    </row>
    <row r="76">
      <c r="A76" s="20" t="inlineStr">
        <is>
          <t xml:space="preserve">413</t>
        </is>
      </c>
      <c r="B76" s="9" t="inlineStr">
        <is>
          <t xml:space="preserve">Clients, effets à recevoir</t>
        </is>
      </c>
      <c r="C76" s="11">
        <f>SUMIF('Journal'!$D$8:$D$2007,$A76,'Journal'!$H$8:$H$2007)</f>
      </c>
      <c r="D76" s="11">
        <f>SUMIF('Journal'!$D$8:$D$2007,$A76,'Journal'!$I$8:$I$2007)</f>
      </c>
      <c r="E76" s="11">
        <f>IF($C76-$D76&gt;0,$C76-$D76,0)</f>
      </c>
      <c r="F76" s="11">
        <f>IF($D76-$C76&gt;0,$D76-$C76,0)</f>
      </c>
      <c r="G76" s="11">
        <f>$C76-$D76</f>
      </c>
      <c r="H76" s="10" t="inlineStr">
        <is>
          <t xml:space="preserve">AC_CLI</t>
        </is>
      </c>
      <c r="I76" s="10">
        <v>0</v>
      </c>
      <c r="J76" s="10" t="inlineStr">
        <is>
          <t xml:space="preserve">4</t>
        </is>
      </c>
      <c r="K76" s="10" t="inlineStr">
        <is>
          <t xml:space="preserve">41</t>
        </is>
      </c>
      <c r="L76" s="10" t="inlineStr">
        <is>
          <t xml:space="preserve">413</t>
        </is>
      </c>
    </row>
    <row r="77">
      <c r="A77" s="20" t="inlineStr">
        <is>
          <t xml:space="preserve">416</t>
        </is>
      </c>
      <c r="B77" s="9" t="inlineStr">
        <is>
          <t xml:space="preserve">Clients douteux ou litigieux</t>
        </is>
      </c>
      <c r="C77" s="11">
        <f>SUMIF('Journal'!$D$8:$D$2007,$A77,'Journal'!$H$8:$H$2007)</f>
      </c>
      <c r="D77" s="11">
        <f>SUMIF('Journal'!$D$8:$D$2007,$A77,'Journal'!$I$8:$I$2007)</f>
      </c>
      <c r="E77" s="11">
        <f>IF($C77-$D77&gt;0,$C77-$D77,0)</f>
      </c>
      <c r="F77" s="11">
        <f>IF($D77-$C77&gt;0,$D77-$C77,0)</f>
      </c>
      <c r="G77" s="11">
        <f>$C77-$D77</f>
      </c>
      <c r="H77" s="10" t="inlineStr">
        <is>
          <t xml:space="preserve">AC_CLI</t>
        </is>
      </c>
      <c r="I77" s="10">
        <v>0</v>
      </c>
      <c r="J77" s="10" t="inlineStr">
        <is>
          <t xml:space="preserve">4</t>
        </is>
      </c>
      <c r="K77" s="10" t="inlineStr">
        <is>
          <t xml:space="preserve">41</t>
        </is>
      </c>
      <c r="L77" s="10" t="inlineStr">
        <is>
          <t xml:space="preserve">416</t>
        </is>
      </c>
    </row>
    <row r="78">
      <c r="A78" s="20" t="inlineStr">
        <is>
          <t xml:space="preserve">417</t>
        </is>
      </c>
      <c r="B78" s="9" t="inlineStr">
        <is>
          <t xml:space="preserve">Créances sur travaux ou prestations en cours</t>
        </is>
      </c>
      <c r="C78" s="11">
        <f>SUMIF('Journal'!$D$8:$D$2007,$A78,'Journal'!$H$8:$H$2007)</f>
      </c>
      <c r="D78" s="11">
        <f>SUMIF('Journal'!$D$8:$D$2007,$A78,'Journal'!$I$8:$I$2007)</f>
      </c>
      <c r="E78" s="11">
        <f>IF($C78-$D78&gt;0,$C78-$D78,0)</f>
      </c>
      <c r="F78" s="11">
        <f>IF($D78-$C78&gt;0,$D78-$C78,0)</f>
      </c>
      <c r="G78" s="11">
        <f>$C78-$D78</f>
      </c>
      <c r="H78" s="10" t="inlineStr">
        <is>
          <t xml:space="preserve">AC_CLI</t>
        </is>
      </c>
      <c r="I78" s="10">
        <v>0</v>
      </c>
      <c r="J78" s="10" t="inlineStr">
        <is>
          <t xml:space="preserve">4</t>
        </is>
      </c>
      <c r="K78" s="10" t="inlineStr">
        <is>
          <t xml:space="preserve">41</t>
        </is>
      </c>
      <c r="L78" s="10" t="inlineStr">
        <is>
          <t xml:space="preserve">417</t>
        </is>
      </c>
    </row>
    <row r="79">
      <c r="A79" s="20" t="inlineStr">
        <is>
          <t xml:space="preserve">418</t>
        </is>
      </c>
      <c r="B79" s="9" t="inlineStr">
        <is>
          <t xml:space="preserve">Clients, produits non encore facturés</t>
        </is>
      </c>
      <c r="C79" s="11">
        <f>SUMIF('Journal'!$D$8:$D$2007,$A79,'Journal'!$H$8:$H$2007)</f>
      </c>
      <c r="D79" s="11">
        <f>SUMIF('Journal'!$D$8:$D$2007,$A79,'Journal'!$I$8:$I$2007)</f>
      </c>
      <c r="E79" s="11">
        <f>IF($C79-$D79&gt;0,$C79-$D79,0)</f>
      </c>
      <c r="F79" s="11">
        <f>IF($D79-$C79&gt;0,$D79-$C79,0)</f>
      </c>
      <c r="G79" s="11">
        <f>$C79-$D79</f>
      </c>
      <c r="H79" s="10" t="inlineStr">
        <is>
          <t xml:space="preserve">AC_CLI</t>
        </is>
      </c>
      <c r="I79" s="10">
        <v>0</v>
      </c>
      <c r="J79" s="10" t="inlineStr">
        <is>
          <t xml:space="preserve">4</t>
        </is>
      </c>
      <c r="K79" s="10" t="inlineStr">
        <is>
          <t xml:space="preserve">41</t>
        </is>
      </c>
      <c r="L79" s="10" t="inlineStr">
        <is>
          <t xml:space="preserve">418</t>
        </is>
      </c>
    </row>
    <row r="80">
      <c r="A80" s="20" t="inlineStr">
        <is>
          <t xml:space="preserve">419</t>
        </is>
      </c>
      <c r="B80" s="9" t="inlineStr">
        <is>
          <t xml:space="preserve">Clients créditeurs (avances reçues)</t>
        </is>
      </c>
      <c r="C80" s="11">
        <f>SUMIF('Journal'!$D$8:$D$2007,$A80,'Journal'!$H$8:$H$2007)</f>
      </c>
      <c r="D80" s="11">
        <f>SUMIF('Journal'!$D$8:$D$2007,$A80,'Journal'!$I$8:$I$2007)</f>
      </c>
      <c r="E80" s="11">
        <f>IF($C80-$D80&gt;0,$C80-$D80,0)</f>
      </c>
      <c r="F80" s="11">
        <f>IF($D80-$C80&gt;0,$D80-$C80,0)</f>
      </c>
      <c r="G80" s="11">
        <f>$C80-$D80</f>
      </c>
      <c r="H80" s="10" t="inlineStr">
        <is>
          <t xml:space="preserve">PC_AUT</t>
        </is>
      </c>
      <c r="I80" s="10">
        <v>0</v>
      </c>
      <c r="J80" s="10" t="inlineStr">
        <is>
          <t xml:space="preserve">4</t>
        </is>
      </c>
      <c r="K80" s="10" t="inlineStr">
        <is>
          <t xml:space="preserve">41</t>
        </is>
      </c>
      <c r="L80" s="10" t="inlineStr">
        <is>
          <t xml:space="preserve">419</t>
        </is>
      </c>
    </row>
    <row r="81">
      <c r="A81" s="20" t="inlineStr">
        <is>
          <t xml:space="preserve">421</t>
        </is>
      </c>
      <c r="B81" s="9" t="inlineStr">
        <is>
          <t xml:space="preserve">Personnel, rémunérations dues</t>
        </is>
      </c>
      <c r="C81" s="11">
        <f>SUMIF('Journal'!$D$8:$D$2007,$A81,'Journal'!$H$8:$H$2007)</f>
      </c>
      <c r="D81" s="11">
        <f>SUMIF('Journal'!$D$8:$D$2007,$A81,'Journal'!$I$8:$I$2007)</f>
      </c>
      <c r="E81" s="11">
        <f>IF($C81-$D81&gt;0,$C81-$D81,0)</f>
      </c>
      <c r="F81" s="11">
        <f>IF($D81-$C81&gt;0,$D81-$C81,0)</f>
      </c>
      <c r="G81" s="11">
        <f>$C81-$D81</f>
      </c>
      <c r="H81" s="10" t="inlineStr">
        <is>
          <t xml:space="preserve">PC_AUT</t>
        </is>
      </c>
      <c r="I81" s="10">
        <v>0</v>
      </c>
      <c r="J81" s="10" t="inlineStr">
        <is>
          <t xml:space="preserve">4</t>
        </is>
      </c>
      <c r="K81" s="10" t="inlineStr">
        <is>
          <t xml:space="preserve">42</t>
        </is>
      </c>
      <c r="L81" s="10" t="inlineStr">
        <is>
          <t xml:space="preserve">421</t>
        </is>
      </c>
    </row>
    <row r="82">
      <c r="A82" s="20" t="inlineStr">
        <is>
          <t xml:space="preserve">422</t>
        </is>
      </c>
      <c r="B82" s="9" t="inlineStr">
        <is>
          <t xml:space="preserve">Fonds des œuvres sociales</t>
        </is>
      </c>
      <c r="C82" s="11">
        <f>SUMIF('Journal'!$D$8:$D$2007,$A82,'Journal'!$H$8:$H$2007)</f>
      </c>
      <c r="D82" s="11">
        <f>SUMIF('Journal'!$D$8:$D$2007,$A82,'Journal'!$I$8:$I$2007)</f>
      </c>
      <c r="E82" s="11">
        <f>IF($C82-$D82&gt;0,$C82-$D82,0)</f>
      </c>
      <c r="F82" s="11">
        <f>IF($D82-$C82&gt;0,$D82-$C82,0)</f>
      </c>
      <c r="G82" s="11">
        <f>$C82-$D82</f>
      </c>
      <c r="H82" s="10" t="inlineStr">
        <is>
          <t xml:space="preserve">PC_AUT</t>
        </is>
      </c>
      <c r="I82" s="10">
        <v>0</v>
      </c>
      <c r="J82" s="10" t="inlineStr">
        <is>
          <t xml:space="preserve">4</t>
        </is>
      </c>
      <c r="K82" s="10" t="inlineStr">
        <is>
          <t xml:space="preserve">42</t>
        </is>
      </c>
      <c r="L82" s="10" t="inlineStr">
        <is>
          <t xml:space="preserve">422</t>
        </is>
      </c>
    </row>
    <row r="83">
      <c r="A83" s="20" t="inlineStr">
        <is>
          <t xml:space="preserve">425</t>
        </is>
      </c>
      <c r="B83" s="9" t="inlineStr">
        <is>
          <t xml:space="preserve">Personnel, avances et acomptes accordés</t>
        </is>
      </c>
      <c r="C83" s="11">
        <f>SUMIF('Journal'!$D$8:$D$2007,$A83,'Journal'!$H$8:$H$2007)</f>
      </c>
      <c r="D83" s="11">
        <f>SUMIF('Journal'!$D$8:$D$2007,$A83,'Journal'!$I$8:$I$2007)</f>
      </c>
      <c r="E83" s="11">
        <f>IF($C83-$D83&gt;0,$C83-$D83,0)</f>
      </c>
      <c r="F83" s="11">
        <f>IF($D83-$C83&gt;0,$D83-$C83,0)</f>
      </c>
      <c r="G83" s="11">
        <f>$C83-$D83</f>
      </c>
      <c r="H83" s="10" t="inlineStr">
        <is>
          <t xml:space="preserve">AC_DEB</t>
        </is>
      </c>
      <c r="I83" s="10">
        <v>0</v>
      </c>
      <c r="J83" s="10" t="inlineStr">
        <is>
          <t xml:space="preserve">4</t>
        </is>
      </c>
      <c r="K83" s="10" t="inlineStr">
        <is>
          <t xml:space="preserve">42</t>
        </is>
      </c>
      <c r="L83" s="10" t="inlineStr">
        <is>
          <t xml:space="preserve">425</t>
        </is>
      </c>
    </row>
    <row r="84">
      <c r="A84" s="20" t="inlineStr">
        <is>
          <t xml:space="preserve">428</t>
        </is>
      </c>
      <c r="B84" s="9" t="inlineStr">
        <is>
          <t xml:space="preserve">Personnel, charges à payer</t>
        </is>
      </c>
      <c r="C84" s="11">
        <f>SUMIF('Journal'!$D$8:$D$2007,$A84,'Journal'!$H$8:$H$2007)</f>
      </c>
      <c r="D84" s="11">
        <f>SUMIF('Journal'!$D$8:$D$2007,$A84,'Journal'!$I$8:$I$2007)</f>
      </c>
      <c r="E84" s="11">
        <f>IF($C84-$D84&gt;0,$C84-$D84,0)</f>
      </c>
      <c r="F84" s="11">
        <f>IF($D84-$C84&gt;0,$D84-$C84,0)</f>
      </c>
      <c r="G84" s="11">
        <f>$C84-$D84</f>
      </c>
      <c r="H84" s="10" t="inlineStr">
        <is>
          <t xml:space="preserve">PC_AUT</t>
        </is>
      </c>
      <c r="I84" s="10">
        <v>0</v>
      </c>
      <c r="J84" s="10" t="inlineStr">
        <is>
          <t xml:space="preserve">4</t>
        </is>
      </c>
      <c r="K84" s="10" t="inlineStr">
        <is>
          <t xml:space="preserve">42</t>
        </is>
      </c>
      <c r="L84" s="10" t="inlineStr">
        <is>
          <t xml:space="preserve">428</t>
        </is>
      </c>
    </row>
    <row r="85">
      <c r="A85" s="20" t="inlineStr">
        <is>
          <t xml:space="preserve">431</t>
        </is>
      </c>
      <c r="B85" s="9" t="inlineStr">
        <is>
          <t xml:space="preserve">Sécurité sociale (CNAS)</t>
        </is>
      </c>
      <c r="C85" s="11">
        <f>SUMIF('Journal'!$D$8:$D$2007,$A85,'Journal'!$H$8:$H$2007)</f>
      </c>
      <c r="D85" s="11">
        <f>SUMIF('Journal'!$D$8:$D$2007,$A85,'Journal'!$I$8:$I$2007)</f>
      </c>
      <c r="E85" s="11">
        <f>IF($C85-$D85&gt;0,$C85-$D85,0)</f>
      </c>
      <c r="F85" s="11">
        <f>IF($D85-$C85&gt;0,$D85-$C85,0)</f>
      </c>
      <c r="G85" s="11">
        <f>$C85-$D85</f>
      </c>
      <c r="H85" s="10" t="inlineStr">
        <is>
          <t xml:space="preserve">PC_AUT</t>
        </is>
      </c>
      <c r="I85" s="10">
        <v>0</v>
      </c>
      <c r="J85" s="10" t="inlineStr">
        <is>
          <t xml:space="preserve">4</t>
        </is>
      </c>
      <c r="K85" s="10" t="inlineStr">
        <is>
          <t xml:space="preserve">43</t>
        </is>
      </c>
      <c r="L85" s="10" t="inlineStr">
        <is>
          <t xml:space="preserve">431</t>
        </is>
      </c>
    </row>
    <row r="86">
      <c r="A86" s="20" t="inlineStr">
        <is>
          <t xml:space="preserve">432</t>
        </is>
      </c>
      <c r="B86" s="9" t="inlineStr">
        <is>
          <t xml:space="preserve">Autres organismes sociaux (CASNOS, CACOBATPH)</t>
        </is>
      </c>
      <c r="C86" s="11">
        <f>SUMIF('Journal'!$D$8:$D$2007,$A86,'Journal'!$H$8:$H$2007)</f>
      </c>
      <c r="D86" s="11">
        <f>SUMIF('Journal'!$D$8:$D$2007,$A86,'Journal'!$I$8:$I$2007)</f>
      </c>
      <c r="E86" s="11">
        <f>IF($C86-$D86&gt;0,$C86-$D86,0)</f>
      </c>
      <c r="F86" s="11">
        <f>IF($D86-$C86&gt;0,$D86-$C86,0)</f>
      </c>
      <c r="G86" s="11">
        <f>$C86-$D86</f>
      </c>
      <c r="H86" s="10" t="inlineStr">
        <is>
          <t xml:space="preserve">PC_AUT</t>
        </is>
      </c>
      <c r="I86" s="10">
        <v>0</v>
      </c>
      <c r="J86" s="10" t="inlineStr">
        <is>
          <t xml:space="preserve">4</t>
        </is>
      </c>
      <c r="K86" s="10" t="inlineStr">
        <is>
          <t xml:space="preserve">43</t>
        </is>
      </c>
      <c r="L86" s="10" t="inlineStr">
        <is>
          <t xml:space="preserve">432</t>
        </is>
      </c>
    </row>
    <row r="87">
      <c r="A87" s="20" t="inlineStr">
        <is>
          <t xml:space="preserve">438</t>
        </is>
      </c>
      <c r="B87" s="9" t="inlineStr">
        <is>
          <t xml:space="preserve">Organismes sociaux, charges à payer</t>
        </is>
      </c>
      <c r="C87" s="11">
        <f>SUMIF('Journal'!$D$8:$D$2007,$A87,'Journal'!$H$8:$H$2007)</f>
      </c>
      <c r="D87" s="11">
        <f>SUMIF('Journal'!$D$8:$D$2007,$A87,'Journal'!$I$8:$I$2007)</f>
      </c>
      <c r="E87" s="11">
        <f>IF($C87-$D87&gt;0,$C87-$D87,0)</f>
      </c>
      <c r="F87" s="11">
        <f>IF($D87-$C87&gt;0,$D87-$C87,0)</f>
      </c>
      <c r="G87" s="11">
        <f>$C87-$D87</f>
      </c>
      <c r="H87" s="10" t="inlineStr">
        <is>
          <t xml:space="preserve">PC_AUT</t>
        </is>
      </c>
      <c r="I87" s="10">
        <v>0</v>
      </c>
      <c r="J87" s="10" t="inlineStr">
        <is>
          <t xml:space="preserve">4</t>
        </is>
      </c>
      <c r="K87" s="10" t="inlineStr">
        <is>
          <t xml:space="preserve">43</t>
        </is>
      </c>
      <c r="L87" s="10" t="inlineStr">
        <is>
          <t xml:space="preserve">438</t>
        </is>
      </c>
    </row>
    <row r="88">
      <c r="A88" s="20" t="inlineStr">
        <is>
          <t xml:space="preserve">441</t>
        </is>
      </c>
      <c r="B88" s="9" t="inlineStr">
        <is>
          <t xml:space="preserve">État, subventions à recevoir</t>
        </is>
      </c>
      <c r="C88" s="11">
        <f>SUMIF('Journal'!$D$8:$D$2007,$A88,'Journal'!$H$8:$H$2007)</f>
      </c>
      <c r="D88" s="11">
        <f>SUMIF('Journal'!$D$8:$D$2007,$A88,'Journal'!$I$8:$I$2007)</f>
      </c>
      <c r="E88" s="11">
        <f>IF($C88-$D88&gt;0,$C88-$D88,0)</f>
      </c>
      <c r="F88" s="11">
        <f>IF($D88-$C88&gt;0,$D88-$C88,0)</f>
      </c>
      <c r="G88" s="11">
        <f>$C88-$D88</f>
      </c>
      <c r="H88" s="10" t="inlineStr">
        <is>
          <t xml:space="preserve">AC_DEB</t>
        </is>
      </c>
      <c r="I88" s="10">
        <v>0</v>
      </c>
      <c r="J88" s="10" t="inlineStr">
        <is>
          <t xml:space="preserve">4</t>
        </is>
      </c>
      <c r="K88" s="10" t="inlineStr">
        <is>
          <t xml:space="preserve">44</t>
        </is>
      </c>
      <c r="L88" s="10" t="inlineStr">
        <is>
          <t xml:space="preserve">441</t>
        </is>
      </c>
    </row>
    <row r="89">
      <c r="A89" s="20" t="inlineStr">
        <is>
          <t xml:space="preserve">442</t>
        </is>
      </c>
      <c r="B89" s="9" t="inlineStr">
        <is>
          <t xml:space="preserve">État, impôts et taxes recouvrables sur des tiers</t>
        </is>
      </c>
      <c r="C89" s="11">
        <f>SUMIF('Journal'!$D$8:$D$2007,$A89,'Journal'!$H$8:$H$2007)</f>
      </c>
      <c r="D89" s="11">
        <f>SUMIF('Journal'!$D$8:$D$2007,$A89,'Journal'!$I$8:$I$2007)</f>
      </c>
      <c r="E89" s="11">
        <f>IF($C89-$D89&gt;0,$C89-$D89,0)</f>
      </c>
      <c r="F89" s="11">
        <f>IF($D89-$C89&gt;0,$D89-$C89,0)</f>
      </c>
      <c r="G89" s="11">
        <f>$C89-$D89</f>
      </c>
      <c r="H89" s="10" t="inlineStr">
        <is>
          <t xml:space="preserve">PC_IMP</t>
        </is>
      </c>
      <c r="I89" s="10">
        <v>0</v>
      </c>
      <c r="J89" s="10" t="inlineStr">
        <is>
          <t xml:space="preserve">4</t>
        </is>
      </c>
      <c r="K89" s="10" t="inlineStr">
        <is>
          <t xml:space="preserve">44</t>
        </is>
      </c>
      <c r="L89" s="10" t="inlineStr">
        <is>
          <t xml:space="preserve">442</t>
        </is>
      </c>
    </row>
    <row r="90">
      <c r="A90" s="20" t="inlineStr">
        <is>
          <t xml:space="preserve">444</t>
        </is>
      </c>
      <c r="B90" s="9" t="inlineStr">
        <is>
          <t xml:space="preserve">État, impôts sur les résultats (IBS, IRG)</t>
        </is>
      </c>
      <c r="C90" s="11">
        <f>SUMIF('Journal'!$D$8:$D$2007,$A90,'Journal'!$H$8:$H$2007)</f>
      </c>
      <c r="D90" s="11">
        <f>SUMIF('Journal'!$D$8:$D$2007,$A90,'Journal'!$I$8:$I$2007)</f>
      </c>
      <c r="E90" s="11">
        <f>IF($C90-$D90&gt;0,$C90-$D90,0)</f>
      </c>
      <c r="F90" s="11">
        <f>IF($D90-$C90&gt;0,$D90-$C90,0)</f>
      </c>
      <c r="G90" s="11">
        <f>$C90-$D90</f>
      </c>
      <c r="H90" s="10" t="inlineStr">
        <is>
          <t xml:space="preserve">PC_IMP</t>
        </is>
      </c>
      <c r="I90" s="10">
        <v>0</v>
      </c>
      <c r="J90" s="10" t="inlineStr">
        <is>
          <t xml:space="preserve">4</t>
        </is>
      </c>
      <c r="K90" s="10" t="inlineStr">
        <is>
          <t xml:space="preserve">44</t>
        </is>
      </c>
      <c r="L90" s="10" t="inlineStr">
        <is>
          <t xml:space="preserve">444</t>
        </is>
      </c>
    </row>
    <row r="91">
      <c r="A91" s="20" t="inlineStr">
        <is>
          <t xml:space="preserve">44562</t>
        </is>
      </c>
      <c r="B91" s="9" t="inlineStr">
        <is>
          <t xml:space="preserve">TVA déductible sur immobilisations</t>
        </is>
      </c>
      <c r="C91" s="11">
        <f>SUMIF('Journal'!$D$8:$D$2007,$A91,'Journal'!$H$8:$H$2007)</f>
      </c>
      <c r="D91" s="11">
        <f>SUMIF('Journal'!$D$8:$D$2007,$A91,'Journal'!$I$8:$I$2007)</f>
      </c>
      <c r="E91" s="11">
        <f>IF($C91-$D91&gt;0,$C91-$D91,0)</f>
      </c>
      <c r="F91" s="11">
        <f>IF($D91-$C91&gt;0,$D91-$C91,0)</f>
      </c>
      <c r="G91" s="11">
        <f>$C91-$D91</f>
      </c>
      <c r="H91" s="10" t="inlineStr">
        <is>
          <t xml:space="preserve">AC_IMP</t>
        </is>
      </c>
      <c r="I91" s="10">
        <v>0</v>
      </c>
      <c r="J91" s="10" t="inlineStr">
        <is>
          <t xml:space="preserve">4</t>
        </is>
      </c>
      <c r="K91" s="10" t="inlineStr">
        <is>
          <t xml:space="preserve">44</t>
        </is>
      </c>
      <c r="L91" s="10" t="inlineStr">
        <is>
          <t xml:space="preserve">445</t>
        </is>
      </c>
    </row>
    <row r="92">
      <c r="A92" s="20" t="inlineStr">
        <is>
          <t xml:space="preserve">44566</t>
        </is>
      </c>
      <c r="B92" s="9" t="inlineStr">
        <is>
          <t xml:space="preserve">TVA déductible sur biens et services</t>
        </is>
      </c>
      <c r="C92" s="11">
        <f>SUMIF('Journal'!$D$8:$D$2007,$A92,'Journal'!$H$8:$H$2007)</f>
      </c>
      <c r="D92" s="11">
        <f>SUMIF('Journal'!$D$8:$D$2007,$A92,'Journal'!$I$8:$I$2007)</f>
      </c>
      <c r="E92" s="11">
        <f>IF($C92-$D92&gt;0,$C92-$D92,0)</f>
      </c>
      <c r="F92" s="11">
        <f>IF($D92-$C92&gt;0,$D92-$C92,0)</f>
      </c>
      <c r="G92" s="11">
        <f>$C92-$D92</f>
      </c>
      <c r="H92" s="10" t="inlineStr">
        <is>
          <t xml:space="preserve">AC_IMP</t>
        </is>
      </c>
      <c r="I92" s="10">
        <v>0</v>
      </c>
      <c r="J92" s="10" t="inlineStr">
        <is>
          <t xml:space="preserve">4</t>
        </is>
      </c>
      <c r="K92" s="10" t="inlineStr">
        <is>
          <t xml:space="preserve">44</t>
        </is>
      </c>
      <c r="L92" s="10" t="inlineStr">
        <is>
          <t xml:space="preserve">445</t>
        </is>
      </c>
    </row>
    <row r="93">
      <c r="A93" s="20" t="inlineStr">
        <is>
          <t xml:space="preserve">4457</t>
        </is>
      </c>
      <c r="B93" s="9" t="inlineStr">
        <is>
          <t xml:space="preserve">TVA collectée</t>
        </is>
      </c>
      <c r="C93" s="11">
        <f>SUMIF('Journal'!$D$8:$D$2007,$A93,'Journal'!$H$8:$H$2007)</f>
      </c>
      <c r="D93" s="11">
        <f>SUMIF('Journal'!$D$8:$D$2007,$A93,'Journal'!$I$8:$I$2007)</f>
      </c>
      <c r="E93" s="11">
        <f>IF($C93-$D93&gt;0,$C93-$D93,0)</f>
      </c>
      <c r="F93" s="11">
        <f>IF($D93-$C93&gt;0,$D93-$C93,0)</f>
      </c>
      <c r="G93" s="11">
        <f>$C93-$D93</f>
      </c>
      <c r="H93" s="10" t="inlineStr">
        <is>
          <t xml:space="preserve">PC_IMP</t>
        </is>
      </c>
      <c r="I93" s="10">
        <v>0</v>
      </c>
      <c r="J93" s="10" t="inlineStr">
        <is>
          <t xml:space="preserve">4</t>
        </is>
      </c>
      <c r="K93" s="10" t="inlineStr">
        <is>
          <t xml:space="preserve">44</t>
        </is>
      </c>
      <c r="L93" s="10" t="inlineStr">
        <is>
          <t xml:space="preserve">445</t>
        </is>
      </c>
    </row>
    <row r="94">
      <c r="A94" s="20" t="inlineStr">
        <is>
          <t xml:space="preserve">4458</t>
        </is>
      </c>
      <c r="B94" s="9" t="inlineStr">
        <is>
          <t xml:space="preserve">TVA à régulariser ou en attente</t>
        </is>
      </c>
      <c r="C94" s="11">
        <f>SUMIF('Journal'!$D$8:$D$2007,$A94,'Journal'!$H$8:$H$2007)</f>
      </c>
      <c r="D94" s="11">
        <f>SUMIF('Journal'!$D$8:$D$2007,$A94,'Journal'!$I$8:$I$2007)</f>
      </c>
      <c r="E94" s="11">
        <f>IF($C94-$D94&gt;0,$C94-$D94,0)</f>
      </c>
      <c r="F94" s="11">
        <f>IF($D94-$C94&gt;0,$D94-$C94,0)</f>
      </c>
      <c r="G94" s="11">
        <f>$C94-$D94</f>
      </c>
      <c r="H94" s="10" t="inlineStr">
        <is>
          <t xml:space="preserve">PC_IMP</t>
        </is>
      </c>
      <c r="I94" s="10">
        <v>0</v>
      </c>
      <c r="J94" s="10" t="inlineStr">
        <is>
          <t xml:space="preserve">4</t>
        </is>
      </c>
      <c r="K94" s="10" t="inlineStr">
        <is>
          <t xml:space="preserve">44</t>
        </is>
      </c>
      <c r="L94" s="10" t="inlineStr">
        <is>
          <t xml:space="preserve">445</t>
        </is>
      </c>
    </row>
    <row r="95">
      <c r="A95" s="20" t="inlineStr">
        <is>
          <t xml:space="preserve">4459</t>
        </is>
      </c>
      <c r="B95" s="9" t="inlineStr">
        <is>
          <t xml:space="preserve">TVA à décaisser</t>
        </is>
      </c>
      <c r="C95" s="11">
        <f>SUMIF('Journal'!$D$8:$D$2007,$A95,'Journal'!$H$8:$H$2007)</f>
      </c>
      <c r="D95" s="11">
        <f>SUMIF('Journal'!$D$8:$D$2007,$A95,'Journal'!$I$8:$I$2007)</f>
      </c>
      <c r="E95" s="11">
        <f>IF($C95-$D95&gt;0,$C95-$D95,0)</f>
      </c>
      <c r="F95" s="11">
        <f>IF($D95-$C95&gt;0,$D95-$C95,0)</f>
      </c>
      <c r="G95" s="11">
        <f>$C95-$D95</f>
      </c>
      <c r="H95" s="10" t="inlineStr">
        <is>
          <t xml:space="preserve">PC_IMP</t>
        </is>
      </c>
      <c r="I95" s="10">
        <v>0</v>
      </c>
      <c r="J95" s="10" t="inlineStr">
        <is>
          <t xml:space="preserve">4</t>
        </is>
      </c>
      <c r="K95" s="10" t="inlineStr">
        <is>
          <t xml:space="preserve">44</t>
        </is>
      </c>
      <c r="L95" s="10" t="inlineStr">
        <is>
          <t xml:space="preserve">445</t>
        </is>
      </c>
    </row>
    <row r="96">
      <c r="A96" s="20" t="inlineStr">
        <is>
          <t xml:space="preserve">447</t>
        </is>
      </c>
      <c r="B96" s="9" t="inlineStr">
        <is>
          <t xml:space="preserve">Autres impôts, taxes et versements assimilés (TAP)</t>
        </is>
      </c>
      <c r="C96" s="11">
        <f>SUMIF('Journal'!$D$8:$D$2007,$A96,'Journal'!$H$8:$H$2007)</f>
      </c>
      <c r="D96" s="11">
        <f>SUMIF('Journal'!$D$8:$D$2007,$A96,'Journal'!$I$8:$I$2007)</f>
      </c>
      <c r="E96" s="11">
        <f>IF($C96-$D96&gt;0,$C96-$D96,0)</f>
      </c>
      <c r="F96" s="11">
        <f>IF($D96-$C96&gt;0,$D96-$C96,0)</f>
      </c>
      <c r="G96" s="11">
        <f>$C96-$D96</f>
      </c>
      <c r="H96" s="10" t="inlineStr">
        <is>
          <t xml:space="preserve">PC_IMP</t>
        </is>
      </c>
      <c r="I96" s="10">
        <v>0</v>
      </c>
      <c r="J96" s="10" t="inlineStr">
        <is>
          <t xml:space="preserve">4</t>
        </is>
      </c>
      <c r="K96" s="10" t="inlineStr">
        <is>
          <t xml:space="preserve">44</t>
        </is>
      </c>
      <c r="L96" s="10" t="inlineStr">
        <is>
          <t xml:space="preserve">447</t>
        </is>
      </c>
    </row>
    <row r="97">
      <c r="A97" s="20" t="inlineStr">
        <is>
          <t xml:space="preserve">448</t>
        </is>
      </c>
      <c r="B97" s="9" t="inlineStr">
        <is>
          <t xml:space="preserve">État, charges à payer et produits à recevoir</t>
        </is>
      </c>
      <c r="C97" s="11">
        <f>SUMIF('Journal'!$D$8:$D$2007,$A97,'Journal'!$H$8:$H$2007)</f>
      </c>
      <c r="D97" s="11">
        <f>SUMIF('Journal'!$D$8:$D$2007,$A97,'Journal'!$I$8:$I$2007)</f>
      </c>
      <c r="E97" s="11">
        <f>IF($C97-$D97&gt;0,$C97-$D97,0)</f>
      </c>
      <c r="F97" s="11">
        <f>IF($D97-$C97&gt;0,$D97-$C97,0)</f>
      </c>
      <c r="G97" s="11">
        <f>$C97-$D97</f>
      </c>
      <c r="H97" s="10" t="inlineStr">
        <is>
          <t xml:space="preserve">PC_IMP</t>
        </is>
      </c>
      <c r="I97" s="10">
        <v>0</v>
      </c>
      <c r="J97" s="10" t="inlineStr">
        <is>
          <t xml:space="preserve">4</t>
        </is>
      </c>
      <c r="K97" s="10" t="inlineStr">
        <is>
          <t xml:space="preserve">44</t>
        </is>
      </c>
      <c r="L97" s="10" t="inlineStr">
        <is>
          <t xml:space="preserve">448</t>
        </is>
      </c>
    </row>
    <row r="98">
      <c r="A98" s="20" t="inlineStr">
        <is>
          <t xml:space="preserve">45</t>
        </is>
      </c>
      <c r="B98" s="9" t="inlineStr">
        <is>
          <t xml:space="preserve">Groupe et associés</t>
        </is>
      </c>
      <c r="C98" s="11">
        <f>SUMIF('Journal'!$D$8:$D$2007,$A98,'Journal'!$H$8:$H$2007)</f>
      </c>
      <c r="D98" s="11">
        <f>SUMIF('Journal'!$D$8:$D$2007,$A98,'Journal'!$I$8:$I$2007)</f>
      </c>
      <c r="E98" s="11">
        <f>IF($C98-$D98&gt;0,$C98-$D98,0)</f>
      </c>
      <c r="F98" s="11">
        <f>IF($D98-$C98&gt;0,$D98-$C98,0)</f>
      </c>
      <c r="G98" s="11">
        <f>$C98-$D98</f>
      </c>
      <c r="H98" s="10" t="inlineStr">
        <is>
          <t xml:space="preserve">PC_AUT</t>
        </is>
      </c>
      <c r="I98" s="10">
        <v>0</v>
      </c>
      <c r="J98" s="10" t="inlineStr">
        <is>
          <t xml:space="preserve">4</t>
        </is>
      </c>
      <c r="K98" s="10" t="inlineStr">
        <is>
          <t xml:space="preserve">45</t>
        </is>
      </c>
      <c r="L98" s="10" t="inlineStr">
        <is>
          <t xml:space="preserve">45</t>
        </is>
      </c>
    </row>
    <row r="99">
      <c r="A99" s="20" t="inlineStr">
        <is>
          <t xml:space="preserve">462</t>
        </is>
      </c>
      <c r="B99" s="9" t="inlineStr">
        <is>
          <t xml:space="preserve">Créances sur cessions d'immobilisations</t>
        </is>
      </c>
      <c r="C99" s="11">
        <f>SUMIF('Journal'!$D$8:$D$2007,$A99,'Journal'!$H$8:$H$2007)</f>
      </c>
      <c r="D99" s="11">
        <f>SUMIF('Journal'!$D$8:$D$2007,$A99,'Journal'!$I$8:$I$2007)</f>
      </c>
      <c r="E99" s="11">
        <f>IF($C99-$D99&gt;0,$C99-$D99,0)</f>
      </c>
      <c r="F99" s="11">
        <f>IF($D99-$C99&gt;0,$D99-$C99,0)</f>
      </c>
      <c r="G99" s="11">
        <f>$C99-$D99</f>
      </c>
      <c r="H99" s="10" t="inlineStr">
        <is>
          <t xml:space="preserve">AC_DEB</t>
        </is>
      </c>
      <c r="I99" s="10">
        <v>0</v>
      </c>
      <c r="J99" s="10" t="inlineStr">
        <is>
          <t xml:space="preserve">4</t>
        </is>
      </c>
      <c r="K99" s="10" t="inlineStr">
        <is>
          <t xml:space="preserve">46</t>
        </is>
      </c>
      <c r="L99" s="10" t="inlineStr">
        <is>
          <t xml:space="preserve">462</t>
        </is>
      </c>
    </row>
    <row r="100">
      <c r="A100" s="20" t="inlineStr">
        <is>
          <t xml:space="preserve">467</t>
        </is>
      </c>
      <c r="B100" s="9" t="inlineStr">
        <is>
          <t xml:space="preserve">Autres comptes débiteurs ou créditeurs</t>
        </is>
      </c>
      <c r="C100" s="11">
        <f>SUMIF('Journal'!$D$8:$D$2007,$A100,'Journal'!$H$8:$H$2007)</f>
      </c>
      <c r="D100" s="11">
        <f>SUMIF('Journal'!$D$8:$D$2007,$A100,'Journal'!$I$8:$I$2007)</f>
      </c>
      <c r="E100" s="11">
        <f>IF($C100-$D100&gt;0,$C100-$D100,0)</f>
      </c>
      <c r="F100" s="11">
        <f>IF($D100-$C100&gt;0,$D100-$C100,0)</f>
      </c>
      <c r="G100" s="11">
        <f>$C100-$D100</f>
      </c>
      <c r="H100" s="10" t="inlineStr">
        <is>
          <t xml:space="preserve">AC_DEB</t>
        </is>
      </c>
      <c r="I100" s="10">
        <v>0</v>
      </c>
      <c r="J100" s="10" t="inlineStr">
        <is>
          <t xml:space="preserve">4</t>
        </is>
      </c>
      <c r="K100" s="10" t="inlineStr">
        <is>
          <t xml:space="preserve">46</t>
        </is>
      </c>
      <c r="L100" s="10" t="inlineStr">
        <is>
          <t xml:space="preserve">467</t>
        </is>
      </c>
    </row>
    <row r="101">
      <c r="A101" s="20" t="inlineStr">
        <is>
          <t xml:space="preserve">468</t>
        </is>
      </c>
      <c r="B101" s="9" t="inlineStr">
        <is>
          <t xml:space="preserve">Créditeurs divers</t>
        </is>
      </c>
      <c r="C101" s="11">
        <f>SUMIF('Journal'!$D$8:$D$2007,$A101,'Journal'!$H$8:$H$2007)</f>
      </c>
      <c r="D101" s="11">
        <f>SUMIF('Journal'!$D$8:$D$2007,$A101,'Journal'!$I$8:$I$2007)</f>
      </c>
      <c r="E101" s="11">
        <f>IF($C101-$D101&gt;0,$C101-$D101,0)</f>
      </c>
      <c r="F101" s="11">
        <f>IF($D101-$C101&gt;0,$D101-$C101,0)</f>
      </c>
      <c r="G101" s="11">
        <f>$C101-$D101</f>
      </c>
      <c r="H101" s="10" t="inlineStr">
        <is>
          <t xml:space="preserve">PC_AUT</t>
        </is>
      </c>
      <c r="I101" s="10">
        <v>0</v>
      </c>
      <c r="J101" s="10" t="inlineStr">
        <is>
          <t xml:space="preserve">4</t>
        </is>
      </c>
      <c r="K101" s="10" t="inlineStr">
        <is>
          <t xml:space="preserve">46</t>
        </is>
      </c>
      <c r="L101" s="10" t="inlineStr">
        <is>
          <t xml:space="preserve">468</t>
        </is>
      </c>
    </row>
    <row r="102">
      <c r="A102" s="20" t="inlineStr">
        <is>
          <t xml:space="preserve">47</t>
        </is>
      </c>
      <c r="B102" s="9" t="inlineStr">
        <is>
          <t xml:space="preserve">Comptes transitoires ou d'attente</t>
        </is>
      </c>
      <c r="C102" s="11">
        <f>SUMIF('Journal'!$D$8:$D$2007,$A102,'Journal'!$H$8:$H$2007)</f>
      </c>
      <c r="D102" s="11">
        <f>SUMIF('Journal'!$D$8:$D$2007,$A102,'Journal'!$I$8:$I$2007)</f>
      </c>
      <c r="E102" s="11">
        <f>IF($C102-$D102&gt;0,$C102-$D102,0)</f>
      </c>
      <c r="F102" s="11">
        <f>IF($D102-$C102&gt;0,$D102-$C102,0)</f>
      </c>
      <c r="G102" s="11">
        <f>$C102-$D102</f>
      </c>
      <c r="H102" s="10" t="inlineStr">
        <is>
          <t xml:space="preserve">AC_AUT</t>
        </is>
      </c>
      <c r="I102" s="10">
        <v>0</v>
      </c>
      <c r="J102" s="10" t="inlineStr">
        <is>
          <t xml:space="preserve">4</t>
        </is>
      </c>
      <c r="K102" s="10" t="inlineStr">
        <is>
          <t xml:space="preserve">47</t>
        </is>
      </c>
      <c r="L102" s="10" t="inlineStr">
        <is>
          <t xml:space="preserve">47</t>
        </is>
      </c>
    </row>
    <row r="103">
      <c r="A103" s="20" t="inlineStr">
        <is>
          <t xml:space="preserve">486</t>
        </is>
      </c>
      <c r="B103" s="9" t="inlineStr">
        <is>
          <t xml:space="preserve">Charges constatées d'avance</t>
        </is>
      </c>
      <c r="C103" s="11">
        <f>SUMIF('Journal'!$D$8:$D$2007,$A103,'Journal'!$H$8:$H$2007)</f>
      </c>
      <c r="D103" s="11">
        <f>SUMIF('Journal'!$D$8:$D$2007,$A103,'Journal'!$I$8:$I$2007)</f>
      </c>
      <c r="E103" s="11">
        <f>IF($C103-$D103&gt;0,$C103-$D103,0)</f>
      </c>
      <c r="F103" s="11">
        <f>IF($D103-$C103&gt;0,$D103-$C103,0)</f>
      </c>
      <c r="G103" s="11">
        <f>$C103-$D103</f>
      </c>
      <c r="H103" s="10" t="inlineStr">
        <is>
          <t xml:space="preserve">AC_AUT</t>
        </is>
      </c>
      <c r="I103" s="10">
        <v>0</v>
      </c>
      <c r="J103" s="10" t="inlineStr">
        <is>
          <t xml:space="preserve">4</t>
        </is>
      </c>
      <c r="K103" s="10" t="inlineStr">
        <is>
          <t xml:space="preserve">48</t>
        </is>
      </c>
      <c r="L103" s="10" t="inlineStr">
        <is>
          <t xml:space="preserve">486</t>
        </is>
      </c>
    </row>
    <row r="104">
      <c r="A104" s="20" t="inlineStr">
        <is>
          <t xml:space="preserve">487</t>
        </is>
      </c>
      <c r="B104" s="9" t="inlineStr">
        <is>
          <t xml:space="preserve">Produits constatés d'avance</t>
        </is>
      </c>
      <c r="C104" s="11">
        <f>SUMIF('Journal'!$D$8:$D$2007,$A104,'Journal'!$H$8:$H$2007)</f>
      </c>
      <c r="D104" s="11">
        <f>SUMIF('Journal'!$D$8:$D$2007,$A104,'Journal'!$I$8:$I$2007)</f>
      </c>
      <c r="E104" s="11">
        <f>IF($C104-$D104&gt;0,$C104-$D104,0)</f>
      </c>
      <c r="F104" s="11">
        <f>IF($D104-$C104&gt;0,$D104-$C104,0)</f>
      </c>
      <c r="G104" s="11">
        <f>$C104-$D104</f>
      </c>
      <c r="H104" s="10" t="inlineStr">
        <is>
          <t xml:space="preserve">PN_PRO</t>
        </is>
      </c>
      <c r="I104" s="10">
        <v>0</v>
      </c>
      <c r="J104" s="10" t="inlineStr">
        <is>
          <t xml:space="preserve">4</t>
        </is>
      </c>
      <c r="K104" s="10" t="inlineStr">
        <is>
          <t xml:space="preserve">48</t>
        </is>
      </c>
      <c r="L104" s="10" t="inlineStr">
        <is>
          <t xml:space="preserve">487</t>
        </is>
      </c>
    </row>
    <row r="105">
      <c r="A105" s="20" t="inlineStr">
        <is>
          <t xml:space="preserve">489</t>
        </is>
      </c>
      <c r="B105" s="9" t="inlineStr">
        <is>
          <t xml:space="preserve">Provisions — passifs courants</t>
        </is>
      </c>
      <c r="C105" s="11">
        <f>SUMIF('Journal'!$D$8:$D$2007,$A105,'Journal'!$H$8:$H$2007)</f>
      </c>
      <c r="D105" s="11">
        <f>SUMIF('Journal'!$D$8:$D$2007,$A105,'Journal'!$I$8:$I$2007)</f>
      </c>
      <c r="E105" s="11">
        <f>IF($C105-$D105&gt;0,$C105-$D105,0)</f>
      </c>
      <c r="F105" s="11">
        <f>IF($D105-$C105&gt;0,$D105-$C105,0)</f>
      </c>
      <c r="G105" s="11">
        <f>$C105-$D105</f>
      </c>
      <c r="H105" s="10" t="inlineStr">
        <is>
          <t xml:space="preserve">PC_AUT</t>
        </is>
      </c>
      <c r="I105" s="10">
        <v>0</v>
      </c>
      <c r="J105" s="10" t="inlineStr">
        <is>
          <t xml:space="preserve">4</t>
        </is>
      </c>
      <c r="K105" s="10" t="inlineStr">
        <is>
          <t xml:space="preserve">48</t>
        </is>
      </c>
      <c r="L105" s="10" t="inlineStr">
        <is>
          <t xml:space="preserve">489</t>
        </is>
      </c>
    </row>
    <row r="106">
      <c r="A106" s="20" t="inlineStr">
        <is>
          <t xml:space="preserve">491</t>
        </is>
      </c>
      <c r="B106" s="9" t="inlineStr">
        <is>
          <t xml:space="preserve">Pertes de valeur sur comptes de clients</t>
        </is>
      </c>
      <c r="C106" s="11">
        <f>SUMIF('Journal'!$D$8:$D$2007,$A106,'Journal'!$H$8:$H$2007)</f>
      </c>
      <c r="D106" s="11">
        <f>SUMIF('Journal'!$D$8:$D$2007,$A106,'Journal'!$I$8:$I$2007)</f>
      </c>
      <c r="E106" s="11">
        <f>IF($C106-$D106&gt;0,$C106-$D106,0)</f>
      </c>
      <c r="F106" s="11">
        <f>IF($D106-$C106&gt;0,$D106-$C106,0)</f>
      </c>
      <c r="G106" s="11">
        <f>$C106-$D106</f>
      </c>
      <c r="H106" s="10" t="inlineStr">
        <is>
          <t xml:space="preserve">AC_CLI</t>
        </is>
      </c>
      <c r="I106" s="10">
        <v>1</v>
      </c>
      <c r="J106" s="10" t="inlineStr">
        <is>
          <t xml:space="preserve">4</t>
        </is>
      </c>
      <c r="K106" s="10" t="inlineStr">
        <is>
          <t xml:space="preserve">49</t>
        </is>
      </c>
      <c r="L106" s="10" t="inlineStr">
        <is>
          <t xml:space="preserve">491</t>
        </is>
      </c>
    </row>
    <row r="107">
      <c r="A107" s="20" t="inlineStr">
        <is>
          <t xml:space="preserve">50</t>
        </is>
      </c>
      <c r="B107" s="9" t="inlineStr">
        <is>
          <t xml:space="preserve">Valeurs mobilières de placement</t>
        </is>
      </c>
      <c r="C107" s="11">
        <f>SUMIF('Journal'!$D$8:$D$2007,$A107,'Journal'!$H$8:$H$2007)</f>
      </c>
      <c r="D107" s="11">
        <f>SUMIF('Journal'!$D$8:$D$2007,$A107,'Journal'!$I$8:$I$2007)</f>
      </c>
      <c r="E107" s="11">
        <f>IF($C107-$D107&gt;0,$C107-$D107,0)</f>
      </c>
      <c r="F107" s="11">
        <f>IF($D107-$C107&gt;0,$D107-$C107,0)</f>
      </c>
      <c r="G107" s="11">
        <f>$C107-$D107</f>
      </c>
      <c r="H107" s="10" t="inlineStr">
        <is>
          <t xml:space="preserve">AC_PLA</t>
        </is>
      </c>
      <c r="I107" s="10">
        <v>0</v>
      </c>
      <c r="J107" s="10" t="inlineStr">
        <is>
          <t xml:space="preserve">5</t>
        </is>
      </c>
      <c r="K107" s="10" t="inlineStr">
        <is>
          <t xml:space="preserve">50</t>
        </is>
      </c>
      <c r="L107" s="10" t="inlineStr">
        <is>
          <t xml:space="preserve">50</t>
        </is>
      </c>
    </row>
    <row r="108">
      <c r="A108" s="20" t="inlineStr">
        <is>
          <t xml:space="preserve">511</t>
        </is>
      </c>
      <c r="B108" s="9" t="inlineStr">
        <is>
          <t xml:space="preserve">Valeurs à l'encaissement</t>
        </is>
      </c>
      <c r="C108" s="11">
        <f>SUMIF('Journal'!$D$8:$D$2007,$A108,'Journal'!$H$8:$H$2007)</f>
      </c>
      <c r="D108" s="11">
        <f>SUMIF('Journal'!$D$8:$D$2007,$A108,'Journal'!$I$8:$I$2007)</f>
      </c>
      <c r="E108" s="11">
        <f>IF($C108-$D108&gt;0,$C108-$D108,0)</f>
      </c>
      <c r="F108" s="11">
        <f>IF($D108-$C108&gt;0,$D108-$C108,0)</f>
      </c>
      <c r="G108" s="11">
        <f>$C108-$D108</f>
      </c>
      <c r="H108" s="10" t="inlineStr">
        <is>
          <t xml:space="preserve">AC_TRE</t>
        </is>
      </c>
      <c r="I108" s="10">
        <v>0</v>
      </c>
      <c r="J108" s="10" t="inlineStr">
        <is>
          <t xml:space="preserve">5</t>
        </is>
      </c>
      <c r="K108" s="10" t="inlineStr">
        <is>
          <t xml:space="preserve">51</t>
        </is>
      </c>
      <c r="L108" s="10" t="inlineStr">
        <is>
          <t xml:space="preserve">511</t>
        </is>
      </c>
    </row>
    <row r="109">
      <c r="A109" s="20" t="inlineStr">
        <is>
          <t xml:space="preserve">512</t>
        </is>
      </c>
      <c r="B109" s="9" t="inlineStr">
        <is>
          <t xml:space="preserve">Banques comptes courants</t>
        </is>
      </c>
      <c r="C109" s="11">
        <f>SUMIF('Journal'!$D$8:$D$2007,$A109,'Journal'!$H$8:$H$2007)</f>
      </c>
      <c r="D109" s="11">
        <f>SUMIF('Journal'!$D$8:$D$2007,$A109,'Journal'!$I$8:$I$2007)</f>
      </c>
      <c r="E109" s="11">
        <f>IF($C109-$D109&gt;0,$C109-$D109,0)</f>
      </c>
      <c r="F109" s="11">
        <f>IF($D109-$C109&gt;0,$D109-$C109,0)</f>
      </c>
      <c r="G109" s="11">
        <f>$C109-$D109</f>
      </c>
      <c r="H109" s="10" t="inlineStr">
        <is>
          <t xml:space="preserve">AC_TRE</t>
        </is>
      </c>
      <c r="I109" s="10">
        <v>0</v>
      </c>
      <c r="J109" s="10" t="inlineStr">
        <is>
          <t xml:space="preserve">5</t>
        </is>
      </c>
      <c r="K109" s="10" t="inlineStr">
        <is>
          <t xml:space="preserve">51</t>
        </is>
      </c>
      <c r="L109" s="10" t="inlineStr">
        <is>
          <t xml:space="preserve">512</t>
        </is>
      </c>
    </row>
    <row r="110">
      <c r="A110" s="20" t="inlineStr">
        <is>
          <t xml:space="preserve">515</t>
        </is>
      </c>
      <c r="B110" s="9" t="inlineStr">
        <is>
          <t xml:space="preserve">Trésor public et établissements publics (CCP)</t>
        </is>
      </c>
      <c r="C110" s="11">
        <f>SUMIF('Journal'!$D$8:$D$2007,$A110,'Journal'!$H$8:$H$2007)</f>
      </c>
      <c r="D110" s="11">
        <f>SUMIF('Journal'!$D$8:$D$2007,$A110,'Journal'!$I$8:$I$2007)</f>
      </c>
      <c r="E110" s="11">
        <f>IF($C110-$D110&gt;0,$C110-$D110,0)</f>
      </c>
      <c r="F110" s="11">
        <f>IF($D110-$C110&gt;0,$D110-$C110,0)</f>
      </c>
      <c r="G110" s="11">
        <f>$C110-$D110</f>
      </c>
      <c r="H110" s="10" t="inlineStr">
        <is>
          <t xml:space="preserve">AC_TRE</t>
        </is>
      </c>
      <c r="I110" s="10">
        <v>0</v>
      </c>
      <c r="J110" s="10" t="inlineStr">
        <is>
          <t xml:space="preserve">5</t>
        </is>
      </c>
      <c r="K110" s="10" t="inlineStr">
        <is>
          <t xml:space="preserve">51</t>
        </is>
      </c>
      <c r="L110" s="10" t="inlineStr">
        <is>
          <t xml:space="preserve">515</t>
        </is>
      </c>
    </row>
    <row r="111">
      <c r="A111" s="20" t="inlineStr">
        <is>
          <t xml:space="preserve">517</t>
        </is>
      </c>
      <c r="B111" s="9" t="inlineStr">
        <is>
          <t xml:space="preserve">Autres organismes financiers</t>
        </is>
      </c>
      <c r="C111" s="11">
        <f>SUMIF('Journal'!$D$8:$D$2007,$A111,'Journal'!$H$8:$H$2007)</f>
      </c>
      <c r="D111" s="11">
        <f>SUMIF('Journal'!$D$8:$D$2007,$A111,'Journal'!$I$8:$I$2007)</f>
      </c>
      <c r="E111" s="11">
        <f>IF($C111-$D111&gt;0,$C111-$D111,0)</f>
      </c>
      <c r="F111" s="11">
        <f>IF($D111-$C111&gt;0,$D111-$C111,0)</f>
      </c>
      <c r="G111" s="11">
        <f>$C111-$D111</f>
      </c>
      <c r="H111" s="10" t="inlineStr">
        <is>
          <t xml:space="preserve">AC_TRE</t>
        </is>
      </c>
      <c r="I111" s="10">
        <v>0</v>
      </c>
      <c r="J111" s="10" t="inlineStr">
        <is>
          <t xml:space="preserve">5</t>
        </is>
      </c>
      <c r="K111" s="10" t="inlineStr">
        <is>
          <t xml:space="preserve">51</t>
        </is>
      </c>
      <c r="L111" s="10" t="inlineStr">
        <is>
          <t xml:space="preserve">517</t>
        </is>
      </c>
    </row>
    <row r="112">
      <c r="A112" s="20" t="inlineStr">
        <is>
          <t xml:space="preserve">518</t>
        </is>
      </c>
      <c r="B112" s="9" t="inlineStr">
        <is>
          <t xml:space="preserve">Intérêts courus</t>
        </is>
      </c>
      <c r="C112" s="11">
        <f>SUMIF('Journal'!$D$8:$D$2007,$A112,'Journal'!$H$8:$H$2007)</f>
      </c>
      <c r="D112" s="11">
        <f>SUMIF('Journal'!$D$8:$D$2007,$A112,'Journal'!$I$8:$I$2007)</f>
      </c>
      <c r="E112" s="11">
        <f>IF($C112-$D112&gt;0,$C112-$D112,0)</f>
      </c>
      <c r="F112" s="11">
        <f>IF($D112-$C112&gt;0,$D112-$C112,0)</f>
      </c>
      <c r="G112" s="11">
        <f>$C112-$D112</f>
      </c>
      <c r="H112" s="10" t="inlineStr">
        <is>
          <t xml:space="preserve">AC_TRE</t>
        </is>
      </c>
      <c r="I112" s="10">
        <v>0</v>
      </c>
      <c r="J112" s="10" t="inlineStr">
        <is>
          <t xml:space="preserve">5</t>
        </is>
      </c>
      <c r="K112" s="10" t="inlineStr">
        <is>
          <t xml:space="preserve">51</t>
        </is>
      </c>
      <c r="L112" s="10" t="inlineStr">
        <is>
          <t xml:space="preserve">518</t>
        </is>
      </c>
    </row>
    <row r="113">
      <c r="A113" s="20" t="inlineStr">
        <is>
          <t xml:space="preserve">519</t>
        </is>
      </c>
      <c r="B113" s="9" t="inlineStr">
        <is>
          <t xml:space="preserve">Concours bancaires courants (découverts)</t>
        </is>
      </c>
      <c r="C113" s="11">
        <f>SUMIF('Journal'!$D$8:$D$2007,$A113,'Journal'!$H$8:$H$2007)</f>
      </c>
      <c r="D113" s="11">
        <f>SUMIF('Journal'!$D$8:$D$2007,$A113,'Journal'!$I$8:$I$2007)</f>
      </c>
      <c r="E113" s="11">
        <f>IF($C113-$D113&gt;0,$C113-$D113,0)</f>
      </c>
      <c r="F113" s="11">
        <f>IF($D113-$C113&gt;0,$D113-$C113,0)</f>
      </c>
      <c r="G113" s="11">
        <f>$C113-$D113</f>
      </c>
      <c r="H113" s="10" t="inlineStr">
        <is>
          <t xml:space="preserve">PC_TRE</t>
        </is>
      </c>
      <c r="I113" s="10">
        <v>0</v>
      </c>
      <c r="J113" s="10" t="inlineStr">
        <is>
          <t xml:space="preserve">5</t>
        </is>
      </c>
      <c r="K113" s="10" t="inlineStr">
        <is>
          <t xml:space="preserve">51</t>
        </is>
      </c>
      <c r="L113" s="10" t="inlineStr">
        <is>
          <t xml:space="preserve">519</t>
        </is>
      </c>
    </row>
    <row r="114">
      <c r="A114" s="20" t="inlineStr">
        <is>
          <t xml:space="preserve">52</t>
        </is>
      </c>
      <c r="B114" s="9" t="inlineStr">
        <is>
          <t xml:space="preserve">Instruments financiers dérivés</t>
        </is>
      </c>
      <c r="C114" s="11">
        <f>SUMIF('Journal'!$D$8:$D$2007,$A114,'Journal'!$H$8:$H$2007)</f>
      </c>
      <c r="D114" s="11">
        <f>SUMIF('Journal'!$D$8:$D$2007,$A114,'Journal'!$I$8:$I$2007)</f>
      </c>
      <c r="E114" s="11">
        <f>IF($C114-$D114&gt;0,$C114-$D114,0)</f>
      </c>
      <c r="F114" s="11">
        <f>IF($D114-$C114&gt;0,$D114-$C114,0)</f>
      </c>
      <c r="G114" s="11">
        <f>$C114-$D114</f>
      </c>
      <c r="H114" s="10" t="inlineStr">
        <is>
          <t xml:space="preserve">AC_PLA</t>
        </is>
      </c>
      <c r="I114" s="10">
        <v>0</v>
      </c>
      <c r="J114" s="10" t="inlineStr">
        <is>
          <t xml:space="preserve">5</t>
        </is>
      </c>
      <c r="K114" s="10" t="inlineStr">
        <is>
          <t xml:space="preserve">52</t>
        </is>
      </c>
      <c r="L114" s="10" t="inlineStr">
        <is>
          <t xml:space="preserve">52</t>
        </is>
      </c>
    </row>
    <row r="115">
      <c r="A115" s="20" t="inlineStr">
        <is>
          <t xml:space="preserve">530</t>
        </is>
      </c>
      <c r="B115" s="9" t="inlineStr">
        <is>
          <t xml:space="preserve">Caisse</t>
        </is>
      </c>
      <c r="C115" s="11">
        <f>SUMIF('Journal'!$D$8:$D$2007,$A115,'Journal'!$H$8:$H$2007)</f>
      </c>
      <c r="D115" s="11">
        <f>SUMIF('Journal'!$D$8:$D$2007,$A115,'Journal'!$I$8:$I$2007)</f>
      </c>
      <c r="E115" s="11">
        <f>IF($C115-$D115&gt;0,$C115-$D115,0)</f>
      </c>
      <c r="F115" s="11">
        <f>IF($D115-$C115&gt;0,$D115-$C115,0)</f>
      </c>
      <c r="G115" s="11">
        <f>$C115-$D115</f>
      </c>
      <c r="H115" s="10" t="inlineStr">
        <is>
          <t xml:space="preserve">AC_TRE</t>
        </is>
      </c>
      <c r="I115" s="10">
        <v>0</v>
      </c>
      <c r="J115" s="10" t="inlineStr">
        <is>
          <t xml:space="preserve">5</t>
        </is>
      </c>
      <c r="K115" s="10" t="inlineStr">
        <is>
          <t xml:space="preserve">53</t>
        </is>
      </c>
      <c r="L115" s="10" t="inlineStr">
        <is>
          <t xml:space="preserve">530</t>
        </is>
      </c>
    </row>
    <row r="116">
      <c r="A116" s="20" t="inlineStr">
        <is>
          <t xml:space="preserve">54</t>
        </is>
      </c>
      <c r="B116" s="9" t="inlineStr">
        <is>
          <t xml:space="preserve">Régies d'avances et accréditifs</t>
        </is>
      </c>
      <c r="C116" s="11">
        <f>SUMIF('Journal'!$D$8:$D$2007,$A116,'Journal'!$H$8:$H$2007)</f>
      </c>
      <c r="D116" s="11">
        <f>SUMIF('Journal'!$D$8:$D$2007,$A116,'Journal'!$I$8:$I$2007)</f>
      </c>
      <c r="E116" s="11">
        <f>IF($C116-$D116&gt;0,$C116-$D116,0)</f>
      </c>
      <c r="F116" s="11">
        <f>IF($D116-$C116&gt;0,$D116-$C116,0)</f>
      </c>
      <c r="G116" s="11">
        <f>$C116-$D116</f>
      </c>
      <c r="H116" s="10" t="inlineStr">
        <is>
          <t xml:space="preserve">AC_TRE</t>
        </is>
      </c>
      <c r="I116" s="10">
        <v>0</v>
      </c>
      <c r="J116" s="10" t="inlineStr">
        <is>
          <t xml:space="preserve">5</t>
        </is>
      </c>
      <c r="K116" s="10" t="inlineStr">
        <is>
          <t xml:space="preserve">54</t>
        </is>
      </c>
      <c r="L116" s="10" t="inlineStr">
        <is>
          <t xml:space="preserve">54</t>
        </is>
      </c>
    </row>
    <row r="117">
      <c r="A117" s="20" t="inlineStr">
        <is>
          <t xml:space="preserve">58</t>
        </is>
      </c>
      <c r="B117" s="9" t="inlineStr">
        <is>
          <t xml:space="preserve">Virements internes</t>
        </is>
      </c>
      <c r="C117" s="11">
        <f>SUMIF('Journal'!$D$8:$D$2007,$A117,'Journal'!$H$8:$H$2007)</f>
      </c>
      <c r="D117" s="11">
        <f>SUMIF('Journal'!$D$8:$D$2007,$A117,'Journal'!$I$8:$I$2007)</f>
      </c>
      <c r="E117" s="11">
        <f>IF($C117-$D117&gt;0,$C117-$D117,0)</f>
      </c>
      <c r="F117" s="11">
        <f>IF($D117-$C117&gt;0,$D117-$C117,0)</f>
      </c>
      <c r="G117" s="11">
        <f>$C117-$D117</f>
      </c>
      <c r="H117" s="10" t="inlineStr">
        <is>
          <t xml:space="preserve">AC_TRE</t>
        </is>
      </c>
      <c r="I117" s="10">
        <v>0</v>
      </c>
      <c r="J117" s="10" t="inlineStr">
        <is>
          <t xml:space="preserve">5</t>
        </is>
      </c>
      <c r="K117" s="10" t="inlineStr">
        <is>
          <t xml:space="preserve">58</t>
        </is>
      </c>
      <c r="L117" s="10" t="inlineStr">
        <is>
          <t xml:space="preserve">58</t>
        </is>
      </c>
    </row>
    <row r="118">
      <c r="A118" s="20" t="inlineStr">
        <is>
          <t xml:space="preserve">59</t>
        </is>
      </c>
      <c r="B118" s="9" t="inlineStr">
        <is>
          <t xml:space="preserve">Pertes de valeur sur actifs financiers courants</t>
        </is>
      </c>
      <c r="C118" s="11">
        <f>SUMIF('Journal'!$D$8:$D$2007,$A118,'Journal'!$H$8:$H$2007)</f>
      </c>
      <c r="D118" s="11">
        <f>SUMIF('Journal'!$D$8:$D$2007,$A118,'Journal'!$I$8:$I$2007)</f>
      </c>
      <c r="E118" s="11">
        <f>IF($C118-$D118&gt;0,$C118-$D118,0)</f>
      </c>
      <c r="F118" s="11">
        <f>IF($D118-$C118&gt;0,$D118-$C118,0)</f>
      </c>
      <c r="G118" s="11">
        <f>$C118-$D118</f>
      </c>
      <c r="H118" s="10" t="inlineStr">
        <is>
          <t xml:space="preserve">AC_PLA</t>
        </is>
      </c>
      <c r="I118" s="10">
        <v>1</v>
      </c>
      <c r="J118" s="10" t="inlineStr">
        <is>
          <t xml:space="preserve">5</t>
        </is>
      </c>
      <c r="K118" s="10" t="inlineStr">
        <is>
          <t xml:space="preserve">59</t>
        </is>
      </c>
      <c r="L118" s="10" t="inlineStr">
        <is>
          <t xml:space="preserve">59</t>
        </is>
      </c>
    </row>
    <row r="119">
      <c r="A119" s="20" t="inlineStr">
        <is>
          <t xml:space="preserve">600</t>
        </is>
      </c>
      <c r="B119" s="9" t="inlineStr">
        <is>
          <t xml:space="preserve">Achats de marchandises vendues</t>
        </is>
      </c>
      <c r="C119" s="11">
        <f>SUMIF('Journal'!$D$8:$D$2007,$A119,'Journal'!$H$8:$H$2007)</f>
      </c>
      <c r="D119" s="11">
        <f>SUMIF('Journal'!$D$8:$D$2007,$A119,'Journal'!$I$8:$I$2007)</f>
      </c>
      <c r="E119" s="11">
        <f>IF($C119-$D119&gt;0,$C119-$D119,0)</f>
      </c>
      <c r="F119" s="11">
        <f>IF($D119-$C119&gt;0,$D119-$C119,0)</f>
      </c>
      <c r="G119" s="11">
        <f>$C119-$D119</f>
      </c>
      <c r="H119" s="10"/>
      <c r="I119" s="10">
        <v>0</v>
      </c>
      <c r="J119" s="10" t="inlineStr">
        <is>
          <t xml:space="preserve">6</t>
        </is>
      </c>
      <c r="K119" s="10" t="inlineStr">
        <is>
          <t xml:space="preserve">60</t>
        </is>
      </c>
      <c r="L119" s="10" t="inlineStr">
        <is>
          <t xml:space="preserve">600</t>
        </is>
      </c>
    </row>
    <row r="120">
      <c r="A120" s="20" t="inlineStr">
        <is>
          <t xml:space="preserve">601</t>
        </is>
      </c>
      <c r="B120" s="9" t="inlineStr">
        <is>
          <t xml:space="preserve">Matières premières</t>
        </is>
      </c>
      <c r="C120" s="11">
        <f>SUMIF('Journal'!$D$8:$D$2007,$A120,'Journal'!$H$8:$H$2007)</f>
      </c>
      <c r="D120" s="11">
        <f>SUMIF('Journal'!$D$8:$D$2007,$A120,'Journal'!$I$8:$I$2007)</f>
      </c>
      <c r="E120" s="11">
        <f>IF($C120-$D120&gt;0,$C120-$D120,0)</f>
      </c>
      <c r="F120" s="11">
        <f>IF($D120-$C120&gt;0,$D120-$C120,0)</f>
      </c>
      <c r="G120" s="11">
        <f>$C120-$D120</f>
      </c>
      <c r="H120" s="10"/>
      <c r="I120" s="10">
        <v>0</v>
      </c>
      <c r="J120" s="10" t="inlineStr">
        <is>
          <t xml:space="preserve">6</t>
        </is>
      </c>
      <c r="K120" s="10" t="inlineStr">
        <is>
          <t xml:space="preserve">60</t>
        </is>
      </c>
      <c r="L120" s="10" t="inlineStr">
        <is>
          <t xml:space="preserve">601</t>
        </is>
      </c>
    </row>
    <row r="121">
      <c r="A121" s="20" t="inlineStr">
        <is>
          <t xml:space="preserve">602</t>
        </is>
      </c>
      <c r="B121" s="9" t="inlineStr">
        <is>
          <t xml:space="preserve">Autres approvisionnements</t>
        </is>
      </c>
      <c r="C121" s="11">
        <f>SUMIF('Journal'!$D$8:$D$2007,$A121,'Journal'!$H$8:$H$2007)</f>
      </c>
      <c r="D121" s="11">
        <f>SUMIF('Journal'!$D$8:$D$2007,$A121,'Journal'!$I$8:$I$2007)</f>
      </c>
      <c r="E121" s="11">
        <f>IF($C121-$D121&gt;0,$C121-$D121,0)</f>
      </c>
      <c r="F121" s="11">
        <f>IF($D121-$C121&gt;0,$D121-$C121,0)</f>
      </c>
      <c r="G121" s="11">
        <f>$C121-$D121</f>
      </c>
      <c r="H121" s="10"/>
      <c r="I121" s="10">
        <v>0</v>
      </c>
      <c r="J121" s="10" t="inlineStr">
        <is>
          <t xml:space="preserve">6</t>
        </is>
      </c>
      <c r="K121" s="10" t="inlineStr">
        <is>
          <t xml:space="preserve">60</t>
        </is>
      </c>
      <c r="L121" s="10" t="inlineStr">
        <is>
          <t xml:space="preserve">602</t>
        </is>
      </c>
    </row>
    <row r="122">
      <c r="A122" s="20" t="inlineStr">
        <is>
          <t xml:space="preserve">603</t>
        </is>
      </c>
      <c r="B122" s="9" t="inlineStr">
        <is>
          <t xml:space="preserve">Variation des stocks</t>
        </is>
      </c>
      <c r="C122" s="11">
        <f>SUMIF('Journal'!$D$8:$D$2007,$A122,'Journal'!$H$8:$H$2007)</f>
      </c>
      <c r="D122" s="11">
        <f>SUMIF('Journal'!$D$8:$D$2007,$A122,'Journal'!$I$8:$I$2007)</f>
      </c>
      <c r="E122" s="11">
        <f>IF($C122-$D122&gt;0,$C122-$D122,0)</f>
      </c>
      <c r="F122" s="11">
        <f>IF($D122-$C122&gt;0,$D122-$C122,0)</f>
      </c>
      <c r="G122" s="11">
        <f>$C122-$D122</f>
      </c>
      <c r="H122" s="10"/>
      <c r="I122" s="10">
        <v>0</v>
      </c>
      <c r="J122" s="10" t="inlineStr">
        <is>
          <t xml:space="preserve">6</t>
        </is>
      </c>
      <c r="K122" s="10" t="inlineStr">
        <is>
          <t xml:space="preserve">60</t>
        </is>
      </c>
      <c r="L122" s="10" t="inlineStr">
        <is>
          <t xml:space="preserve">603</t>
        </is>
      </c>
    </row>
    <row r="123">
      <c r="A123" s="20" t="inlineStr">
        <is>
          <t xml:space="preserve">604</t>
        </is>
      </c>
      <c r="B123" s="9" t="inlineStr">
        <is>
          <t xml:space="preserve">Achats d'études et de prestations de services</t>
        </is>
      </c>
      <c r="C123" s="11">
        <f>SUMIF('Journal'!$D$8:$D$2007,$A123,'Journal'!$H$8:$H$2007)</f>
      </c>
      <c r="D123" s="11">
        <f>SUMIF('Journal'!$D$8:$D$2007,$A123,'Journal'!$I$8:$I$2007)</f>
      </c>
      <c r="E123" s="11">
        <f>IF($C123-$D123&gt;0,$C123-$D123,0)</f>
      </c>
      <c r="F123" s="11">
        <f>IF($D123-$C123&gt;0,$D123-$C123,0)</f>
      </c>
      <c r="G123" s="11">
        <f>$C123-$D123</f>
      </c>
      <c r="H123" s="10"/>
      <c r="I123" s="10">
        <v>0</v>
      </c>
      <c r="J123" s="10" t="inlineStr">
        <is>
          <t xml:space="preserve">6</t>
        </is>
      </c>
      <c r="K123" s="10" t="inlineStr">
        <is>
          <t xml:space="preserve">60</t>
        </is>
      </c>
      <c r="L123" s="10" t="inlineStr">
        <is>
          <t xml:space="preserve">604</t>
        </is>
      </c>
    </row>
    <row r="124">
      <c r="A124" s="20" t="inlineStr">
        <is>
          <t xml:space="preserve">605</t>
        </is>
      </c>
      <c r="B124" s="9" t="inlineStr">
        <is>
          <t xml:space="preserve">Achats de matériels, équipements et travaux</t>
        </is>
      </c>
      <c r="C124" s="11">
        <f>SUMIF('Journal'!$D$8:$D$2007,$A124,'Journal'!$H$8:$H$2007)</f>
      </c>
      <c r="D124" s="11">
        <f>SUMIF('Journal'!$D$8:$D$2007,$A124,'Journal'!$I$8:$I$2007)</f>
      </c>
      <c r="E124" s="11">
        <f>IF($C124-$D124&gt;0,$C124-$D124,0)</f>
      </c>
      <c r="F124" s="11">
        <f>IF($D124-$C124&gt;0,$D124-$C124,0)</f>
      </c>
      <c r="G124" s="11">
        <f>$C124-$D124</f>
      </c>
      <c r="H124" s="10"/>
      <c r="I124" s="10">
        <v>0</v>
      </c>
      <c r="J124" s="10" t="inlineStr">
        <is>
          <t xml:space="preserve">6</t>
        </is>
      </c>
      <c r="K124" s="10" t="inlineStr">
        <is>
          <t xml:space="preserve">60</t>
        </is>
      </c>
      <c r="L124" s="10" t="inlineStr">
        <is>
          <t xml:space="preserve">605</t>
        </is>
      </c>
    </row>
    <row r="125">
      <c r="A125" s="20" t="inlineStr">
        <is>
          <t xml:space="preserve">607</t>
        </is>
      </c>
      <c r="B125" s="9" t="inlineStr">
        <is>
          <t xml:space="preserve">Achats non stockés de matières et fournitures</t>
        </is>
      </c>
      <c r="C125" s="11">
        <f>SUMIF('Journal'!$D$8:$D$2007,$A125,'Journal'!$H$8:$H$2007)</f>
      </c>
      <c r="D125" s="11">
        <f>SUMIF('Journal'!$D$8:$D$2007,$A125,'Journal'!$I$8:$I$2007)</f>
      </c>
      <c r="E125" s="11">
        <f>IF($C125-$D125&gt;0,$C125-$D125,0)</f>
      </c>
      <c r="F125" s="11">
        <f>IF($D125-$C125&gt;0,$D125-$C125,0)</f>
      </c>
      <c r="G125" s="11">
        <f>$C125-$D125</f>
      </c>
      <c r="H125" s="10"/>
      <c r="I125" s="10">
        <v>0</v>
      </c>
      <c r="J125" s="10" t="inlineStr">
        <is>
          <t xml:space="preserve">6</t>
        </is>
      </c>
      <c r="K125" s="10" t="inlineStr">
        <is>
          <t xml:space="preserve">60</t>
        </is>
      </c>
      <c r="L125" s="10" t="inlineStr">
        <is>
          <t xml:space="preserve">607</t>
        </is>
      </c>
    </row>
    <row r="126">
      <c r="A126" s="20" t="inlineStr">
        <is>
          <t xml:space="preserve">608</t>
        </is>
      </c>
      <c r="B126" s="9" t="inlineStr">
        <is>
          <t xml:space="preserve">Frais accessoires d'achat</t>
        </is>
      </c>
      <c r="C126" s="11">
        <f>SUMIF('Journal'!$D$8:$D$2007,$A126,'Journal'!$H$8:$H$2007)</f>
      </c>
      <c r="D126" s="11">
        <f>SUMIF('Journal'!$D$8:$D$2007,$A126,'Journal'!$I$8:$I$2007)</f>
      </c>
      <c r="E126" s="11">
        <f>IF($C126-$D126&gt;0,$C126-$D126,0)</f>
      </c>
      <c r="F126" s="11">
        <f>IF($D126-$C126&gt;0,$D126-$C126,0)</f>
      </c>
      <c r="G126" s="11">
        <f>$C126-$D126</f>
      </c>
      <c r="H126" s="10"/>
      <c r="I126" s="10">
        <v>0</v>
      </c>
      <c r="J126" s="10" t="inlineStr">
        <is>
          <t xml:space="preserve">6</t>
        </is>
      </c>
      <c r="K126" s="10" t="inlineStr">
        <is>
          <t xml:space="preserve">60</t>
        </is>
      </c>
      <c r="L126" s="10" t="inlineStr">
        <is>
          <t xml:space="preserve">608</t>
        </is>
      </c>
    </row>
    <row r="127">
      <c r="A127" s="20" t="inlineStr">
        <is>
          <t xml:space="preserve">609</t>
        </is>
      </c>
      <c r="B127" s="9" t="inlineStr">
        <is>
          <t xml:space="preserve">Rabais, remises et ristournes obtenus sur achats</t>
        </is>
      </c>
      <c r="C127" s="11">
        <f>SUMIF('Journal'!$D$8:$D$2007,$A127,'Journal'!$H$8:$H$2007)</f>
      </c>
      <c r="D127" s="11">
        <f>SUMIF('Journal'!$D$8:$D$2007,$A127,'Journal'!$I$8:$I$2007)</f>
      </c>
      <c r="E127" s="11">
        <f>IF($C127-$D127&gt;0,$C127-$D127,0)</f>
      </c>
      <c r="F127" s="11">
        <f>IF($D127-$C127&gt;0,$D127-$C127,0)</f>
      </c>
      <c r="G127" s="11">
        <f>$C127-$D127</f>
      </c>
      <c r="H127" s="10"/>
      <c r="I127" s="10">
        <v>0</v>
      </c>
      <c r="J127" s="10" t="inlineStr">
        <is>
          <t xml:space="preserve">6</t>
        </is>
      </c>
      <c r="K127" s="10" t="inlineStr">
        <is>
          <t xml:space="preserve">60</t>
        </is>
      </c>
      <c r="L127" s="10" t="inlineStr">
        <is>
          <t xml:space="preserve">609</t>
        </is>
      </c>
    </row>
    <row r="128">
      <c r="A128" s="20" t="inlineStr">
        <is>
          <t xml:space="preserve">611</t>
        </is>
      </c>
      <c r="B128" s="9" t="inlineStr">
        <is>
          <t xml:space="preserve">Sous-traitance générale</t>
        </is>
      </c>
      <c r="C128" s="11">
        <f>SUMIF('Journal'!$D$8:$D$2007,$A128,'Journal'!$H$8:$H$2007)</f>
      </c>
      <c r="D128" s="11">
        <f>SUMIF('Journal'!$D$8:$D$2007,$A128,'Journal'!$I$8:$I$2007)</f>
      </c>
      <c r="E128" s="11">
        <f>IF($C128-$D128&gt;0,$C128-$D128,0)</f>
      </c>
      <c r="F128" s="11">
        <f>IF($D128-$C128&gt;0,$D128-$C128,0)</f>
      </c>
      <c r="G128" s="11">
        <f>$C128-$D128</f>
      </c>
      <c r="H128" s="10"/>
      <c r="I128" s="10">
        <v>0</v>
      </c>
      <c r="J128" s="10" t="inlineStr">
        <is>
          <t xml:space="preserve">6</t>
        </is>
      </c>
      <c r="K128" s="10" t="inlineStr">
        <is>
          <t xml:space="preserve">61</t>
        </is>
      </c>
      <c r="L128" s="10" t="inlineStr">
        <is>
          <t xml:space="preserve">611</t>
        </is>
      </c>
    </row>
    <row r="129">
      <c r="A129" s="20" t="inlineStr">
        <is>
          <t xml:space="preserve">613</t>
        </is>
      </c>
      <c r="B129" s="9" t="inlineStr">
        <is>
          <t xml:space="preserve">Locations</t>
        </is>
      </c>
      <c r="C129" s="11">
        <f>SUMIF('Journal'!$D$8:$D$2007,$A129,'Journal'!$H$8:$H$2007)</f>
      </c>
      <c r="D129" s="11">
        <f>SUMIF('Journal'!$D$8:$D$2007,$A129,'Journal'!$I$8:$I$2007)</f>
      </c>
      <c r="E129" s="11">
        <f>IF($C129-$D129&gt;0,$C129-$D129,0)</f>
      </c>
      <c r="F129" s="11">
        <f>IF($D129-$C129&gt;0,$D129-$C129,0)</f>
      </c>
      <c r="G129" s="11">
        <f>$C129-$D129</f>
      </c>
      <c r="H129" s="10"/>
      <c r="I129" s="10">
        <v>0</v>
      </c>
      <c r="J129" s="10" t="inlineStr">
        <is>
          <t xml:space="preserve">6</t>
        </is>
      </c>
      <c r="K129" s="10" t="inlineStr">
        <is>
          <t xml:space="preserve">61</t>
        </is>
      </c>
      <c r="L129" s="10" t="inlineStr">
        <is>
          <t xml:space="preserve">613</t>
        </is>
      </c>
    </row>
    <row r="130">
      <c r="A130" s="20" t="inlineStr">
        <is>
          <t xml:space="preserve">614</t>
        </is>
      </c>
      <c r="B130" s="9" t="inlineStr">
        <is>
          <t xml:space="preserve">Charges locatives et de copropriété</t>
        </is>
      </c>
      <c r="C130" s="11">
        <f>SUMIF('Journal'!$D$8:$D$2007,$A130,'Journal'!$H$8:$H$2007)</f>
      </c>
      <c r="D130" s="11">
        <f>SUMIF('Journal'!$D$8:$D$2007,$A130,'Journal'!$I$8:$I$2007)</f>
      </c>
      <c r="E130" s="11">
        <f>IF($C130-$D130&gt;0,$C130-$D130,0)</f>
      </c>
      <c r="F130" s="11">
        <f>IF($D130-$C130&gt;0,$D130-$C130,0)</f>
      </c>
      <c r="G130" s="11">
        <f>$C130-$D130</f>
      </c>
      <c r="H130" s="10"/>
      <c r="I130" s="10">
        <v>0</v>
      </c>
      <c r="J130" s="10" t="inlineStr">
        <is>
          <t xml:space="preserve">6</t>
        </is>
      </c>
      <c r="K130" s="10" t="inlineStr">
        <is>
          <t xml:space="preserve">61</t>
        </is>
      </c>
      <c r="L130" s="10" t="inlineStr">
        <is>
          <t xml:space="preserve">614</t>
        </is>
      </c>
    </row>
    <row r="131">
      <c r="A131" s="20" t="inlineStr">
        <is>
          <t xml:space="preserve">615</t>
        </is>
      </c>
      <c r="B131" s="9" t="inlineStr">
        <is>
          <t xml:space="preserve">Entretien, réparations et maintenance</t>
        </is>
      </c>
      <c r="C131" s="11">
        <f>SUMIF('Journal'!$D$8:$D$2007,$A131,'Journal'!$H$8:$H$2007)</f>
      </c>
      <c r="D131" s="11">
        <f>SUMIF('Journal'!$D$8:$D$2007,$A131,'Journal'!$I$8:$I$2007)</f>
      </c>
      <c r="E131" s="11">
        <f>IF($C131-$D131&gt;0,$C131-$D131,0)</f>
      </c>
      <c r="F131" s="11">
        <f>IF($D131-$C131&gt;0,$D131-$C131,0)</f>
      </c>
      <c r="G131" s="11">
        <f>$C131-$D131</f>
      </c>
      <c r="H131" s="10"/>
      <c r="I131" s="10">
        <v>0</v>
      </c>
      <c r="J131" s="10" t="inlineStr">
        <is>
          <t xml:space="preserve">6</t>
        </is>
      </c>
      <c r="K131" s="10" t="inlineStr">
        <is>
          <t xml:space="preserve">61</t>
        </is>
      </c>
      <c r="L131" s="10" t="inlineStr">
        <is>
          <t xml:space="preserve">615</t>
        </is>
      </c>
    </row>
    <row r="132">
      <c r="A132" s="20" t="inlineStr">
        <is>
          <t xml:space="preserve">616</t>
        </is>
      </c>
      <c r="B132" s="9" t="inlineStr">
        <is>
          <t xml:space="preserve">Primes d'assurances</t>
        </is>
      </c>
      <c r="C132" s="11">
        <f>SUMIF('Journal'!$D$8:$D$2007,$A132,'Journal'!$H$8:$H$2007)</f>
      </c>
      <c r="D132" s="11">
        <f>SUMIF('Journal'!$D$8:$D$2007,$A132,'Journal'!$I$8:$I$2007)</f>
      </c>
      <c r="E132" s="11">
        <f>IF($C132-$D132&gt;0,$C132-$D132,0)</f>
      </c>
      <c r="F132" s="11">
        <f>IF($D132-$C132&gt;0,$D132-$C132,0)</f>
      </c>
      <c r="G132" s="11">
        <f>$C132-$D132</f>
      </c>
      <c r="H132" s="10"/>
      <c r="I132" s="10">
        <v>0</v>
      </c>
      <c r="J132" s="10" t="inlineStr">
        <is>
          <t xml:space="preserve">6</t>
        </is>
      </c>
      <c r="K132" s="10" t="inlineStr">
        <is>
          <t xml:space="preserve">61</t>
        </is>
      </c>
      <c r="L132" s="10" t="inlineStr">
        <is>
          <t xml:space="preserve">616</t>
        </is>
      </c>
    </row>
    <row r="133">
      <c r="A133" s="20" t="inlineStr">
        <is>
          <t xml:space="preserve">617</t>
        </is>
      </c>
      <c r="B133" s="9" t="inlineStr">
        <is>
          <t xml:space="preserve">Études et recherches</t>
        </is>
      </c>
      <c r="C133" s="11">
        <f>SUMIF('Journal'!$D$8:$D$2007,$A133,'Journal'!$H$8:$H$2007)</f>
      </c>
      <c r="D133" s="11">
        <f>SUMIF('Journal'!$D$8:$D$2007,$A133,'Journal'!$I$8:$I$2007)</f>
      </c>
      <c r="E133" s="11">
        <f>IF($C133-$D133&gt;0,$C133-$D133,0)</f>
      </c>
      <c r="F133" s="11">
        <f>IF($D133-$C133&gt;0,$D133-$C133,0)</f>
      </c>
      <c r="G133" s="11">
        <f>$C133-$D133</f>
      </c>
      <c r="H133" s="10"/>
      <c r="I133" s="10">
        <v>0</v>
      </c>
      <c r="J133" s="10" t="inlineStr">
        <is>
          <t xml:space="preserve">6</t>
        </is>
      </c>
      <c r="K133" s="10" t="inlineStr">
        <is>
          <t xml:space="preserve">61</t>
        </is>
      </c>
      <c r="L133" s="10" t="inlineStr">
        <is>
          <t xml:space="preserve">617</t>
        </is>
      </c>
    </row>
    <row r="134">
      <c r="A134" s="20" t="inlineStr">
        <is>
          <t xml:space="preserve">618</t>
        </is>
      </c>
      <c r="B134" s="9" t="inlineStr">
        <is>
          <t xml:space="preserve">Documentation et divers</t>
        </is>
      </c>
      <c r="C134" s="11">
        <f>SUMIF('Journal'!$D$8:$D$2007,$A134,'Journal'!$H$8:$H$2007)</f>
      </c>
      <c r="D134" s="11">
        <f>SUMIF('Journal'!$D$8:$D$2007,$A134,'Journal'!$I$8:$I$2007)</f>
      </c>
      <c r="E134" s="11">
        <f>IF($C134-$D134&gt;0,$C134-$D134,0)</f>
      </c>
      <c r="F134" s="11">
        <f>IF($D134-$C134&gt;0,$D134-$C134,0)</f>
      </c>
      <c r="G134" s="11">
        <f>$C134-$D134</f>
      </c>
      <c r="H134" s="10"/>
      <c r="I134" s="10">
        <v>0</v>
      </c>
      <c r="J134" s="10" t="inlineStr">
        <is>
          <t xml:space="preserve">6</t>
        </is>
      </c>
      <c r="K134" s="10" t="inlineStr">
        <is>
          <t xml:space="preserve">61</t>
        </is>
      </c>
      <c r="L134" s="10" t="inlineStr">
        <is>
          <t xml:space="preserve">618</t>
        </is>
      </c>
    </row>
    <row r="135">
      <c r="A135" s="20" t="inlineStr">
        <is>
          <t xml:space="preserve">621</t>
        </is>
      </c>
      <c r="B135" s="9" t="inlineStr">
        <is>
          <t xml:space="preserve">Personnel extérieur à l'entreprise</t>
        </is>
      </c>
      <c r="C135" s="11">
        <f>SUMIF('Journal'!$D$8:$D$2007,$A135,'Journal'!$H$8:$H$2007)</f>
      </c>
      <c r="D135" s="11">
        <f>SUMIF('Journal'!$D$8:$D$2007,$A135,'Journal'!$I$8:$I$2007)</f>
      </c>
      <c r="E135" s="11">
        <f>IF($C135-$D135&gt;0,$C135-$D135,0)</f>
      </c>
      <c r="F135" s="11">
        <f>IF($D135-$C135&gt;0,$D135-$C135,0)</f>
      </c>
      <c r="G135" s="11">
        <f>$C135-$D135</f>
      </c>
      <c r="H135" s="10"/>
      <c r="I135" s="10">
        <v>0</v>
      </c>
      <c r="J135" s="10" t="inlineStr">
        <is>
          <t xml:space="preserve">6</t>
        </is>
      </c>
      <c r="K135" s="10" t="inlineStr">
        <is>
          <t xml:space="preserve">62</t>
        </is>
      </c>
      <c r="L135" s="10" t="inlineStr">
        <is>
          <t xml:space="preserve">621</t>
        </is>
      </c>
    </row>
    <row r="136">
      <c r="A136" s="20" t="inlineStr">
        <is>
          <t xml:space="preserve">622</t>
        </is>
      </c>
      <c r="B136" s="9" t="inlineStr">
        <is>
          <t xml:space="preserve">Rémunérations d'intermédiaires et honoraires</t>
        </is>
      </c>
      <c r="C136" s="11">
        <f>SUMIF('Journal'!$D$8:$D$2007,$A136,'Journal'!$H$8:$H$2007)</f>
      </c>
      <c r="D136" s="11">
        <f>SUMIF('Journal'!$D$8:$D$2007,$A136,'Journal'!$I$8:$I$2007)</f>
      </c>
      <c r="E136" s="11">
        <f>IF($C136-$D136&gt;0,$C136-$D136,0)</f>
      </c>
      <c r="F136" s="11">
        <f>IF($D136-$C136&gt;0,$D136-$C136,0)</f>
      </c>
      <c r="G136" s="11">
        <f>$C136-$D136</f>
      </c>
      <c r="H136" s="10"/>
      <c r="I136" s="10">
        <v>0</v>
      </c>
      <c r="J136" s="10" t="inlineStr">
        <is>
          <t xml:space="preserve">6</t>
        </is>
      </c>
      <c r="K136" s="10" t="inlineStr">
        <is>
          <t xml:space="preserve">62</t>
        </is>
      </c>
      <c r="L136" s="10" t="inlineStr">
        <is>
          <t xml:space="preserve">622</t>
        </is>
      </c>
    </row>
    <row r="137">
      <c r="A137" s="20" t="inlineStr">
        <is>
          <t xml:space="preserve">623</t>
        </is>
      </c>
      <c r="B137" s="9" t="inlineStr">
        <is>
          <t xml:space="preserve">Publicité, publications, relations publiques</t>
        </is>
      </c>
      <c r="C137" s="11">
        <f>SUMIF('Journal'!$D$8:$D$2007,$A137,'Journal'!$H$8:$H$2007)</f>
      </c>
      <c r="D137" s="11">
        <f>SUMIF('Journal'!$D$8:$D$2007,$A137,'Journal'!$I$8:$I$2007)</f>
      </c>
      <c r="E137" s="11">
        <f>IF($C137-$D137&gt;0,$C137-$D137,0)</f>
      </c>
      <c r="F137" s="11">
        <f>IF($D137-$C137&gt;0,$D137-$C137,0)</f>
      </c>
      <c r="G137" s="11">
        <f>$C137-$D137</f>
      </c>
      <c r="H137" s="10"/>
      <c r="I137" s="10">
        <v>0</v>
      </c>
      <c r="J137" s="10" t="inlineStr">
        <is>
          <t xml:space="preserve">6</t>
        </is>
      </c>
      <c r="K137" s="10" t="inlineStr">
        <is>
          <t xml:space="preserve">62</t>
        </is>
      </c>
      <c r="L137" s="10" t="inlineStr">
        <is>
          <t xml:space="preserve">623</t>
        </is>
      </c>
    </row>
    <row r="138">
      <c r="A138" s="20" t="inlineStr">
        <is>
          <t xml:space="preserve">624</t>
        </is>
      </c>
      <c r="B138" s="9" t="inlineStr">
        <is>
          <t xml:space="preserve">Transports de biens et du personnel</t>
        </is>
      </c>
      <c r="C138" s="11">
        <f>SUMIF('Journal'!$D$8:$D$2007,$A138,'Journal'!$H$8:$H$2007)</f>
      </c>
      <c r="D138" s="11">
        <f>SUMIF('Journal'!$D$8:$D$2007,$A138,'Journal'!$I$8:$I$2007)</f>
      </c>
      <c r="E138" s="11">
        <f>IF($C138-$D138&gt;0,$C138-$D138,0)</f>
      </c>
      <c r="F138" s="11">
        <f>IF($D138-$C138&gt;0,$D138-$C138,0)</f>
      </c>
      <c r="G138" s="11">
        <f>$C138-$D138</f>
      </c>
      <c r="H138" s="10"/>
      <c r="I138" s="10">
        <v>0</v>
      </c>
      <c r="J138" s="10" t="inlineStr">
        <is>
          <t xml:space="preserve">6</t>
        </is>
      </c>
      <c r="K138" s="10" t="inlineStr">
        <is>
          <t xml:space="preserve">62</t>
        </is>
      </c>
      <c r="L138" s="10" t="inlineStr">
        <is>
          <t xml:space="preserve">624</t>
        </is>
      </c>
    </row>
    <row r="139">
      <c r="A139" s="20" t="inlineStr">
        <is>
          <t xml:space="preserve">625</t>
        </is>
      </c>
      <c r="B139" s="9" t="inlineStr">
        <is>
          <t xml:space="preserve">Déplacements, missions et réceptions</t>
        </is>
      </c>
      <c r="C139" s="11">
        <f>SUMIF('Journal'!$D$8:$D$2007,$A139,'Journal'!$H$8:$H$2007)</f>
      </c>
      <c r="D139" s="11">
        <f>SUMIF('Journal'!$D$8:$D$2007,$A139,'Journal'!$I$8:$I$2007)</f>
      </c>
      <c r="E139" s="11">
        <f>IF($C139-$D139&gt;0,$C139-$D139,0)</f>
      </c>
      <c r="F139" s="11">
        <f>IF($D139-$C139&gt;0,$D139-$C139,0)</f>
      </c>
      <c r="G139" s="11">
        <f>$C139-$D139</f>
      </c>
      <c r="H139" s="10"/>
      <c r="I139" s="10">
        <v>0</v>
      </c>
      <c r="J139" s="10" t="inlineStr">
        <is>
          <t xml:space="preserve">6</t>
        </is>
      </c>
      <c r="K139" s="10" t="inlineStr">
        <is>
          <t xml:space="preserve">62</t>
        </is>
      </c>
      <c r="L139" s="10" t="inlineStr">
        <is>
          <t xml:space="preserve">625</t>
        </is>
      </c>
    </row>
    <row r="140">
      <c r="A140" s="20" t="inlineStr">
        <is>
          <t xml:space="preserve">626</t>
        </is>
      </c>
      <c r="B140" s="9" t="inlineStr">
        <is>
          <t xml:space="preserve">Frais postaux et de télécommunications</t>
        </is>
      </c>
      <c r="C140" s="11">
        <f>SUMIF('Journal'!$D$8:$D$2007,$A140,'Journal'!$H$8:$H$2007)</f>
      </c>
      <c r="D140" s="11">
        <f>SUMIF('Journal'!$D$8:$D$2007,$A140,'Journal'!$I$8:$I$2007)</f>
      </c>
      <c r="E140" s="11">
        <f>IF($C140-$D140&gt;0,$C140-$D140,0)</f>
      </c>
      <c r="F140" s="11">
        <f>IF($D140-$C140&gt;0,$D140-$C140,0)</f>
      </c>
      <c r="G140" s="11">
        <f>$C140-$D140</f>
      </c>
      <c r="H140" s="10"/>
      <c r="I140" s="10">
        <v>0</v>
      </c>
      <c r="J140" s="10" t="inlineStr">
        <is>
          <t xml:space="preserve">6</t>
        </is>
      </c>
      <c r="K140" s="10" t="inlineStr">
        <is>
          <t xml:space="preserve">62</t>
        </is>
      </c>
      <c r="L140" s="10" t="inlineStr">
        <is>
          <t xml:space="preserve">626</t>
        </is>
      </c>
    </row>
    <row r="141">
      <c r="A141" s="20" t="inlineStr">
        <is>
          <t xml:space="preserve">627</t>
        </is>
      </c>
      <c r="B141" s="9" t="inlineStr">
        <is>
          <t xml:space="preserve">Services bancaires et assimilés</t>
        </is>
      </c>
      <c r="C141" s="11">
        <f>SUMIF('Journal'!$D$8:$D$2007,$A141,'Journal'!$H$8:$H$2007)</f>
      </c>
      <c r="D141" s="11">
        <f>SUMIF('Journal'!$D$8:$D$2007,$A141,'Journal'!$I$8:$I$2007)</f>
      </c>
      <c r="E141" s="11">
        <f>IF($C141-$D141&gt;0,$C141-$D141,0)</f>
      </c>
      <c r="F141" s="11">
        <f>IF($D141-$C141&gt;0,$D141-$C141,0)</f>
      </c>
      <c r="G141" s="11">
        <f>$C141-$D141</f>
      </c>
      <c r="H141" s="10"/>
      <c r="I141" s="10">
        <v>0</v>
      </c>
      <c r="J141" s="10" t="inlineStr">
        <is>
          <t xml:space="preserve">6</t>
        </is>
      </c>
      <c r="K141" s="10" t="inlineStr">
        <is>
          <t xml:space="preserve">62</t>
        </is>
      </c>
      <c r="L141" s="10" t="inlineStr">
        <is>
          <t xml:space="preserve">627</t>
        </is>
      </c>
    </row>
    <row r="142">
      <c r="A142" s="20" t="inlineStr">
        <is>
          <t xml:space="preserve">628</t>
        </is>
      </c>
      <c r="B142" s="9" t="inlineStr">
        <is>
          <t xml:space="preserve">Cotisations et divers</t>
        </is>
      </c>
      <c r="C142" s="11">
        <f>SUMIF('Journal'!$D$8:$D$2007,$A142,'Journal'!$H$8:$H$2007)</f>
      </c>
      <c r="D142" s="11">
        <f>SUMIF('Journal'!$D$8:$D$2007,$A142,'Journal'!$I$8:$I$2007)</f>
      </c>
      <c r="E142" s="11">
        <f>IF($C142-$D142&gt;0,$C142-$D142,0)</f>
      </c>
      <c r="F142" s="11">
        <f>IF($D142-$C142&gt;0,$D142-$C142,0)</f>
      </c>
      <c r="G142" s="11">
        <f>$C142-$D142</f>
      </c>
      <c r="H142" s="10"/>
      <c r="I142" s="10">
        <v>0</v>
      </c>
      <c r="J142" s="10" t="inlineStr">
        <is>
          <t xml:space="preserve">6</t>
        </is>
      </c>
      <c r="K142" s="10" t="inlineStr">
        <is>
          <t xml:space="preserve">62</t>
        </is>
      </c>
      <c r="L142" s="10" t="inlineStr">
        <is>
          <t xml:space="preserve">628</t>
        </is>
      </c>
    </row>
    <row r="143">
      <c r="A143" s="20" t="inlineStr">
        <is>
          <t xml:space="preserve">631</t>
        </is>
      </c>
      <c r="B143" s="9" t="inlineStr">
        <is>
          <t xml:space="preserve">Rémunérations du personnel</t>
        </is>
      </c>
      <c r="C143" s="11">
        <f>SUMIF('Journal'!$D$8:$D$2007,$A143,'Journal'!$H$8:$H$2007)</f>
      </c>
      <c r="D143" s="11">
        <f>SUMIF('Journal'!$D$8:$D$2007,$A143,'Journal'!$I$8:$I$2007)</f>
      </c>
      <c r="E143" s="11">
        <f>IF($C143-$D143&gt;0,$C143-$D143,0)</f>
      </c>
      <c r="F143" s="11">
        <f>IF($D143-$C143&gt;0,$D143-$C143,0)</f>
      </c>
      <c r="G143" s="11">
        <f>$C143-$D143</f>
      </c>
      <c r="H143" s="10"/>
      <c r="I143" s="10">
        <v>0</v>
      </c>
      <c r="J143" s="10" t="inlineStr">
        <is>
          <t xml:space="preserve">6</t>
        </is>
      </c>
      <c r="K143" s="10" t="inlineStr">
        <is>
          <t xml:space="preserve">63</t>
        </is>
      </c>
      <c r="L143" s="10" t="inlineStr">
        <is>
          <t xml:space="preserve">631</t>
        </is>
      </c>
    </row>
    <row r="144">
      <c r="A144" s="20" t="inlineStr">
        <is>
          <t xml:space="preserve">634</t>
        </is>
      </c>
      <c r="B144" s="9" t="inlineStr">
        <is>
          <t xml:space="preserve">Rémunération de l'exploitant individuel</t>
        </is>
      </c>
      <c r="C144" s="11">
        <f>SUMIF('Journal'!$D$8:$D$2007,$A144,'Journal'!$H$8:$H$2007)</f>
      </c>
      <c r="D144" s="11">
        <f>SUMIF('Journal'!$D$8:$D$2007,$A144,'Journal'!$I$8:$I$2007)</f>
      </c>
      <c r="E144" s="11">
        <f>IF($C144-$D144&gt;0,$C144-$D144,0)</f>
      </c>
      <c r="F144" s="11">
        <f>IF($D144-$C144&gt;0,$D144-$C144,0)</f>
      </c>
      <c r="G144" s="11">
        <f>$C144-$D144</f>
      </c>
      <c r="H144" s="10"/>
      <c r="I144" s="10">
        <v>0</v>
      </c>
      <c r="J144" s="10" t="inlineStr">
        <is>
          <t xml:space="preserve">6</t>
        </is>
      </c>
      <c r="K144" s="10" t="inlineStr">
        <is>
          <t xml:space="preserve">63</t>
        </is>
      </c>
      <c r="L144" s="10" t="inlineStr">
        <is>
          <t xml:space="preserve">634</t>
        </is>
      </c>
    </row>
    <row r="145">
      <c r="A145" s="20" t="inlineStr">
        <is>
          <t xml:space="preserve">635</t>
        </is>
      </c>
      <c r="B145" s="9" t="inlineStr">
        <is>
          <t xml:space="preserve">Cotisations aux organismes sociaux</t>
        </is>
      </c>
      <c r="C145" s="11">
        <f>SUMIF('Journal'!$D$8:$D$2007,$A145,'Journal'!$H$8:$H$2007)</f>
      </c>
      <c r="D145" s="11">
        <f>SUMIF('Journal'!$D$8:$D$2007,$A145,'Journal'!$I$8:$I$2007)</f>
      </c>
      <c r="E145" s="11">
        <f>IF($C145-$D145&gt;0,$C145-$D145,0)</f>
      </c>
      <c r="F145" s="11">
        <f>IF($D145-$C145&gt;0,$D145-$C145,0)</f>
      </c>
      <c r="G145" s="11">
        <f>$C145-$D145</f>
      </c>
      <c r="H145" s="10"/>
      <c r="I145" s="10">
        <v>0</v>
      </c>
      <c r="J145" s="10" t="inlineStr">
        <is>
          <t xml:space="preserve">6</t>
        </is>
      </c>
      <c r="K145" s="10" t="inlineStr">
        <is>
          <t xml:space="preserve">63</t>
        </is>
      </c>
      <c r="L145" s="10" t="inlineStr">
        <is>
          <t xml:space="preserve">635</t>
        </is>
      </c>
    </row>
    <row r="146">
      <c r="A146" s="20" t="inlineStr">
        <is>
          <t xml:space="preserve">636</t>
        </is>
      </c>
      <c r="B146" s="9" t="inlineStr">
        <is>
          <t xml:space="preserve">Charges sociales de l'exploitant individuel</t>
        </is>
      </c>
      <c r="C146" s="11">
        <f>SUMIF('Journal'!$D$8:$D$2007,$A146,'Journal'!$H$8:$H$2007)</f>
      </c>
      <c r="D146" s="11">
        <f>SUMIF('Journal'!$D$8:$D$2007,$A146,'Journal'!$I$8:$I$2007)</f>
      </c>
      <c r="E146" s="11">
        <f>IF($C146-$D146&gt;0,$C146-$D146,0)</f>
      </c>
      <c r="F146" s="11">
        <f>IF($D146-$C146&gt;0,$D146-$C146,0)</f>
      </c>
      <c r="G146" s="11">
        <f>$C146-$D146</f>
      </c>
      <c r="H146" s="10"/>
      <c r="I146" s="10">
        <v>0</v>
      </c>
      <c r="J146" s="10" t="inlineStr">
        <is>
          <t xml:space="preserve">6</t>
        </is>
      </c>
      <c r="K146" s="10" t="inlineStr">
        <is>
          <t xml:space="preserve">63</t>
        </is>
      </c>
      <c r="L146" s="10" t="inlineStr">
        <is>
          <t xml:space="preserve">636</t>
        </is>
      </c>
    </row>
    <row r="147">
      <c r="A147" s="20" t="inlineStr">
        <is>
          <t xml:space="preserve">638</t>
        </is>
      </c>
      <c r="B147" s="9" t="inlineStr">
        <is>
          <t xml:space="preserve">Autres charges sociales</t>
        </is>
      </c>
      <c r="C147" s="11">
        <f>SUMIF('Journal'!$D$8:$D$2007,$A147,'Journal'!$H$8:$H$2007)</f>
      </c>
      <c r="D147" s="11">
        <f>SUMIF('Journal'!$D$8:$D$2007,$A147,'Journal'!$I$8:$I$2007)</f>
      </c>
      <c r="E147" s="11">
        <f>IF($C147-$D147&gt;0,$C147-$D147,0)</f>
      </c>
      <c r="F147" s="11">
        <f>IF($D147-$C147&gt;0,$D147-$C147,0)</f>
      </c>
      <c r="G147" s="11">
        <f>$C147-$D147</f>
      </c>
      <c r="H147" s="10"/>
      <c r="I147" s="10">
        <v>0</v>
      </c>
      <c r="J147" s="10" t="inlineStr">
        <is>
          <t xml:space="preserve">6</t>
        </is>
      </c>
      <c r="K147" s="10" t="inlineStr">
        <is>
          <t xml:space="preserve">63</t>
        </is>
      </c>
      <c r="L147" s="10" t="inlineStr">
        <is>
          <t xml:space="preserve">638</t>
        </is>
      </c>
    </row>
    <row r="148">
      <c r="A148" s="20" t="inlineStr">
        <is>
          <t xml:space="preserve">641</t>
        </is>
      </c>
      <c r="B148" s="9" t="inlineStr">
        <is>
          <t xml:space="preserve">Impôts et taxes non récupérables sur le chiffre d'affaires (TAP)</t>
        </is>
      </c>
      <c r="C148" s="11">
        <f>SUMIF('Journal'!$D$8:$D$2007,$A148,'Journal'!$H$8:$H$2007)</f>
      </c>
      <c r="D148" s="11">
        <f>SUMIF('Journal'!$D$8:$D$2007,$A148,'Journal'!$I$8:$I$2007)</f>
      </c>
      <c r="E148" s="11">
        <f>IF($C148-$D148&gt;0,$C148-$D148,0)</f>
      </c>
      <c r="F148" s="11">
        <f>IF($D148-$C148&gt;0,$D148-$C148,0)</f>
      </c>
      <c r="G148" s="11">
        <f>$C148-$D148</f>
      </c>
      <c r="H148" s="10"/>
      <c r="I148" s="10">
        <v>0</v>
      </c>
      <c r="J148" s="10" t="inlineStr">
        <is>
          <t xml:space="preserve">6</t>
        </is>
      </c>
      <c r="K148" s="10" t="inlineStr">
        <is>
          <t xml:space="preserve">64</t>
        </is>
      </c>
      <c r="L148" s="10" t="inlineStr">
        <is>
          <t xml:space="preserve">641</t>
        </is>
      </c>
    </row>
    <row r="149">
      <c r="A149" s="20" t="inlineStr">
        <is>
          <t xml:space="preserve">642</t>
        </is>
      </c>
      <c r="B149" s="9" t="inlineStr">
        <is>
          <t xml:space="preserve">Impôts et taxes non récupérables sur rémunérations</t>
        </is>
      </c>
      <c r="C149" s="11">
        <f>SUMIF('Journal'!$D$8:$D$2007,$A149,'Journal'!$H$8:$H$2007)</f>
      </c>
      <c r="D149" s="11">
        <f>SUMIF('Journal'!$D$8:$D$2007,$A149,'Journal'!$I$8:$I$2007)</f>
      </c>
      <c r="E149" s="11">
        <f>IF($C149-$D149&gt;0,$C149-$D149,0)</f>
      </c>
      <c r="F149" s="11">
        <f>IF($D149-$C149&gt;0,$D149-$C149,0)</f>
      </c>
      <c r="G149" s="11">
        <f>$C149-$D149</f>
      </c>
      <c r="H149" s="10"/>
      <c r="I149" s="10">
        <v>0</v>
      </c>
      <c r="J149" s="10" t="inlineStr">
        <is>
          <t xml:space="preserve">6</t>
        </is>
      </c>
      <c r="K149" s="10" t="inlineStr">
        <is>
          <t xml:space="preserve">64</t>
        </is>
      </c>
      <c r="L149" s="10" t="inlineStr">
        <is>
          <t xml:space="preserve">642</t>
        </is>
      </c>
    </row>
    <row r="150">
      <c r="A150" s="20" t="inlineStr">
        <is>
          <t xml:space="preserve">645</t>
        </is>
      </c>
      <c r="B150" s="9" t="inlineStr">
        <is>
          <t xml:space="preserve">Autres impôts et taxes (droit de timbre supporté)</t>
        </is>
      </c>
      <c r="C150" s="11">
        <f>SUMIF('Journal'!$D$8:$D$2007,$A150,'Journal'!$H$8:$H$2007)</f>
      </c>
      <c r="D150" s="11">
        <f>SUMIF('Journal'!$D$8:$D$2007,$A150,'Journal'!$I$8:$I$2007)</f>
      </c>
      <c r="E150" s="11">
        <f>IF($C150-$D150&gt;0,$C150-$D150,0)</f>
      </c>
      <c r="F150" s="11">
        <f>IF($D150-$C150&gt;0,$D150-$C150,0)</f>
      </c>
      <c r="G150" s="11">
        <f>$C150-$D150</f>
      </c>
      <c r="H150" s="10"/>
      <c r="I150" s="10">
        <v>0</v>
      </c>
      <c r="J150" s="10" t="inlineStr">
        <is>
          <t xml:space="preserve">6</t>
        </is>
      </c>
      <c r="K150" s="10" t="inlineStr">
        <is>
          <t xml:space="preserve">64</t>
        </is>
      </c>
      <c r="L150" s="10" t="inlineStr">
        <is>
          <t xml:space="preserve">645</t>
        </is>
      </c>
    </row>
    <row r="151">
      <c r="A151" s="20" t="inlineStr">
        <is>
          <t xml:space="preserve">651</t>
        </is>
      </c>
      <c r="B151" s="9" t="inlineStr">
        <is>
          <t xml:space="preserve">Redevances pour concessions, brevets, licences</t>
        </is>
      </c>
      <c r="C151" s="11">
        <f>SUMIF('Journal'!$D$8:$D$2007,$A151,'Journal'!$H$8:$H$2007)</f>
      </c>
      <c r="D151" s="11">
        <f>SUMIF('Journal'!$D$8:$D$2007,$A151,'Journal'!$I$8:$I$2007)</f>
      </c>
      <c r="E151" s="11">
        <f>IF($C151-$D151&gt;0,$C151-$D151,0)</f>
      </c>
      <c r="F151" s="11">
        <f>IF($D151-$C151&gt;0,$D151-$C151,0)</f>
      </c>
      <c r="G151" s="11">
        <f>$C151-$D151</f>
      </c>
      <c r="H151" s="10"/>
      <c r="I151" s="10">
        <v>0</v>
      </c>
      <c r="J151" s="10" t="inlineStr">
        <is>
          <t xml:space="preserve">6</t>
        </is>
      </c>
      <c r="K151" s="10" t="inlineStr">
        <is>
          <t xml:space="preserve">65</t>
        </is>
      </c>
      <c r="L151" s="10" t="inlineStr">
        <is>
          <t xml:space="preserve">651</t>
        </is>
      </c>
    </row>
    <row r="152">
      <c r="A152" s="20" t="inlineStr">
        <is>
          <t xml:space="preserve">654</t>
        </is>
      </c>
      <c r="B152" s="9" t="inlineStr">
        <is>
          <t xml:space="preserve">Pertes sur créances irrécouvrables</t>
        </is>
      </c>
      <c r="C152" s="11">
        <f>SUMIF('Journal'!$D$8:$D$2007,$A152,'Journal'!$H$8:$H$2007)</f>
      </c>
      <c r="D152" s="11">
        <f>SUMIF('Journal'!$D$8:$D$2007,$A152,'Journal'!$I$8:$I$2007)</f>
      </c>
      <c r="E152" s="11">
        <f>IF($C152-$D152&gt;0,$C152-$D152,0)</f>
      </c>
      <c r="F152" s="11">
        <f>IF($D152-$C152&gt;0,$D152-$C152,0)</f>
      </c>
      <c r="G152" s="11">
        <f>$C152-$D152</f>
      </c>
      <c r="H152" s="10"/>
      <c r="I152" s="10">
        <v>0</v>
      </c>
      <c r="J152" s="10" t="inlineStr">
        <is>
          <t xml:space="preserve">6</t>
        </is>
      </c>
      <c r="K152" s="10" t="inlineStr">
        <is>
          <t xml:space="preserve">65</t>
        </is>
      </c>
      <c r="L152" s="10" t="inlineStr">
        <is>
          <t xml:space="preserve">654</t>
        </is>
      </c>
    </row>
    <row r="153">
      <c r="A153" s="20" t="inlineStr">
        <is>
          <t xml:space="preserve">656</t>
        </is>
      </c>
      <c r="B153" s="9" t="inlineStr">
        <is>
          <t xml:space="preserve">Amendes et pénalités</t>
        </is>
      </c>
      <c r="C153" s="11">
        <f>SUMIF('Journal'!$D$8:$D$2007,$A153,'Journal'!$H$8:$H$2007)</f>
      </c>
      <c r="D153" s="11">
        <f>SUMIF('Journal'!$D$8:$D$2007,$A153,'Journal'!$I$8:$I$2007)</f>
      </c>
      <c r="E153" s="11">
        <f>IF($C153-$D153&gt;0,$C153-$D153,0)</f>
      </c>
      <c r="F153" s="11">
        <f>IF($D153-$C153&gt;0,$D153-$C153,0)</f>
      </c>
      <c r="G153" s="11">
        <f>$C153-$D153</f>
      </c>
      <c r="H153" s="10"/>
      <c r="I153" s="10">
        <v>0</v>
      </c>
      <c r="J153" s="10" t="inlineStr">
        <is>
          <t xml:space="preserve">6</t>
        </is>
      </c>
      <c r="K153" s="10" t="inlineStr">
        <is>
          <t xml:space="preserve">65</t>
        </is>
      </c>
      <c r="L153" s="10" t="inlineStr">
        <is>
          <t xml:space="preserve">656</t>
        </is>
      </c>
    </row>
    <row r="154">
      <c r="A154" s="20" t="inlineStr">
        <is>
          <t xml:space="preserve">657</t>
        </is>
      </c>
      <c r="B154" s="9" t="inlineStr">
        <is>
          <t xml:space="preserve">Charges exceptionnelles de gestion courante</t>
        </is>
      </c>
      <c r="C154" s="11">
        <f>SUMIF('Journal'!$D$8:$D$2007,$A154,'Journal'!$H$8:$H$2007)</f>
      </c>
      <c r="D154" s="11">
        <f>SUMIF('Journal'!$D$8:$D$2007,$A154,'Journal'!$I$8:$I$2007)</f>
      </c>
      <c r="E154" s="11">
        <f>IF($C154-$D154&gt;0,$C154-$D154,0)</f>
      </c>
      <c r="F154" s="11">
        <f>IF($D154-$C154&gt;0,$D154-$C154,0)</f>
      </c>
      <c r="G154" s="11">
        <f>$C154-$D154</f>
      </c>
      <c r="H154" s="10"/>
      <c r="I154" s="10">
        <v>0</v>
      </c>
      <c r="J154" s="10" t="inlineStr">
        <is>
          <t xml:space="preserve">6</t>
        </is>
      </c>
      <c r="K154" s="10" t="inlineStr">
        <is>
          <t xml:space="preserve">65</t>
        </is>
      </c>
      <c r="L154" s="10" t="inlineStr">
        <is>
          <t xml:space="preserve">657</t>
        </is>
      </c>
    </row>
    <row r="155">
      <c r="A155" s="20" t="inlineStr">
        <is>
          <t xml:space="preserve">658</t>
        </is>
      </c>
      <c r="B155" s="9" t="inlineStr">
        <is>
          <t xml:space="preserve">Autres charges de gestion courante</t>
        </is>
      </c>
      <c r="C155" s="11">
        <f>SUMIF('Journal'!$D$8:$D$2007,$A155,'Journal'!$H$8:$H$2007)</f>
      </c>
      <c r="D155" s="11">
        <f>SUMIF('Journal'!$D$8:$D$2007,$A155,'Journal'!$I$8:$I$2007)</f>
      </c>
      <c r="E155" s="11">
        <f>IF($C155-$D155&gt;0,$C155-$D155,0)</f>
      </c>
      <c r="F155" s="11">
        <f>IF($D155-$C155&gt;0,$D155-$C155,0)</f>
      </c>
      <c r="G155" s="11">
        <f>$C155-$D155</f>
      </c>
      <c r="H155" s="10"/>
      <c r="I155" s="10">
        <v>0</v>
      </c>
      <c r="J155" s="10" t="inlineStr">
        <is>
          <t xml:space="preserve">6</t>
        </is>
      </c>
      <c r="K155" s="10" t="inlineStr">
        <is>
          <t xml:space="preserve">65</t>
        </is>
      </c>
      <c r="L155" s="10" t="inlineStr">
        <is>
          <t xml:space="preserve">658</t>
        </is>
      </c>
    </row>
    <row r="156">
      <c r="A156" s="20" t="inlineStr">
        <is>
          <t xml:space="preserve">661</t>
        </is>
      </c>
      <c r="B156" s="9" t="inlineStr">
        <is>
          <t xml:space="preserve">Charges d'intérêts</t>
        </is>
      </c>
      <c r="C156" s="11">
        <f>SUMIF('Journal'!$D$8:$D$2007,$A156,'Journal'!$H$8:$H$2007)</f>
      </c>
      <c r="D156" s="11">
        <f>SUMIF('Journal'!$D$8:$D$2007,$A156,'Journal'!$I$8:$I$2007)</f>
      </c>
      <c r="E156" s="11">
        <f>IF($C156-$D156&gt;0,$C156-$D156,0)</f>
      </c>
      <c r="F156" s="11">
        <f>IF($D156-$C156&gt;0,$D156-$C156,0)</f>
      </c>
      <c r="G156" s="11">
        <f>$C156-$D156</f>
      </c>
      <c r="H156" s="10"/>
      <c r="I156" s="10">
        <v>0</v>
      </c>
      <c r="J156" s="10" t="inlineStr">
        <is>
          <t xml:space="preserve">6</t>
        </is>
      </c>
      <c r="K156" s="10" t="inlineStr">
        <is>
          <t xml:space="preserve">66</t>
        </is>
      </c>
      <c r="L156" s="10" t="inlineStr">
        <is>
          <t xml:space="preserve">661</t>
        </is>
      </c>
    </row>
    <row r="157">
      <c r="A157" s="20" t="inlineStr">
        <is>
          <t xml:space="preserve">666</t>
        </is>
      </c>
      <c r="B157" s="9" t="inlineStr">
        <is>
          <t xml:space="preserve">Pertes de change</t>
        </is>
      </c>
      <c r="C157" s="11">
        <f>SUMIF('Journal'!$D$8:$D$2007,$A157,'Journal'!$H$8:$H$2007)</f>
      </c>
      <c r="D157" s="11">
        <f>SUMIF('Journal'!$D$8:$D$2007,$A157,'Journal'!$I$8:$I$2007)</f>
      </c>
      <c r="E157" s="11">
        <f>IF($C157-$D157&gt;0,$C157-$D157,0)</f>
      </c>
      <c r="F157" s="11">
        <f>IF($D157-$C157&gt;0,$D157-$C157,0)</f>
      </c>
      <c r="G157" s="11">
        <f>$C157-$D157</f>
      </c>
      <c r="H157" s="10"/>
      <c r="I157" s="10">
        <v>0</v>
      </c>
      <c r="J157" s="10" t="inlineStr">
        <is>
          <t xml:space="preserve">6</t>
        </is>
      </c>
      <c r="K157" s="10" t="inlineStr">
        <is>
          <t xml:space="preserve">66</t>
        </is>
      </c>
      <c r="L157" s="10" t="inlineStr">
        <is>
          <t xml:space="preserve">666</t>
        </is>
      </c>
    </row>
    <row r="158">
      <c r="A158" s="20" t="inlineStr">
        <is>
          <t xml:space="preserve">668</t>
        </is>
      </c>
      <c r="B158" s="9" t="inlineStr">
        <is>
          <t xml:space="preserve">Autres charges financières</t>
        </is>
      </c>
      <c r="C158" s="11">
        <f>SUMIF('Journal'!$D$8:$D$2007,$A158,'Journal'!$H$8:$H$2007)</f>
      </c>
      <c r="D158" s="11">
        <f>SUMIF('Journal'!$D$8:$D$2007,$A158,'Journal'!$I$8:$I$2007)</f>
      </c>
      <c r="E158" s="11">
        <f>IF($C158-$D158&gt;0,$C158-$D158,0)</f>
      </c>
      <c r="F158" s="11">
        <f>IF($D158-$C158&gt;0,$D158-$C158,0)</f>
      </c>
      <c r="G158" s="11">
        <f>$C158-$D158</f>
      </c>
      <c r="H158" s="10"/>
      <c r="I158" s="10">
        <v>0</v>
      </c>
      <c r="J158" s="10" t="inlineStr">
        <is>
          <t xml:space="preserve">6</t>
        </is>
      </c>
      <c r="K158" s="10" t="inlineStr">
        <is>
          <t xml:space="preserve">66</t>
        </is>
      </c>
      <c r="L158" s="10" t="inlineStr">
        <is>
          <t xml:space="preserve">668</t>
        </is>
      </c>
    </row>
    <row r="159">
      <c r="A159" s="20" t="inlineStr">
        <is>
          <t xml:space="preserve">67</t>
        </is>
      </c>
      <c r="B159" s="9" t="inlineStr">
        <is>
          <t xml:space="preserve">Éléments extraordinaires — charges</t>
        </is>
      </c>
      <c r="C159" s="11">
        <f>SUMIF('Journal'!$D$8:$D$2007,$A159,'Journal'!$H$8:$H$2007)</f>
      </c>
      <c r="D159" s="11">
        <f>SUMIF('Journal'!$D$8:$D$2007,$A159,'Journal'!$I$8:$I$2007)</f>
      </c>
      <c r="E159" s="11">
        <f>IF($C159-$D159&gt;0,$C159-$D159,0)</f>
      </c>
      <c r="F159" s="11">
        <f>IF($D159-$C159&gt;0,$D159-$C159,0)</f>
      </c>
      <c r="G159" s="11">
        <f>$C159-$D159</f>
      </c>
      <c r="H159" s="10"/>
      <c r="I159" s="10">
        <v>0</v>
      </c>
      <c r="J159" s="10" t="inlineStr">
        <is>
          <t xml:space="preserve">6</t>
        </is>
      </c>
      <c r="K159" s="10" t="inlineStr">
        <is>
          <t xml:space="preserve">67</t>
        </is>
      </c>
      <c r="L159" s="10" t="inlineStr">
        <is>
          <t xml:space="preserve">67</t>
        </is>
      </c>
    </row>
    <row r="160">
      <c r="A160" s="20" t="inlineStr">
        <is>
          <t xml:space="preserve">681</t>
        </is>
      </c>
      <c r="B160" s="9" t="inlineStr">
        <is>
          <t xml:space="preserve">Dotations — actifs non courants</t>
        </is>
      </c>
      <c r="C160" s="11">
        <f>SUMIF('Journal'!$D$8:$D$2007,$A160,'Journal'!$H$8:$H$2007)</f>
      </c>
      <c r="D160" s="11">
        <f>SUMIF('Journal'!$D$8:$D$2007,$A160,'Journal'!$I$8:$I$2007)</f>
      </c>
      <c r="E160" s="11">
        <f>IF($C160-$D160&gt;0,$C160-$D160,0)</f>
      </c>
      <c r="F160" s="11">
        <f>IF($D160-$C160&gt;0,$D160-$C160,0)</f>
      </c>
      <c r="G160" s="11">
        <f>$C160-$D160</f>
      </c>
      <c r="H160" s="10"/>
      <c r="I160" s="10">
        <v>0</v>
      </c>
      <c r="J160" s="10" t="inlineStr">
        <is>
          <t xml:space="preserve">6</t>
        </is>
      </c>
      <c r="K160" s="10" t="inlineStr">
        <is>
          <t xml:space="preserve">68</t>
        </is>
      </c>
      <c r="L160" s="10" t="inlineStr">
        <is>
          <t xml:space="preserve">681</t>
        </is>
      </c>
    </row>
    <row r="161">
      <c r="A161" s="20" t="inlineStr">
        <is>
          <t xml:space="preserve">685</t>
        </is>
      </c>
      <c r="B161" s="9" t="inlineStr">
        <is>
          <t xml:space="preserve">Dotations — actifs courants</t>
        </is>
      </c>
      <c r="C161" s="11">
        <f>SUMIF('Journal'!$D$8:$D$2007,$A161,'Journal'!$H$8:$H$2007)</f>
      </c>
      <c r="D161" s="11">
        <f>SUMIF('Journal'!$D$8:$D$2007,$A161,'Journal'!$I$8:$I$2007)</f>
      </c>
      <c r="E161" s="11">
        <f>IF($C161-$D161&gt;0,$C161-$D161,0)</f>
      </c>
      <c r="F161" s="11">
        <f>IF($D161-$C161&gt;0,$D161-$C161,0)</f>
      </c>
      <c r="G161" s="11">
        <f>$C161-$D161</f>
      </c>
      <c r="H161" s="10"/>
      <c r="I161" s="10">
        <v>0</v>
      </c>
      <c r="J161" s="10" t="inlineStr">
        <is>
          <t xml:space="preserve">6</t>
        </is>
      </c>
      <c r="K161" s="10" t="inlineStr">
        <is>
          <t xml:space="preserve">68</t>
        </is>
      </c>
      <c r="L161" s="10" t="inlineStr">
        <is>
          <t xml:space="preserve">685</t>
        </is>
      </c>
    </row>
    <row r="162">
      <c r="A162" s="20" t="inlineStr">
        <is>
          <t xml:space="preserve">686</t>
        </is>
      </c>
      <c r="B162" s="9" t="inlineStr">
        <is>
          <t xml:space="preserve">Dotations — éléments financiers</t>
        </is>
      </c>
      <c r="C162" s="11">
        <f>SUMIF('Journal'!$D$8:$D$2007,$A162,'Journal'!$H$8:$H$2007)</f>
      </c>
      <c r="D162" s="11">
        <f>SUMIF('Journal'!$D$8:$D$2007,$A162,'Journal'!$I$8:$I$2007)</f>
      </c>
      <c r="E162" s="11">
        <f>IF($C162-$D162&gt;0,$C162-$D162,0)</f>
      </c>
      <c r="F162" s="11">
        <f>IF($D162-$C162&gt;0,$D162-$C162,0)</f>
      </c>
      <c r="G162" s="11">
        <f>$C162-$D162</f>
      </c>
      <c r="H162" s="10"/>
      <c r="I162" s="10">
        <v>0</v>
      </c>
      <c r="J162" s="10" t="inlineStr">
        <is>
          <t xml:space="preserve">6</t>
        </is>
      </c>
      <c r="K162" s="10" t="inlineStr">
        <is>
          <t xml:space="preserve">68</t>
        </is>
      </c>
      <c r="L162" s="10" t="inlineStr">
        <is>
          <t xml:space="preserve">686</t>
        </is>
      </c>
    </row>
    <row r="163">
      <c r="A163" s="20" t="inlineStr">
        <is>
          <t xml:space="preserve">692</t>
        </is>
      </c>
      <c r="B163" s="9" t="inlineStr">
        <is>
          <t xml:space="preserve">Imposition différée actif</t>
        </is>
      </c>
      <c r="C163" s="11">
        <f>SUMIF('Journal'!$D$8:$D$2007,$A163,'Journal'!$H$8:$H$2007)</f>
      </c>
      <c r="D163" s="11">
        <f>SUMIF('Journal'!$D$8:$D$2007,$A163,'Journal'!$I$8:$I$2007)</f>
      </c>
      <c r="E163" s="11">
        <f>IF($C163-$D163&gt;0,$C163-$D163,0)</f>
      </c>
      <c r="F163" s="11">
        <f>IF($D163-$C163&gt;0,$D163-$C163,0)</f>
      </c>
      <c r="G163" s="11">
        <f>$C163-$D163</f>
      </c>
      <c r="H163" s="10"/>
      <c r="I163" s="10">
        <v>0</v>
      </c>
      <c r="J163" s="10" t="inlineStr">
        <is>
          <t xml:space="preserve">6</t>
        </is>
      </c>
      <c r="K163" s="10" t="inlineStr">
        <is>
          <t xml:space="preserve">69</t>
        </is>
      </c>
      <c r="L163" s="10" t="inlineStr">
        <is>
          <t xml:space="preserve">692</t>
        </is>
      </c>
    </row>
    <row r="164">
      <c r="A164" s="20" t="inlineStr">
        <is>
          <t xml:space="preserve">693</t>
        </is>
      </c>
      <c r="B164" s="9" t="inlineStr">
        <is>
          <t xml:space="preserve">Imposition différée passif</t>
        </is>
      </c>
      <c r="C164" s="11">
        <f>SUMIF('Journal'!$D$8:$D$2007,$A164,'Journal'!$H$8:$H$2007)</f>
      </c>
      <c r="D164" s="11">
        <f>SUMIF('Journal'!$D$8:$D$2007,$A164,'Journal'!$I$8:$I$2007)</f>
      </c>
      <c r="E164" s="11">
        <f>IF($C164-$D164&gt;0,$C164-$D164,0)</f>
      </c>
      <c r="F164" s="11">
        <f>IF($D164-$C164&gt;0,$D164-$C164,0)</f>
      </c>
      <c r="G164" s="11">
        <f>$C164-$D164</f>
      </c>
      <c r="H164" s="10"/>
      <c r="I164" s="10">
        <v>0</v>
      </c>
      <c r="J164" s="10" t="inlineStr">
        <is>
          <t xml:space="preserve">6</t>
        </is>
      </c>
      <c r="K164" s="10" t="inlineStr">
        <is>
          <t xml:space="preserve">69</t>
        </is>
      </c>
      <c r="L164" s="10" t="inlineStr">
        <is>
          <t xml:space="preserve">693</t>
        </is>
      </c>
    </row>
    <row r="165">
      <c r="A165" s="20" t="inlineStr">
        <is>
          <t xml:space="preserve">695</t>
        </is>
      </c>
      <c r="B165" s="9" t="inlineStr">
        <is>
          <t xml:space="preserve">Impôts sur les bénéfices basés sur le résultat ordinaire</t>
        </is>
      </c>
      <c r="C165" s="11">
        <f>SUMIF('Journal'!$D$8:$D$2007,$A165,'Journal'!$H$8:$H$2007)</f>
      </c>
      <c r="D165" s="11">
        <f>SUMIF('Journal'!$D$8:$D$2007,$A165,'Journal'!$I$8:$I$2007)</f>
      </c>
      <c r="E165" s="11">
        <f>IF($C165-$D165&gt;0,$C165-$D165,0)</f>
      </c>
      <c r="F165" s="11">
        <f>IF($D165-$C165&gt;0,$D165-$C165,0)</f>
      </c>
      <c r="G165" s="11">
        <f>$C165-$D165</f>
      </c>
      <c r="H165" s="10"/>
      <c r="I165" s="10">
        <v>0</v>
      </c>
      <c r="J165" s="10" t="inlineStr">
        <is>
          <t xml:space="preserve">6</t>
        </is>
      </c>
      <c r="K165" s="10" t="inlineStr">
        <is>
          <t xml:space="preserve">69</t>
        </is>
      </c>
      <c r="L165" s="10" t="inlineStr">
        <is>
          <t xml:space="preserve">695</t>
        </is>
      </c>
    </row>
    <row r="166">
      <c r="A166" s="20" t="inlineStr">
        <is>
          <t xml:space="preserve">698</t>
        </is>
      </c>
      <c r="B166" s="9" t="inlineStr">
        <is>
          <t xml:space="preserve">Autres impôts sur les résultats</t>
        </is>
      </c>
      <c r="C166" s="11">
        <f>SUMIF('Journal'!$D$8:$D$2007,$A166,'Journal'!$H$8:$H$2007)</f>
      </c>
      <c r="D166" s="11">
        <f>SUMIF('Journal'!$D$8:$D$2007,$A166,'Journal'!$I$8:$I$2007)</f>
      </c>
      <c r="E166" s="11">
        <f>IF($C166-$D166&gt;0,$C166-$D166,0)</f>
      </c>
      <c r="F166" s="11">
        <f>IF($D166-$C166&gt;0,$D166-$C166,0)</f>
      </c>
      <c r="G166" s="11">
        <f>$C166-$D166</f>
      </c>
      <c r="H166" s="10"/>
      <c r="I166" s="10">
        <v>0</v>
      </c>
      <c r="J166" s="10" t="inlineStr">
        <is>
          <t xml:space="preserve">6</t>
        </is>
      </c>
      <c r="K166" s="10" t="inlineStr">
        <is>
          <t xml:space="preserve">69</t>
        </is>
      </c>
      <c r="L166" s="10" t="inlineStr">
        <is>
          <t xml:space="preserve">698</t>
        </is>
      </c>
    </row>
    <row r="167">
      <c r="A167" s="20" t="inlineStr">
        <is>
          <t xml:space="preserve">700</t>
        </is>
      </c>
      <c r="B167" s="9" t="inlineStr">
        <is>
          <t xml:space="preserve">Ventes de marchandises</t>
        </is>
      </c>
      <c r="C167" s="11">
        <f>SUMIF('Journal'!$D$8:$D$2007,$A167,'Journal'!$H$8:$H$2007)</f>
      </c>
      <c r="D167" s="11">
        <f>SUMIF('Journal'!$D$8:$D$2007,$A167,'Journal'!$I$8:$I$2007)</f>
      </c>
      <c r="E167" s="11">
        <f>IF($C167-$D167&gt;0,$C167-$D167,0)</f>
      </c>
      <c r="F167" s="11">
        <f>IF($D167-$C167&gt;0,$D167-$C167,0)</f>
      </c>
      <c r="G167" s="11">
        <f>$C167-$D167</f>
      </c>
      <c r="H167" s="10"/>
      <c r="I167" s="10">
        <v>0</v>
      </c>
      <c r="J167" s="10" t="inlineStr">
        <is>
          <t xml:space="preserve">7</t>
        </is>
      </c>
      <c r="K167" s="10" t="inlineStr">
        <is>
          <t xml:space="preserve">70</t>
        </is>
      </c>
      <c r="L167" s="10" t="inlineStr">
        <is>
          <t xml:space="preserve">700</t>
        </is>
      </c>
    </row>
    <row r="168">
      <c r="A168" s="20" t="inlineStr">
        <is>
          <t xml:space="preserve">701</t>
        </is>
      </c>
      <c r="B168" s="9" t="inlineStr">
        <is>
          <t xml:space="preserve">Ventes de produits finis</t>
        </is>
      </c>
      <c r="C168" s="11">
        <f>SUMIF('Journal'!$D$8:$D$2007,$A168,'Journal'!$H$8:$H$2007)</f>
      </c>
      <c r="D168" s="11">
        <f>SUMIF('Journal'!$D$8:$D$2007,$A168,'Journal'!$I$8:$I$2007)</f>
      </c>
      <c r="E168" s="11">
        <f>IF($C168-$D168&gt;0,$C168-$D168,0)</f>
      </c>
      <c r="F168" s="11">
        <f>IF($D168-$C168&gt;0,$D168-$C168,0)</f>
      </c>
      <c r="G168" s="11">
        <f>$C168-$D168</f>
      </c>
      <c r="H168" s="10"/>
      <c r="I168" s="10">
        <v>0</v>
      </c>
      <c r="J168" s="10" t="inlineStr">
        <is>
          <t xml:space="preserve">7</t>
        </is>
      </c>
      <c r="K168" s="10" t="inlineStr">
        <is>
          <t xml:space="preserve">70</t>
        </is>
      </c>
      <c r="L168" s="10" t="inlineStr">
        <is>
          <t xml:space="preserve">701</t>
        </is>
      </c>
    </row>
    <row r="169">
      <c r="A169" s="20" t="inlineStr">
        <is>
          <t xml:space="preserve">702</t>
        </is>
      </c>
      <c r="B169" s="9" t="inlineStr">
        <is>
          <t xml:space="preserve">Ventes de produits intermédiaires</t>
        </is>
      </c>
      <c r="C169" s="11">
        <f>SUMIF('Journal'!$D$8:$D$2007,$A169,'Journal'!$H$8:$H$2007)</f>
      </c>
      <c r="D169" s="11">
        <f>SUMIF('Journal'!$D$8:$D$2007,$A169,'Journal'!$I$8:$I$2007)</f>
      </c>
      <c r="E169" s="11">
        <f>IF($C169-$D169&gt;0,$C169-$D169,0)</f>
      </c>
      <c r="F169" s="11">
        <f>IF($D169-$C169&gt;0,$D169-$C169,0)</f>
      </c>
      <c r="G169" s="11">
        <f>$C169-$D169</f>
      </c>
      <c r="H169" s="10"/>
      <c r="I169" s="10">
        <v>0</v>
      </c>
      <c r="J169" s="10" t="inlineStr">
        <is>
          <t xml:space="preserve">7</t>
        </is>
      </c>
      <c r="K169" s="10" t="inlineStr">
        <is>
          <t xml:space="preserve">70</t>
        </is>
      </c>
      <c r="L169" s="10" t="inlineStr">
        <is>
          <t xml:space="preserve">702</t>
        </is>
      </c>
    </row>
    <row r="170">
      <c r="A170" s="20" t="inlineStr">
        <is>
          <t xml:space="preserve">704</t>
        </is>
      </c>
      <c r="B170" s="9" t="inlineStr">
        <is>
          <t xml:space="preserve">Ventes de travaux</t>
        </is>
      </c>
      <c r="C170" s="11">
        <f>SUMIF('Journal'!$D$8:$D$2007,$A170,'Journal'!$H$8:$H$2007)</f>
      </c>
      <c r="D170" s="11">
        <f>SUMIF('Journal'!$D$8:$D$2007,$A170,'Journal'!$I$8:$I$2007)</f>
      </c>
      <c r="E170" s="11">
        <f>IF($C170-$D170&gt;0,$C170-$D170,0)</f>
      </c>
      <c r="F170" s="11">
        <f>IF($D170-$C170&gt;0,$D170-$C170,0)</f>
      </c>
      <c r="G170" s="11">
        <f>$C170-$D170</f>
      </c>
      <c r="H170" s="10"/>
      <c r="I170" s="10">
        <v>0</v>
      </c>
      <c r="J170" s="10" t="inlineStr">
        <is>
          <t xml:space="preserve">7</t>
        </is>
      </c>
      <c r="K170" s="10" t="inlineStr">
        <is>
          <t xml:space="preserve">70</t>
        </is>
      </c>
      <c r="L170" s="10" t="inlineStr">
        <is>
          <t xml:space="preserve">704</t>
        </is>
      </c>
    </row>
    <row r="171">
      <c r="A171" s="20" t="inlineStr">
        <is>
          <t xml:space="preserve">705</t>
        </is>
      </c>
      <c r="B171" s="9" t="inlineStr">
        <is>
          <t xml:space="preserve">Ventes d'études</t>
        </is>
      </c>
      <c r="C171" s="11">
        <f>SUMIF('Journal'!$D$8:$D$2007,$A171,'Journal'!$H$8:$H$2007)</f>
      </c>
      <c r="D171" s="11">
        <f>SUMIF('Journal'!$D$8:$D$2007,$A171,'Journal'!$I$8:$I$2007)</f>
      </c>
      <c r="E171" s="11">
        <f>IF($C171-$D171&gt;0,$C171-$D171,0)</f>
      </c>
      <c r="F171" s="11">
        <f>IF($D171-$C171&gt;0,$D171-$C171,0)</f>
      </c>
      <c r="G171" s="11">
        <f>$C171-$D171</f>
      </c>
      <c r="H171" s="10"/>
      <c r="I171" s="10">
        <v>0</v>
      </c>
      <c r="J171" s="10" t="inlineStr">
        <is>
          <t xml:space="preserve">7</t>
        </is>
      </c>
      <c r="K171" s="10" t="inlineStr">
        <is>
          <t xml:space="preserve">70</t>
        </is>
      </c>
      <c r="L171" s="10" t="inlineStr">
        <is>
          <t xml:space="preserve">705</t>
        </is>
      </c>
    </row>
    <row r="172">
      <c r="A172" s="20" t="inlineStr">
        <is>
          <t xml:space="preserve">706</t>
        </is>
      </c>
      <c r="B172" s="9" t="inlineStr">
        <is>
          <t xml:space="preserve">Autres prestations de services</t>
        </is>
      </c>
      <c r="C172" s="11">
        <f>SUMIF('Journal'!$D$8:$D$2007,$A172,'Journal'!$H$8:$H$2007)</f>
      </c>
      <c r="D172" s="11">
        <f>SUMIF('Journal'!$D$8:$D$2007,$A172,'Journal'!$I$8:$I$2007)</f>
      </c>
      <c r="E172" s="11">
        <f>IF($C172-$D172&gt;0,$C172-$D172,0)</f>
      </c>
      <c r="F172" s="11">
        <f>IF($D172-$C172&gt;0,$D172-$C172,0)</f>
      </c>
      <c r="G172" s="11">
        <f>$C172-$D172</f>
      </c>
      <c r="H172" s="10"/>
      <c r="I172" s="10">
        <v>0</v>
      </c>
      <c r="J172" s="10" t="inlineStr">
        <is>
          <t xml:space="preserve">7</t>
        </is>
      </c>
      <c r="K172" s="10" t="inlineStr">
        <is>
          <t xml:space="preserve">70</t>
        </is>
      </c>
      <c r="L172" s="10" t="inlineStr">
        <is>
          <t xml:space="preserve">706</t>
        </is>
      </c>
    </row>
    <row r="173">
      <c r="A173" s="20" t="inlineStr">
        <is>
          <t xml:space="preserve">708</t>
        </is>
      </c>
      <c r="B173" s="9" t="inlineStr">
        <is>
          <t xml:space="preserve">Produits des activités annexes</t>
        </is>
      </c>
      <c r="C173" s="11">
        <f>SUMIF('Journal'!$D$8:$D$2007,$A173,'Journal'!$H$8:$H$2007)</f>
      </c>
      <c r="D173" s="11">
        <f>SUMIF('Journal'!$D$8:$D$2007,$A173,'Journal'!$I$8:$I$2007)</f>
      </c>
      <c r="E173" s="11">
        <f>IF($C173-$D173&gt;0,$C173-$D173,0)</f>
      </c>
      <c r="F173" s="11">
        <f>IF($D173-$C173&gt;0,$D173-$C173,0)</f>
      </c>
      <c r="G173" s="11">
        <f>$C173-$D173</f>
      </c>
      <c r="H173" s="10"/>
      <c r="I173" s="10">
        <v>0</v>
      </c>
      <c r="J173" s="10" t="inlineStr">
        <is>
          <t xml:space="preserve">7</t>
        </is>
      </c>
      <c r="K173" s="10" t="inlineStr">
        <is>
          <t xml:space="preserve">70</t>
        </is>
      </c>
      <c r="L173" s="10" t="inlineStr">
        <is>
          <t xml:space="preserve">708</t>
        </is>
      </c>
    </row>
    <row r="174">
      <c r="A174" s="20" t="inlineStr">
        <is>
          <t xml:space="preserve">709</t>
        </is>
      </c>
      <c r="B174" s="9" t="inlineStr">
        <is>
          <t xml:space="preserve">Rabais, remises et ristournes accordés</t>
        </is>
      </c>
      <c r="C174" s="11">
        <f>SUMIF('Journal'!$D$8:$D$2007,$A174,'Journal'!$H$8:$H$2007)</f>
      </c>
      <c r="D174" s="11">
        <f>SUMIF('Journal'!$D$8:$D$2007,$A174,'Journal'!$I$8:$I$2007)</f>
      </c>
      <c r="E174" s="11">
        <f>IF($C174-$D174&gt;0,$C174-$D174,0)</f>
      </c>
      <c r="F174" s="11">
        <f>IF($D174-$C174&gt;0,$D174-$C174,0)</f>
      </c>
      <c r="G174" s="11">
        <f>$C174-$D174</f>
      </c>
      <c r="H174" s="10"/>
      <c r="I174" s="10">
        <v>0</v>
      </c>
      <c r="J174" s="10" t="inlineStr">
        <is>
          <t xml:space="preserve">7</t>
        </is>
      </c>
      <c r="K174" s="10" t="inlineStr">
        <is>
          <t xml:space="preserve">70</t>
        </is>
      </c>
      <c r="L174" s="10" t="inlineStr">
        <is>
          <t xml:space="preserve">709</t>
        </is>
      </c>
    </row>
    <row r="175">
      <c r="A175" s="20" t="inlineStr">
        <is>
          <t xml:space="preserve">723</t>
        </is>
      </c>
      <c r="B175" s="9" t="inlineStr">
        <is>
          <t xml:space="preserve">Variation des stocks d'en-cours</t>
        </is>
      </c>
      <c r="C175" s="11">
        <f>SUMIF('Journal'!$D$8:$D$2007,$A175,'Journal'!$H$8:$H$2007)</f>
      </c>
      <c r="D175" s="11">
        <f>SUMIF('Journal'!$D$8:$D$2007,$A175,'Journal'!$I$8:$I$2007)</f>
      </c>
      <c r="E175" s="11">
        <f>IF($C175-$D175&gt;0,$C175-$D175,0)</f>
      </c>
      <c r="F175" s="11">
        <f>IF($D175-$C175&gt;0,$D175-$C175,0)</f>
      </c>
      <c r="G175" s="11">
        <f>$C175-$D175</f>
      </c>
      <c r="H175" s="10"/>
      <c r="I175" s="10">
        <v>0</v>
      </c>
      <c r="J175" s="10" t="inlineStr">
        <is>
          <t xml:space="preserve">7</t>
        </is>
      </c>
      <c r="K175" s="10" t="inlineStr">
        <is>
          <t xml:space="preserve">72</t>
        </is>
      </c>
      <c r="L175" s="10" t="inlineStr">
        <is>
          <t xml:space="preserve">723</t>
        </is>
      </c>
    </row>
    <row r="176">
      <c r="A176" s="20" t="inlineStr">
        <is>
          <t xml:space="preserve">724</t>
        </is>
      </c>
      <c r="B176" s="9" t="inlineStr">
        <is>
          <t xml:space="preserve">Variation des stocks de produits finis</t>
        </is>
      </c>
      <c r="C176" s="11">
        <f>SUMIF('Journal'!$D$8:$D$2007,$A176,'Journal'!$H$8:$H$2007)</f>
      </c>
      <c r="D176" s="11">
        <f>SUMIF('Journal'!$D$8:$D$2007,$A176,'Journal'!$I$8:$I$2007)</f>
      </c>
      <c r="E176" s="11">
        <f>IF($C176-$D176&gt;0,$C176-$D176,0)</f>
      </c>
      <c r="F176" s="11">
        <f>IF($D176-$C176&gt;0,$D176-$C176,0)</f>
      </c>
      <c r="G176" s="11">
        <f>$C176-$D176</f>
      </c>
      <c r="H176" s="10"/>
      <c r="I176" s="10">
        <v>0</v>
      </c>
      <c r="J176" s="10" t="inlineStr">
        <is>
          <t xml:space="preserve">7</t>
        </is>
      </c>
      <c r="K176" s="10" t="inlineStr">
        <is>
          <t xml:space="preserve">72</t>
        </is>
      </c>
      <c r="L176" s="10" t="inlineStr">
        <is>
          <t xml:space="preserve">724</t>
        </is>
      </c>
    </row>
    <row r="177">
      <c r="A177" s="20" t="inlineStr">
        <is>
          <t xml:space="preserve">73</t>
        </is>
      </c>
      <c r="B177" s="9" t="inlineStr">
        <is>
          <t xml:space="preserve">Production immobilisée</t>
        </is>
      </c>
      <c r="C177" s="11">
        <f>SUMIF('Journal'!$D$8:$D$2007,$A177,'Journal'!$H$8:$H$2007)</f>
      </c>
      <c r="D177" s="11">
        <f>SUMIF('Journal'!$D$8:$D$2007,$A177,'Journal'!$I$8:$I$2007)</f>
      </c>
      <c r="E177" s="11">
        <f>IF($C177-$D177&gt;0,$C177-$D177,0)</f>
      </c>
      <c r="F177" s="11">
        <f>IF($D177-$C177&gt;0,$D177-$C177,0)</f>
      </c>
      <c r="G177" s="11">
        <f>$C177-$D177</f>
      </c>
      <c r="H177" s="10"/>
      <c r="I177" s="10">
        <v>0</v>
      </c>
      <c r="J177" s="10" t="inlineStr">
        <is>
          <t xml:space="preserve">7</t>
        </is>
      </c>
      <c r="K177" s="10" t="inlineStr">
        <is>
          <t xml:space="preserve">73</t>
        </is>
      </c>
      <c r="L177" s="10" t="inlineStr">
        <is>
          <t xml:space="preserve">73</t>
        </is>
      </c>
    </row>
    <row r="178">
      <c r="A178" s="20" t="inlineStr">
        <is>
          <t xml:space="preserve">74</t>
        </is>
      </c>
      <c r="B178" s="9" t="inlineStr">
        <is>
          <t xml:space="preserve">Subventions d'exploitation</t>
        </is>
      </c>
      <c r="C178" s="11">
        <f>SUMIF('Journal'!$D$8:$D$2007,$A178,'Journal'!$H$8:$H$2007)</f>
      </c>
      <c r="D178" s="11">
        <f>SUMIF('Journal'!$D$8:$D$2007,$A178,'Journal'!$I$8:$I$2007)</f>
      </c>
      <c r="E178" s="11">
        <f>IF($C178-$D178&gt;0,$C178-$D178,0)</f>
      </c>
      <c r="F178" s="11">
        <f>IF($D178-$C178&gt;0,$D178-$C178,0)</f>
      </c>
      <c r="G178" s="11">
        <f>$C178-$D178</f>
      </c>
      <c r="H178" s="10"/>
      <c r="I178" s="10">
        <v>0</v>
      </c>
      <c r="J178" s="10" t="inlineStr">
        <is>
          <t xml:space="preserve">7</t>
        </is>
      </c>
      <c r="K178" s="10" t="inlineStr">
        <is>
          <t xml:space="preserve">74</t>
        </is>
      </c>
      <c r="L178" s="10" t="inlineStr">
        <is>
          <t xml:space="preserve">74</t>
        </is>
      </c>
    </row>
    <row r="179">
      <c r="A179" s="20" t="inlineStr">
        <is>
          <t xml:space="preserve">751</t>
        </is>
      </c>
      <c r="B179" s="9" t="inlineStr">
        <is>
          <t xml:space="preserve">Redevances pour concessions, brevets, licences</t>
        </is>
      </c>
      <c r="C179" s="11">
        <f>SUMIF('Journal'!$D$8:$D$2007,$A179,'Journal'!$H$8:$H$2007)</f>
      </c>
      <c r="D179" s="11">
        <f>SUMIF('Journal'!$D$8:$D$2007,$A179,'Journal'!$I$8:$I$2007)</f>
      </c>
      <c r="E179" s="11">
        <f>IF($C179-$D179&gt;0,$C179-$D179,0)</f>
      </c>
      <c r="F179" s="11">
        <f>IF($D179-$C179&gt;0,$D179-$C179,0)</f>
      </c>
      <c r="G179" s="11">
        <f>$C179-$D179</f>
      </c>
      <c r="H179" s="10"/>
      <c r="I179" s="10">
        <v>0</v>
      </c>
      <c r="J179" s="10" t="inlineStr">
        <is>
          <t xml:space="preserve">7</t>
        </is>
      </c>
      <c r="K179" s="10" t="inlineStr">
        <is>
          <t xml:space="preserve">75</t>
        </is>
      </c>
      <c r="L179" s="10" t="inlineStr">
        <is>
          <t xml:space="preserve">751</t>
        </is>
      </c>
    </row>
    <row r="180">
      <c r="A180" s="20" t="inlineStr">
        <is>
          <t xml:space="preserve">752</t>
        </is>
      </c>
      <c r="B180" s="9" t="inlineStr">
        <is>
          <t xml:space="preserve">Plus-values sur sortie d'actifs immobilisés</t>
        </is>
      </c>
      <c r="C180" s="11">
        <f>SUMIF('Journal'!$D$8:$D$2007,$A180,'Journal'!$H$8:$H$2007)</f>
      </c>
      <c r="D180" s="11">
        <f>SUMIF('Journal'!$D$8:$D$2007,$A180,'Journal'!$I$8:$I$2007)</f>
      </c>
      <c r="E180" s="11">
        <f>IF($C180-$D180&gt;0,$C180-$D180,0)</f>
      </c>
      <c r="F180" s="11">
        <f>IF($D180-$C180&gt;0,$D180-$C180,0)</f>
      </c>
      <c r="G180" s="11">
        <f>$C180-$D180</f>
      </c>
      <c r="H180" s="10"/>
      <c r="I180" s="10">
        <v>0</v>
      </c>
      <c r="J180" s="10" t="inlineStr">
        <is>
          <t xml:space="preserve">7</t>
        </is>
      </c>
      <c r="K180" s="10" t="inlineStr">
        <is>
          <t xml:space="preserve">75</t>
        </is>
      </c>
      <c r="L180" s="10" t="inlineStr">
        <is>
          <t xml:space="preserve">752</t>
        </is>
      </c>
    </row>
    <row r="181">
      <c r="A181" s="20" t="inlineStr">
        <is>
          <t xml:space="preserve">754</t>
        </is>
      </c>
      <c r="B181" s="9" t="inlineStr">
        <is>
          <t xml:space="preserve">Quote-part de subvention d'investissement virée au résultat</t>
        </is>
      </c>
      <c r="C181" s="11">
        <f>SUMIF('Journal'!$D$8:$D$2007,$A181,'Journal'!$H$8:$H$2007)</f>
      </c>
      <c r="D181" s="11">
        <f>SUMIF('Journal'!$D$8:$D$2007,$A181,'Journal'!$I$8:$I$2007)</f>
      </c>
      <c r="E181" s="11">
        <f>IF($C181-$D181&gt;0,$C181-$D181,0)</f>
      </c>
      <c r="F181" s="11">
        <f>IF($D181-$C181&gt;0,$D181-$C181,0)</f>
      </c>
      <c r="G181" s="11">
        <f>$C181-$D181</f>
      </c>
      <c r="H181" s="10"/>
      <c r="I181" s="10">
        <v>0</v>
      </c>
      <c r="J181" s="10" t="inlineStr">
        <is>
          <t xml:space="preserve">7</t>
        </is>
      </c>
      <c r="K181" s="10" t="inlineStr">
        <is>
          <t xml:space="preserve">75</t>
        </is>
      </c>
      <c r="L181" s="10" t="inlineStr">
        <is>
          <t xml:space="preserve">754</t>
        </is>
      </c>
    </row>
    <row r="182">
      <c r="A182" s="20" t="inlineStr">
        <is>
          <t xml:space="preserve">756</t>
        </is>
      </c>
      <c r="B182" s="9" t="inlineStr">
        <is>
          <t xml:space="preserve">Rentrées sur créances amorties</t>
        </is>
      </c>
      <c r="C182" s="11">
        <f>SUMIF('Journal'!$D$8:$D$2007,$A182,'Journal'!$H$8:$H$2007)</f>
      </c>
      <c r="D182" s="11">
        <f>SUMIF('Journal'!$D$8:$D$2007,$A182,'Journal'!$I$8:$I$2007)</f>
      </c>
      <c r="E182" s="11">
        <f>IF($C182-$D182&gt;0,$C182-$D182,0)</f>
      </c>
      <c r="F182" s="11">
        <f>IF($D182-$C182&gt;0,$D182-$C182,0)</f>
      </c>
      <c r="G182" s="11">
        <f>$C182-$D182</f>
      </c>
      <c r="H182" s="10"/>
      <c r="I182" s="10">
        <v>0</v>
      </c>
      <c r="J182" s="10" t="inlineStr">
        <is>
          <t xml:space="preserve">7</t>
        </is>
      </c>
      <c r="K182" s="10" t="inlineStr">
        <is>
          <t xml:space="preserve">75</t>
        </is>
      </c>
      <c r="L182" s="10" t="inlineStr">
        <is>
          <t xml:space="preserve">756</t>
        </is>
      </c>
    </row>
    <row r="183">
      <c r="A183" s="20" t="inlineStr">
        <is>
          <t xml:space="preserve">757</t>
        </is>
      </c>
      <c r="B183" s="9" t="inlineStr">
        <is>
          <t xml:space="preserve">Produits exceptionnels sur opérations de gestion</t>
        </is>
      </c>
      <c r="C183" s="11">
        <f>SUMIF('Journal'!$D$8:$D$2007,$A183,'Journal'!$H$8:$H$2007)</f>
      </c>
      <c r="D183" s="11">
        <f>SUMIF('Journal'!$D$8:$D$2007,$A183,'Journal'!$I$8:$I$2007)</f>
      </c>
      <c r="E183" s="11">
        <f>IF($C183-$D183&gt;0,$C183-$D183,0)</f>
      </c>
      <c r="F183" s="11">
        <f>IF($D183-$C183&gt;0,$D183-$C183,0)</f>
      </c>
      <c r="G183" s="11">
        <f>$C183-$D183</f>
      </c>
      <c r="H183" s="10"/>
      <c r="I183" s="10">
        <v>0</v>
      </c>
      <c r="J183" s="10" t="inlineStr">
        <is>
          <t xml:space="preserve">7</t>
        </is>
      </c>
      <c r="K183" s="10" t="inlineStr">
        <is>
          <t xml:space="preserve">75</t>
        </is>
      </c>
      <c r="L183" s="10" t="inlineStr">
        <is>
          <t xml:space="preserve">757</t>
        </is>
      </c>
    </row>
    <row r="184">
      <c r="A184" s="20" t="inlineStr">
        <is>
          <t xml:space="preserve">758</t>
        </is>
      </c>
      <c r="B184" s="9" t="inlineStr">
        <is>
          <t xml:space="preserve">Autres produits de gestion courante</t>
        </is>
      </c>
      <c r="C184" s="11">
        <f>SUMIF('Journal'!$D$8:$D$2007,$A184,'Journal'!$H$8:$H$2007)</f>
      </c>
      <c r="D184" s="11">
        <f>SUMIF('Journal'!$D$8:$D$2007,$A184,'Journal'!$I$8:$I$2007)</f>
      </c>
      <c r="E184" s="11">
        <f>IF($C184-$D184&gt;0,$C184-$D184,0)</f>
      </c>
      <c r="F184" s="11">
        <f>IF($D184-$C184&gt;0,$D184-$C184,0)</f>
      </c>
      <c r="G184" s="11">
        <f>$C184-$D184</f>
      </c>
      <c r="H184" s="10"/>
      <c r="I184" s="10">
        <v>0</v>
      </c>
      <c r="J184" s="10" t="inlineStr">
        <is>
          <t xml:space="preserve">7</t>
        </is>
      </c>
      <c r="K184" s="10" t="inlineStr">
        <is>
          <t xml:space="preserve">75</t>
        </is>
      </c>
      <c r="L184" s="10" t="inlineStr">
        <is>
          <t xml:space="preserve">758</t>
        </is>
      </c>
    </row>
    <row r="185">
      <c r="A185" s="20" t="inlineStr">
        <is>
          <t xml:space="preserve">761</t>
        </is>
      </c>
      <c r="B185" s="9" t="inlineStr">
        <is>
          <t xml:space="preserve">Produits des participations</t>
        </is>
      </c>
      <c r="C185" s="11">
        <f>SUMIF('Journal'!$D$8:$D$2007,$A185,'Journal'!$H$8:$H$2007)</f>
      </c>
      <c r="D185" s="11">
        <f>SUMIF('Journal'!$D$8:$D$2007,$A185,'Journal'!$I$8:$I$2007)</f>
      </c>
      <c r="E185" s="11">
        <f>IF($C185-$D185&gt;0,$C185-$D185,0)</f>
      </c>
      <c r="F185" s="11">
        <f>IF($D185-$C185&gt;0,$D185-$C185,0)</f>
      </c>
      <c r="G185" s="11">
        <f>$C185-$D185</f>
      </c>
      <c r="H185" s="10"/>
      <c r="I185" s="10">
        <v>0</v>
      </c>
      <c r="J185" s="10" t="inlineStr">
        <is>
          <t xml:space="preserve">7</t>
        </is>
      </c>
      <c r="K185" s="10" t="inlineStr">
        <is>
          <t xml:space="preserve">76</t>
        </is>
      </c>
      <c r="L185" s="10" t="inlineStr">
        <is>
          <t xml:space="preserve">761</t>
        </is>
      </c>
    </row>
    <row r="186">
      <c r="A186" s="20" t="inlineStr">
        <is>
          <t xml:space="preserve">763</t>
        </is>
      </c>
      <c r="B186" s="9" t="inlineStr">
        <is>
          <t xml:space="preserve">Revenus de créances</t>
        </is>
      </c>
      <c r="C186" s="11">
        <f>SUMIF('Journal'!$D$8:$D$2007,$A186,'Journal'!$H$8:$H$2007)</f>
      </c>
      <c r="D186" s="11">
        <f>SUMIF('Journal'!$D$8:$D$2007,$A186,'Journal'!$I$8:$I$2007)</f>
      </c>
      <c r="E186" s="11">
        <f>IF($C186-$D186&gt;0,$C186-$D186,0)</f>
      </c>
      <c r="F186" s="11">
        <f>IF($D186-$C186&gt;0,$D186-$C186,0)</f>
      </c>
      <c r="G186" s="11">
        <f>$C186-$D186</f>
      </c>
      <c r="H186" s="10"/>
      <c r="I186" s="10">
        <v>0</v>
      </c>
      <c r="J186" s="10" t="inlineStr">
        <is>
          <t xml:space="preserve">7</t>
        </is>
      </c>
      <c r="K186" s="10" t="inlineStr">
        <is>
          <t xml:space="preserve">76</t>
        </is>
      </c>
      <c r="L186" s="10" t="inlineStr">
        <is>
          <t xml:space="preserve">763</t>
        </is>
      </c>
    </row>
    <row r="187">
      <c r="A187" s="20" t="inlineStr">
        <is>
          <t xml:space="preserve">766</t>
        </is>
      </c>
      <c r="B187" s="9" t="inlineStr">
        <is>
          <t xml:space="preserve">Gains de change</t>
        </is>
      </c>
      <c r="C187" s="11">
        <f>SUMIF('Journal'!$D$8:$D$2007,$A187,'Journal'!$H$8:$H$2007)</f>
      </c>
      <c r="D187" s="11">
        <f>SUMIF('Journal'!$D$8:$D$2007,$A187,'Journal'!$I$8:$I$2007)</f>
      </c>
      <c r="E187" s="11">
        <f>IF($C187-$D187&gt;0,$C187-$D187,0)</f>
      </c>
      <c r="F187" s="11">
        <f>IF($D187-$C187&gt;0,$D187-$C187,0)</f>
      </c>
      <c r="G187" s="11">
        <f>$C187-$D187</f>
      </c>
      <c r="H187" s="10"/>
      <c r="I187" s="10">
        <v>0</v>
      </c>
      <c r="J187" s="10" t="inlineStr">
        <is>
          <t xml:space="preserve">7</t>
        </is>
      </c>
      <c r="K187" s="10" t="inlineStr">
        <is>
          <t xml:space="preserve">76</t>
        </is>
      </c>
      <c r="L187" s="10" t="inlineStr">
        <is>
          <t xml:space="preserve">766</t>
        </is>
      </c>
    </row>
    <row r="188">
      <c r="A188" s="20" t="inlineStr">
        <is>
          <t xml:space="preserve">768</t>
        </is>
      </c>
      <c r="B188" s="9" t="inlineStr">
        <is>
          <t xml:space="preserve">Autres produits financiers</t>
        </is>
      </c>
      <c r="C188" s="11">
        <f>SUMIF('Journal'!$D$8:$D$2007,$A188,'Journal'!$H$8:$H$2007)</f>
      </c>
      <c r="D188" s="11">
        <f>SUMIF('Journal'!$D$8:$D$2007,$A188,'Journal'!$I$8:$I$2007)</f>
      </c>
      <c r="E188" s="11">
        <f>IF($C188-$D188&gt;0,$C188-$D188,0)</f>
      </c>
      <c r="F188" s="11">
        <f>IF($D188-$C188&gt;0,$D188-$C188,0)</f>
      </c>
      <c r="G188" s="11">
        <f>$C188-$D188</f>
      </c>
      <c r="H188" s="10"/>
      <c r="I188" s="10">
        <v>0</v>
      </c>
      <c r="J188" s="10" t="inlineStr">
        <is>
          <t xml:space="preserve">7</t>
        </is>
      </c>
      <c r="K188" s="10" t="inlineStr">
        <is>
          <t xml:space="preserve">76</t>
        </is>
      </c>
      <c r="L188" s="10" t="inlineStr">
        <is>
          <t xml:space="preserve">768</t>
        </is>
      </c>
    </row>
    <row r="189">
      <c r="A189" s="20" t="inlineStr">
        <is>
          <t xml:space="preserve">77</t>
        </is>
      </c>
      <c r="B189" s="9" t="inlineStr">
        <is>
          <t xml:space="preserve">Éléments extraordinaires — produits</t>
        </is>
      </c>
      <c r="C189" s="11">
        <f>SUMIF('Journal'!$D$8:$D$2007,$A189,'Journal'!$H$8:$H$2007)</f>
      </c>
      <c r="D189" s="11">
        <f>SUMIF('Journal'!$D$8:$D$2007,$A189,'Journal'!$I$8:$I$2007)</f>
      </c>
      <c r="E189" s="11">
        <f>IF($C189-$D189&gt;0,$C189-$D189,0)</f>
      </c>
      <c r="F189" s="11">
        <f>IF($D189-$C189&gt;0,$D189-$C189,0)</f>
      </c>
      <c r="G189" s="11">
        <f>$C189-$D189</f>
      </c>
      <c r="H189" s="10"/>
      <c r="I189" s="10">
        <v>0</v>
      </c>
      <c r="J189" s="10" t="inlineStr">
        <is>
          <t xml:space="preserve">7</t>
        </is>
      </c>
      <c r="K189" s="10" t="inlineStr">
        <is>
          <t xml:space="preserve">77</t>
        </is>
      </c>
      <c r="L189" s="10" t="inlineStr">
        <is>
          <t xml:space="preserve">77</t>
        </is>
      </c>
    </row>
    <row r="190">
      <c r="A190" s="20" t="inlineStr">
        <is>
          <t xml:space="preserve">781</t>
        </is>
      </c>
      <c r="B190" s="9" t="inlineStr">
        <is>
          <t xml:space="preserve">Reprises — actifs non courants</t>
        </is>
      </c>
      <c r="C190" s="11">
        <f>SUMIF('Journal'!$D$8:$D$2007,$A190,'Journal'!$H$8:$H$2007)</f>
      </c>
      <c r="D190" s="11">
        <f>SUMIF('Journal'!$D$8:$D$2007,$A190,'Journal'!$I$8:$I$2007)</f>
      </c>
      <c r="E190" s="11">
        <f>IF($C190-$D190&gt;0,$C190-$D190,0)</f>
      </c>
      <c r="F190" s="11">
        <f>IF($D190-$C190&gt;0,$D190-$C190,0)</f>
      </c>
      <c r="G190" s="11">
        <f>$C190-$D190</f>
      </c>
      <c r="H190" s="10"/>
      <c r="I190" s="10">
        <v>0</v>
      </c>
      <c r="J190" s="10" t="inlineStr">
        <is>
          <t xml:space="preserve">7</t>
        </is>
      </c>
      <c r="K190" s="10" t="inlineStr">
        <is>
          <t xml:space="preserve">78</t>
        </is>
      </c>
      <c r="L190" s="10" t="inlineStr">
        <is>
          <t xml:space="preserve">781</t>
        </is>
      </c>
    </row>
    <row r="191">
      <c r="A191" s="20" t="inlineStr">
        <is>
          <t xml:space="preserve">785</t>
        </is>
      </c>
      <c r="B191" s="9" t="inlineStr">
        <is>
          <t xml:space="preserve">Reprises — actifs courants</t>
        </is>
      </c>
      <c r="C191" s="11">
        <f>SUMIF('Journal'!$D$8:$D$2007,$A191,'Journal'!$H$8:$H$2007)</f>
      </c>
      <c r="D191" s="11">
        <f>SUMIF('Journal'!$D$8:$D$2007,$A191,'Journal'!$I$8:$I$2007)</f>
      </c>
      <c r="E191" s="11">
        <f>IF($C191-$D191&gt;0,$C191-$D191,0)</f>
      </c>
      <c r="F191" s="11">
        <f>IF($D191-$C191&gt;0,$D191-$C191,0)</f>
      </c>
      <c r="G191" s="11">
        <f>$C191-$D191</f>
      </c>
      <c r="H191" s="10"/>
      <c r="I191" s="10">
        <v>0</v>
      </c>
      <c r="J191" s="10" t="inlineStr">
        <is>
          <t xml:space="preserve">7</t>
        </is>
      </c>
      <c r="K191" s="10" t="inlineStr">
        <is>
          <t xml:space="preserve">78</t>
        </is>
      </c>
      <c r="L191" s="10" t="inlineStr">
        <is>
          <t xml:space="preserve">785</t>
        </is>
      </c>
    </row>
    <row r="192">
      <c r="A192" s="20" t="inlineStr">
        <is>
          <t xml:space="preserve">786</t>
        </is>
      </c>
      <c r="B192" s="9" t="inlineStr">
        <is>
          <t xml:space="preserve">Reprises — éléments financiers</t>
        </is>
      </c>
      <c r="C192" s="11">
        <f>SUMIF('Journal'!$D$8:$D$2007,$A192,'Journal'!$H$8:$H$2007)</f>
      </c>
      <c r="D192" s="11">
        <f>SUMIF('Journal'!$D$8:$D$2007,$A192,'Journal'!$I$8:$I$2007)</f>
      </c>
      <c r="E192" s="11">
        <f>IF($C192-$D192&gt;0,$C192-$D192,0)</f>
      </c>
      <c r="F192" s="11">
        <f>IF($D192-$C192&gt;0,$D192-$C192,0)</f>
      </c>
      <c r="G192" s="11">
        <f>$C192-$D192</f>
      </c>
      <c r="H192" s="10"/>
      <c r="I192" s="10">
        <v>0</v>
      </c>
      <c r="J192" s="10" t="inlineStr">
        <is>
          <t xml:space="preserve">7</t>
        </is>
      </c>
      <c r="K192" s="10" t="inlineStr">
        <is>
          <t xml:space="preserve">78</t>
        </is>
      </c>
      <c r="L192" s="10" t="inlineStr">
        <is>
          <t xml:space="preserve">786</t>
        </is>
      </c>
    </row>
    <row r="193">
      <c r="A193" s="15" t="inlineStr">
        <is>
          <t xml:space="preserve">TOTAUX</t>
        </is>
      </c>
      <c r="B193" s="15"/>
      <c r="C193" s="16">
        <f>SUM(C8:C192)</f>
      </c>
      <c r="D193" s="16">
        <f>SUM(D8:D192)</f>
      </c>
      <c r="E193" s="16">
        <f>SUM(E8:E192)</f>
      </c>
      <c r="F193" s="16">
        <f>SUM(F8:F192)</f>
      </c>
      <c r="G193" s="16">
        <f>SUM(G8:G192)</f>
      </c>
    </row>
    <row r="194">
      <c r="A194" s="18" t="inlineStr">
        <is>
          <t xml:space="preserve">Les six colonnes de droite servent au bilan et au compte de résultat. Elles ne se saisissent pas et ne se suppriment pas.</t>
        </is>
      </c>
    </row>
  </sheetData>
  <autoFilter ref="A7:L7"/>
  <mergeCells count="5">
    <mergeCell ref="A1:L1"/>
    <mergeCell ref="A2:L2"/>
    <mergeCell ref="A3:L3"/>
    <mergeCell ref="A5:F5"/>
    <mergeCell ref="A194:L194"/>
  </mergeCells>
  <pageMargins left="0.4" right="0.4" top="0.5" bottom="0.5" header="0.3" footer="0.3"/>
</worksheet>
</file>

<file path=xl/worksheets/sheet7.xml><?xml version="1.0" encoding="utf-8"?>
<worksheet xmlns="http://schemas.openxmlformats.org/spreadsheetml/2006/main">
  <sheetPr>
    <tabColor rgb="FFEA580C"/>
  </sheetPr>
  <sheetViews>
    <sheetView workbookViewId="0" showGridLines="0">
      <pane ySplit="8" topLeftCell="A9" activePane="bottomLeft" state="frozen"/>
      <selection pane="bottomLeft" activeCell="A9" sqref="A9"/>
    </sheetView>
  </sheetViews>
  <sheetFormatPr defaultRowHeight="15"/>
  <cols>
    <col min="1" max="1" width="42" customWidth="1"/>
    <col min="2" max="2" width="15" customWidth="1"/>
    <col min="3" max="3" width="17" customWidth="1"/>
    <col min="4" max="4" width="17" customWidth="1"/>
    <col min="5" max="5" width="17" customWidth="1"/>
    <col min="6" max="6" width="17" customWidth="1"/>
    <col min="7" max="7" width="17" customWidth="1"/>
    <col min="8" max="8" width="10" customWidth="1"/>
  </cols>
  <sheetData>
    <row r="1" ht="30" customHeight="1">
      <c r="A1" s="1" t="inlineStr">
        <is>
          <t xml:space="preserve">COÛT DES VENTES ET MARGE</t>
        </is>
      </c>
    </row>
    <row r="2" ht="22" customHeight="1">
      <c r="A2" s="2" t="inlineStr">
        <is>
          <t xml:space="preserve">تكلفة المبيعات والهامش</t>
        </is>
      </c>
    </row>
    <row r="3">
      <c r="A3" s="18">
        <f>Societe&amp;"   ·   Exercice "&amp;Exercice</f>
      </c>
    </row>
    <row r="5">
      <c r="A5" s="18" t="inlineStr">
        <is>
          <t xml:space="preserve">Deux lectures de la même chose. En haut, produit par produit, à partir de ce que vous saisissez ici. En bas, ce que disent les comptes du journal.</t>
        </is>
      </c>
    </row>
    <row r="7">
      <c r="A7" s="3" t="inlineStr">
        <is>
          <t xml:space="preserve">PAR PRODUIT  —  حسب المنتج   (cellules jaunes : à saisir)</t>
        </is>
      </c>
    </row>
    <row r="8">
      <c r="A8" s="8" t="inlineStr">
        <is>
          <t xml:space="preserve">Désignation</t>
        </is>
      </c>
      <c r="B8" s="8" t="inlineStr">
        <is>
          <t xml:space="preserve">Quantité vendue</t>
        </is>
      </c>
      <c r="C8" s="8" t="inlineStr">
        <is>
          <t xml:space="preserve">Prix de vente HT</t>
        </is>
      </c>
      <c r="D8" s="8" t="inlineStr">
        <is>
          <t xml:space="preserve">Prix d'achat HT</t>
        </is>
      </c>
      <c r="E8" s="8" t="inlineStr">
        <is>
          <t xml:space="preserve">Ventes HT</t>
        </is>
      </c>
      <c r="F8" s="8" t="inlineStr">
        <is>
          <t xml:space="preserve">Coût d'achat</t>
        </is>
      </c>
      <c r="G8" s="8" t="inlineStr">
        <is>
          <t xml:space="preserve">Marge</t>
        </is>
      </c>
      <c r="H8" s="8" t="inlineStr">
        <is>
          <t xml:space="preserve">Taux</t>
        </is>
      </c>
    </row>
    <row r="9">
      <c r="A9" s="5" t="inlineStr">
        <is>
          <t xml:space="preserve">Ciment CPJ 42.5 — sac 50 kg</t>
        </is>
      </c>
      <c r="B9" s="5">
        <v>400</v>
      </c>
      <c r="C9" s="6">
        <v>850</v>
      </c>
      <c r="D9" s="6">
        <v>620</v>
      </c>
      <c r="E9" s="11">
        <f>IF($A9="","",N($B9)*N($C9))</f>
      </c>
      <c r="F9" s="11">
        <f>IF($A9="","",N($B9)*N($D9))</f>
      </c>
      <c r="G9" s="11">
        <f>IF($A9="","",N($E9)-N($F9))</f>
      </c>
      <c r="H9" s="14">
        <f>IF(N($E9)=0,"",N($G9)/N($E9)*100)</f>
      </c>
    </row>
    <row r="10">
      <c r="A10" s="5" t="inlineStr">
        <is>
          <t xml:space="preserve">Rond à béton Ø10 — barre</t>
        </is>
      </c>
      <c r="B10" s="5">
        <v>120</v>
      </c>
      <c r="C10" s="6">
        <v>1250</v>
      </c>
      <c r="D10" s="6">
        <v>980</v>
      </c>
      <c r="E10" s="11">
        <f>IF($A10="","",N($B10)*N($C10))</f>
      </c>
      <c r="F10" s="11">
        <f>IF($A10="","",N($B10)*N($D10))</f>
      </c>
      <c r="G10" s="11">
        <f>IF($A10="","",N($E10)-N($F10))</f>
      </c>
      <c r="H10" s="14">
        <f>IF(N($E10)=0,"",N($G10)/N($E10)*100)</f>
      </c>
    </row>
    <row r="11">
      <c r="A11" s="5" t="inlineStr">
        <is>
          <t xml:space="preserve">Peinture intérieure — 20 L</t>
        </is>
      </c>
      <c r="B11" s="5">
        <v>35</v>
      </c>
      <c r="C11" s="6">
        <v>4200</v>
      </c>
      <c r="D11" s="6">
        <v>2950</v>
      </c>
      <c r="E11" s="11">
        <f>IF($A11="","",N($B11)*N($C11))</f>
      </c>
      <c r="F11" s="11">
        <f>IF($A11="","",N($B11)*N($D11))</f>
      </c>
      <c r="G11" s="11">
        <f>IF($A11="","",N($E11)-N($F11))</f>
      </c>
      <c r="H11" s="14">
        <f>IF(N($E11)=0,"",N($G11)/N($E11)*100)</f>
      </c>
    </row>
    <row r="12">
      <c r="A12" s="5"/>
      <c r="B12" s="5"/>
      <c r="C12" s="6"/>
      <c r="D12" s="6"/>
      <c r="E12" s="11">
        <f>IF($A12="","",N($B12)*N($C12))</f>
      </c>
      <c r="F12" s="11">
        <f>IF($A12="","",N($B12)*N($D12))</f>
      </c>
      <c r="G12" s="11">
        <f>IF($A12="","",N($E12)-N($F12))</f>
      </c>
      <c r="H12" s="14">
        <f>IF(N($E12)=0,"",N($G12)/N($E12)*100)</f>
      </c>
    </row>
    <row r="13">
      <c r="A13" s="5"/>
      <c r="B13" s="5"/>
      <c r="C13" s="6"/>
      <c r="D13" s="6"/>
      <c r="E13" s="11">
        <f>IF($A13="","",N($B13)*N($C13))</f>
      </c>
      <c r="F13" s="11">
        <f>IF($A13="","",N($B13)*N($D13))</f>
      </c>
      <c r="G13" s="11">
        <f>IF($A13="","",N($E13)-N($F13))</f>
      </c>
      <c r="H13" s="14">
        <f>IF(N($E13)=0,"",N($G13)/N($E13)*100)</f>
      </c>
    </row>
    <row r="14">
      <c r="A14" s="5"/>
      <c r="B14" s="5"/>
      <c r="C14" s="6"/>
      <c r="D14" s="6"/>
      <c r="E14" s="11">
        <f>IF($A14="","",N($B14)*N($C14))</f>
      </c>
      <c r="F14" s="11">
        <f>IF($A14="","",N($B14)*N($D14))</f>
      </c>
      <c r="G14" s="11">
        <f>IF($A14="","",N($E14)-N($F14))</f>
      </c>
      <c r="H14" s="14">
        <f>IF(N($E14)=0,"",N($G14)/N($E14)*100)</f>
      </c>
    </row>
    <row r="15">
      <c r="A15" s="5"/>
      <c r="B15" s="5"/>
      <c r="C15" s="6"/>
      <c r="D15" s="6"/>
      <c r="E15" s="11">
        <f>IF($A15="","",N($B15)*N($C15))</f>
      </c>
      <c r="F15" s="11">
        <f>IF($A15="","",N($B15)*N($D15))</f>
      </c>
      <c r="G15" s="11">
        <f>IF($A15="","",N($E15)-N($F15))</f>
      </c>
      <c r="H15" s="14">
        <f>IF(N($E15)=0,"",N($G15)/N($E15)*100)</f>
      </c>
    </row>
    <row r="16">
      <c r="A16" s="5"/>
      <c r="B16" s="5"/>
      <c r="C16" s="6"/>
      <c r="D16" s="6"/>
      <c r="E16" s="11">
        <f>IF($A16="","",N($B16)*N($C16))</f>
      </c>
      <c r="F16" s="11">
        <f>IF($A16="","",N($B16)*N($D16))</f>
      </c>
      <c r="G16" s="11">
        <f>IF($A16="","",N($E16)-N($F16))</f>
      </c>
      <c r="H16" s="14">
        <f>IF(N($E16)=0,"",N($G16)/N($E16)*100)</f>
      </c>
    </row>
    <row r="17">
      <c r="A17" s="5"/>
      <c r="B17" s="5"/>
      <c r="C17" s="6"/>
      <c r="D17" s="6"/>
      <c r="E17" s="11">
        <f>IF($A17="","",N($B17)*N($C17))</f>
      </c>
      <c r="F17" s="11">
        <f>IF($A17="","",N($B17)*N($D17))</f>
      </c>
      <c r="G17" s="11">
        <f>IF($A17="","",N($E17)-N($F17))</f>
      </c>
      <c r="H17" s="14">
        <f>IF(N($E17)=0,"",N($G17)/N($E17)*100)</f>
      </c>
    </row>
    <row r="18">
      <c r="A18" s="5"/>
      <c r="B18" s="5"/>
      <c r="C18" s="6"/>
      <c r="D18" s="6"/>
      <c r="E18" s="11">
        <f>IF($A18="","",N($B18)*N($C18))</f>
      </c>
      <c r="F18" s="11">
        <f>IF($A18="","",N($B18)*N($D18))</f>
      </c>
      <c r="G18" s="11">
        <f>IF($A18="","",N($E18)-N($F18))</f>
      </c>
      <c r="H18" s="14">
        <f>IF(N($E18)=0,"",N($G18)/N($E18)*100)</f>
      </c>
    </row>
    <row r="19">
      <c r="A19" s="5"/>
      <c r="B19" s="5"/>
      <c r="C19" s="6"/>
      <c r="D19" s="6"/>
      <c r="E19" s="11">
        <f>IF($A19="","",N($B19)*N($C19))</f>
      </c>
      <c r="F19" s="11">
        <f>IF($A19="","",N($B19)*N($D19))</f>
      </c>
      <c r="G19" s="11">
        <f>IF($A19="","",N($E19)-N($F19))</f>
      </c>
      <c r="H19" s="14">
        <f>IF(N($E19)=0,"",N($G19)/N($E19)*100)</f>
      </c>
    </row>
    <row r="20">
      <c r="A20" s="5"/>
      <c r="B20" s="5"/>
      <c r="C20" s="6"/>
      <c r="D20" s="6"/>
      <c r="E20" s="11">
        <f>IF($A20="","",N($B20)*N($C20))</f>
      </c>
      <c r="F20" s="11">
        <f>IF($A20="","",N($B20)*N($D20))</f>
      </c>
      <c r="G20" s="11">
        <f>IF($A20="","",N($E20)-N($F20))</f>
      </c>
      <c r="H20" s="14">
        <f>IF(N($E20)=0,"",N($G20)/N($E20)*100)</f>
      </c>
    </row>
    <row r="21">
      <c r="A21" s="5"/>
      <c r="B21" s="5"/>
      <c r="C21" s="6"/>
      <c r="D21" s="6"/>
      <c r="E21" s="11">
        <f>IF($A21="","",N($B21)*N($C21))</f>
      </c>
      <c r="F21" s="11">
        <f>IF($A21="","",N($B21)*N($D21))</f>
      </c>
      <c r="G21" s="11">
        <f>IF($A21="","",N($E21)-N($F21))</f>
      </c>
      <c r="H21" s="14">
        <f>IF(N($E21)=0,"",N($G21)/N($E21)*100)</f>
      </c>
    </row>
    <row r="22">
      <c r="A22" s="5"/>
      <c r="B22" s="5"/>
      <c r="C22" s="6"/>
      <c r="D22" s="6"/>
      <c r="E22" s="11">
        <f>IF($A22="","",N($B22)*N($C22))</f>
      </c>
      <c r="F22" s="11">
        <f>IF($A22="","",N($B22)*N($D22))</f>
      </c>
      <c r="G22" s="11">
        <f>IF($A22="","",N($E22)-N($F22))</f>
      </c>
      <c r="H22" s="14">
        <f>IF(N($E22)=0,"",N($G22)/N($E22)*100)</f>
      </c>
    </row>
    <row r="23">
      <c r="A23" s="5"/>
      <c r="B23" s="5"/>
      <c r="C23" s="6"/>
      <c r="D23" s="6"/>
      <c r="E23" s="11">
        <f>IF($A23="","",N($B23)*N($C23))</f>
      </c>
      <c r="F23" s="11">
        <f>IF($A23="","",N($B23)*N($D23))</f>
      </c>
      <c r="G23" s="11">
        <f>IF($A23="","",N($E23)-N($F23))</f>
      </c>
      <c r="H23" s="14">
        <f>IF(N($E23)=0,"",N($G23)/N($E23)*100)</f>
      </c>
    </row>
    <row r="24">
      <c r="A24" s="5"/>
      <c r="B24" s="5"/>
      <c r="C24" s="6"/>
      <c r="D24" s="6"/>
      <c r="E24" s="11">
        <f>IF($A24="","",N($B24)*N($C24))</f>
      </c>
      <c r="F24" s="11">
        <f>IF($A24="","",N($B24)*N($D24))</f>
      </c>
      <c r="G24" s="11">
        <f>IF($A24="","",N($E24)-N($F24))</f>
      </c>
      <c r="H24" s="14">
        <f>IF(N($E24)=0,"",N($G24)/N($E24)*100)</f>
      </c>
    </row>
    <row r="25">
      <c r="A25" s="5"/>
      <c r="B25" s="5"/>
      <c r="C25" s="6"/>
      <c r="D25" s="6"/>
      <c r="E25" s="11">
        <f>IF($A25="","",N($B25)*N($C25))</f>
      </c>
      <c r="F25" s="11">
        <f>IF($A25="","",N($B25)*N($D25))</f>
      </c>
      <c r="G25" s="11">
        <f>IF($A25="","",N($E25)-N($F25))</f>
      </c>
      <c r="H25" s="14">
        <f>IF(N($E25)=0,"",N($G25)/N($E25)*100)</f>
      </c>
    </row>
    <row r="26">
      <c r="A26" s="5"/>
      <c r="B26" s="5"/>
      <c r="C26" s="6"/>
      <c r="D26" s="6"/>
      <c r="E26" s="11">
        <f>IF($A26="","",N($B26)*N($C26))</f>
      </c>
      <c r="F26" s="11">
        <f>IF($A26="","",N($B26)*N($D26))</f>
      </c>
      <c r="G26" s="11">
        <f>IF($A26="","",N($E26)-N($F26))</f>
      </c>
      <c r="H26" s="14">
        <f>IF(N($E26)=0,"",N($G26)/N($E26)*100)</f>
      </c>
    </row>
    <row r="27">
      <c r="A27" s="5"/>
      <c r="B27" s="5"/>
      <c r="C27" s="6"/>
      <c r="D27" s="6"/>
      <c r="E27" s="11">
        <f>IF($A27="","",N($B27)*N($C27))</f>
      </c>
      <c r="F27" s="11">
        <f>IF($A27="","",N($B27)*N($D27))</f>
      </c>
      <c r="G27" s="11">
        <f>IF($A27="","",N($E27)-N($F27))</f>
      </c>
      <c r="H27" s="14">
        <f>IF(N($E27)=0,"",N($G27)/N($E27)*100)</f>
      </c>
    </row>
    <row r="28">
      <c r="A28" s="5"/>
      <c r="B28" s="5"/>
      <c r="C28" s="6"/>
      <c r="D28" s="6"/>
      <c r="E28" s="11">
        <f>IF($A28="","",N($B28)*N($C28))</f>
      </c>
      <c r="F28" s="11">
        <f>IF($A28="","",N($B28)*N($D28))</f>
      </c>
      <c r="G28" s="11">
        <f>IF($A28="","",N($E28)-N($F28))</f>
      </c>
      <c r="H28" s="14">
        <f>IF(N($E28)=0,"",N($G28)/N($E28)*100)</f>
      </c>
    </row>
    <row r="29">
      <c r="A29" s="5"/>
      <c r="B29" s="5"/>
      <c r="C29" s="6"/>
      <c r="D29" s="6"/>
      <c r="E29" s="11">
        <f>IF($A29="","",N($B29)*N($C29))</f>
      </c>
      <c r="F29" s="11">
        <f>IF($A29="","",N($B29)*N($D29))</f>
      </c>
      <c r="G29" s="11">
        <f>IF($A29="","",N($E29)-N($F29))</f>
      </c>
      <c r="H29" s="14">
        <f>IF(N($E29)=0,"",N($G29)/N($E29)*100)</f>
      </c>
    </row>
    <row r="30">
      <c r="A30" s="5"/>
      <c r="B30" s="5"/>
      <c r="C30" s="6"/>
      <c r="D30" s="6"/>
      <c r="E30" s="11">
        <f>IF($A30="","",N($B30)*N($C30))</f>
      </c>
      <c r="F30" s="11">
        <f>IF($A30="","",N($B30)*N($D30))</f>
      </c>
      <c r="G30" s="11">
        <f>IF($A30="","",N($E30)-N($F30))</f>
      </c>
      <c r="H30" s="14">
        <f>IF(N($E30)=0,"",N($G30)/N($E30)*100)</f>
      </c>
    </row>
    <row r="31">
      <c r="A31" s="5"/>
      <c r="B31" s="5"/>
      <c r="C31" s="6"/>
      <c r="D31" s="6"/>
      <c r="E31" s="11">
        <f>IF($A31="","",N($B31)*N($C31))</f>
      </c>
      <c r="F31" s="11">
        <f>IF($A31="","",N($B31)*N($D31))</f>
      </c>
      <c r="G31" s="11">
        <f>IF($A31="","",N($E31)-N($F31))</f>
      </c>
      <c r="H31" s="14">
        <f>IF(N($E31)=0,"",N($G31)/N($E31)*100)</f>
      </c>
    </row>
    <row r="32">
      <c r="A32" s="5"/>
      <c r="B32" s="5"/>
      <c r="C32" s="6"/>
      <c r="D32" s="6"/>
      <c r="E32" s="11">
        <f>IF($A32="","",N($B32)*N($C32))</f>
      </c>
      <c r="F32" s="11">
        <f>IF($A32="","",N($B32)*N($D32))</f>
      </c>
      <c r="G32" s="11">
        <f>IF($A32="","",N($E32)-N($F32))</f>
      </c>
      <c r="H32" s="14">
        <f>IF(N($E32)=0,"",N($G32)/N($E32)*100)</f>
      </c>
    </row>
    <row r="33">
      <c r="A33" s="5"/>
      <c r="B33" s="5"/>
      <c r="C33" s="6"/>
      <c r="D33" s="6"/>
      <c r="E33" s="11">
        <f>IF($A33="","",N($B33)*N($C33))</f>
      </c>
      <c r="F33" s="11">
        <f>IF($A33="","",N($B33)*N($D33))</f>
      </c>
      <c r="G33" s="11">
        <f>IF($A33="","",N($E33)-N($F33))</f>
      </c>
      <c r="H33" s="14">
        <f>IF(N($E33)=0,"",N($G33)/N($E33)*100)</f>
      </c>
    </row>
    <row r="34">
      <c r="A34" s="5"/>
      <c r="B34" s="5"/>
      <c r="C34" s="6"/>
      <c r="D34" s="6"/>
      <c r="E34" s="11">
        <f>IF($A34="","",N($B34)*N($C34))</f>
      </c>
      <c r="F34" s="11">
        <f>IF($A34="","",N($B34)*N($D34))</f>
      </c>
      <c r="G34" s="11">
        <f>IF($A34="","",N($E34)-N($F34))</f>
      </c>
      <c r="H34" s="14">
        <f>IF(N($E34)=0,"",N($G34)/N($E34)*100)</f>
      </c>
    </row>
    <row r="35">
      <c r="A35" s="5"/>
      <c r="B35" s="5"/>
      <c r="C35" s="6"/>
      <c r="D35" s="6"/>
      <c r="E35" s="11">
        <f>IF($A35="","",N($B35)*N($C35))</f>
      </c>
      <c r="F35" s="11">
        <f>IF($A35="","",N($B35)*N($D35))</f>
      </c>
      <c r="G35" s="11">
        <f>IF($A35="","",N($E35)-N($F35))</f>
      </c>
      <c r="H35" s="14">
        <f>IF(N($E35)=0,"",N($G35)/N($E35)*100)</f>
      </c>
    </row>
    <row r="36">
      <c r="A36" s="5"/>
      <c r="B36" s="5"/>
      <c r="C36" s="6"/>
      <c r="D36" s="6"/>
      <c r="E36" s="11">
        <f>IF($A36="","",N($B36)*N($C36))</f>
      </c>
      <c r="F36" s="11">
        <f>IF($A36="","",N($B36)*N($D36))</f>
      </c>
      <c r="G36" s="11">
        <f>IF($A36="","",N($E36)-N($F36))</f>
      </c>
      <c r="H36" s="14">
        <f>IF(N($E36)=0,"",N($G36)/N($E36)*100)</f>
      </c>
    </row>
    <row r="37">
      <c r="A37" s="5"/>
      <c r="B37" s="5"/>
      <c r="C37" s="6"/>
      <c r="D37" s="6"/>
      <c r="E37" s="11">
        <f>IF($A37="","",N($B37)*N($C37))</f>
      </c>
      <c r="F37" s="11">
        <f>IF($A37="","",N($B37)*N($D37))</f>
      </c>
      <c r="G37" s="11">
        <f>IF($A37="","",N($E37)-N($F37))</f>
      </c>
      <c r="H37" s="14">
        <f>IF(N($E37)=0,"",N($G37)/N($E37)*100)</f>
      </c>
    </row>
    <row r="38">
      <c r="A38" s="5"/>
      <c r="B38" s="5"/>
      <c r="C38" s="6"/>
      <c r="D38" s="6"/>
      <c r="E38" s="11">
        <f>IF($A38="","",N($B38)*N($C38))</f>
      </c>
      <c r="F38" s="11">
        <f>IF($A38="","",N($B38)*N($D38))</f>
      </c>
      <c r="G38" s="11">
        <f>IF($A38="","",N($E38)-N($F38))</f>
      </c>
      <c r="H38" s="14">
        <f>IF(N($E38)=0,"",N($G38)/N($E38)*100)</f>
      </c>
    </row>
    <row r="39">
      <c r="A39" s="15" t="inlineStr">
        <is>
          <t xml:space="preserve">TOTAL</t>
        </is>
      </c>
      <c r="B39" s="15"/>
      <c r="C39" s="15"/>
      <c r="D39" s="15"/>
      <c r="E39" s="16">
        <f>SUM(E9:E38)</f>
      </c>
      <c r="F39" s="16">
        <f>SUM(F9:F38)</f>
      </c>
      <c r="G39" s="16">
        <f>SUM(G9:G38)</f>
      </c>
      <c r="H39" s="14">
        <f>IF($E39=0,"",$G39/$E39*100)</f>
      </c>
    </row>
    <row r="41">
      <c r="A41" s="3" t="inlineStr">
        <is>
          <t xml:space="preserve">CE QUE DISENT LES COMPTES  —  ما تقوله الحسابات</t>
        </is>
      </c>
    </row>
    <row r="42">
      <c r="A42" s="4" t="inlineStr">
        <is>
          <t xml:space="preserve">Ventes de l'exercice (comptes 70)</t>
        </is>
      </c>
      <c r="C42" s="11">
        <f>-SUMIF('Balance'!$K$8:$K$192,"70",'Balance'!$G$8:$G$192)</f>
      </c>
    </row>
    <row r="43">
      <c r="A43" s="4" t="inlineStr">
        <is>
          <t xml:space="preserve">Stock initial de marchandises</t>
        </is>
      </c>
      <c r="C43" s="6">
        <v>300000</v>
      </c>
    </row>
    <row r="44">
      <c r="A44" s="4" t="inlineStr">
        <is>
          <t xml:space="preserve">Achats consommés (comptes 60)</t>
        </is>
      </c>
      <c r="C44" s="11">
        <f>SUMIF('Balance'!$K$8:$K$192,"60",'Balance'!$G$8:$G$192)</f>
      </c>
    </row>
    <row r="45">
      <c r="A45" s="4" t="inlineStr">
        <is>
          <t xml:space="preserve">Stock final de marchandises</t>
        </is>
      </c>
      <c r="C45" s="6">
        <v>260000</v>
      </c>
    </row>
    <row r="46">
      <c r="A46" s="4" t="inlineStr">
        <is>
          <t xml:space="preserve">Coût des marchandises vendues</t>
        </is>
      </c>
      <c r="C46" s="11">
        <f>N($C43)+N($C44)-N($C45)</f>
      </c>
    </row>
    <row r="47">
      <c r="A47" s="15" t="inlineStr">
        <is>
          <t xml:space="preserve">Marge brute</t>
        </is>
      </c>
      <c r="C47" s="16">
        <f>N($C42)-N($C46)</f>
      </c>
    </row>
    <row r="48">
      <c r="A48" s="15" t="inlineStr">
        <is>
          <t xml:space="preserve">Taux de marge</t>
        </is>
      </c>
      <c r="C48" s="14">
        <f>IF(N($C42)=0,"",N($C47)/N($C42)*100)</f>
      </c>
    </row>
    <row r="50">
      <c r="A50" s="18" t="inlineStr">
        <is>
          <t xml:space="preserve">Le SCF tient l'inventaire intermittent : le coût des marchandises vendues ne se constate pas vente par vente, il se déduit en fin d'exercice du stock initial, des achats et du stock final. Le tableau du haut est une estimation de gestion, celui du bas est le chiffre comptable. Les deux ne coïncident que si tout ce qui a été acheté a été vendu.</t>
        </is>
      </c>
    </row>
  </sheetData>
  <mergeCells count="14">
    <mergeCell ref="A1:H1"/>
    <mergeCell ref="A2:H2"/>
    <mergeCell ref="A3:H3"/>
    <mergeCell ref="A5:H5"/>
    <mergeCell ref="A7:H7"/>
    <mergeCell ref="A41:H41"/>
    <mergeCell ref="A42:B42"/>
    <mergeCell ref="A43:B43"/>
    <mergeCell ref="A44:B44"/>
    <mergeCell ref="A45:B45"/>
    <mergeCell ref="A46:B46"/>
    <mergeCell ref="A47:B47"/>
    <mergeCell ref="A48:B48"/>
    <mergeCell ref="A50:H50"/>
  </mergeCells>
  <pageMargins left="0.4" right="0.4" top="0.5" bottom="0.5" header="0.3" footer="0.3"/>
</worksheet>
</file>

<file path=xl/worksheets/sheet8.xml><?xml version="1.0" encoding="utf-8"?>
<worksheet xmlns="http://schemas.openxmlformats.org/spreadsheetml/2006/main">
  <sheetPr>
    <tabColor rgb="FF0D9488"/>
    <pageSetUpPr fitToPage="1"/>
  </sheetPr>
  <sheetViews>
    <sheetView workbookViewId="0" showGridLines="0"/>
  </sheetViews>
  <sheetFormatPr defaultRowHeight="15"/>
  <cols>
    <col min="1" max="1" width="7" customWidth="1"/>
    <col min="2" max="2" width="58" customWidth="1"/>
    <col min="3" max="3" width="46" customWidth="1"/>
    <col min="4" max="4" width="20" customWidth="1"/>
  </cols>
  <sheetData>
    <row r="1" ht="30" customHeight="1">
      <c r="A1" s="1" t="inlineStr">
        <is>
          <t xml:space="preserve">COMPTE DE RÉSULTAT PAR NATURE</t>
        </is>
      </c>
    </row>
    <row r="2" ht="22" customHeight="1">
      <c r="A2" s="2" t="inlineStr">
        <is>
          <t xml:space="preserve">حساب النتائج حسب الطبيعة</t>
        </is>
      </c>
    </row>
    <row r="3">
      <c r="A3" s="18">
        <f>Societe&amp;"   ·   Exercice "&amp;Exercice</f>
      </c>
    </row>
    <row r="5">
      <c r="A5" s="18" t="inlineStr">
        <is>
          <t xml:space="preserve">Présentation de l'arrêté du 26 juillet 2008, avec ses soldes intermédiaires de gestion.</t>
        </is>
      </c>
    </row>
    <row r="7">
      <c r="A7" s="8"/>
      <c r="B7" s="8" t="inlineStr">
        <is>
          <t xml:space="preserve">Rubrique</t>
        </is>
      </c>
      <c r="C7" s="8" t="inlineStr">
        <is>
          <t xml:space="preserve">التسمية</t>
        </is>
      </c>
      <c r="D7" s="8" t="inlineStr">
        <is>
          <t xml:space="preserve">Exercice</t>
        </is>
      </c>
    </row>
    <row r="8">
      <c r="A8" s="10"/>
      <c r="B8" s="9" t="inlineStr">
        <is>
          <t xml:space="preserve">Ventes et produits annexes</t>
        </is>
      </c>
      <c r="C8" s="21" t="inlineStr">
        <is>
          <t xml:space="preserve">المبيعات والمنتوجات الملحقة</t>
        </is>
      </c>
      <c r="D8" s="11">
        <f>-SUMIF('Balance'!$K$8:$K$192,"70",'Balance'!$G$8:$G$192)</f>
      </c>
    </row>
    <row r="9">
      <c r="A9" s="10"/>
      <c r="B9" s="9" t="inlineStr">
        <is>
          <t xml:space="preserve">Variation stocks produits finis et en cours</t>
        </is>
      </c>
      <c r="C9" s="21" t="inlineStr">
        <is>
          <t xml:space="preserve">تغير مخزونات المنتجات التامة وقيد التنفيذ</t>
        </is>
      </c>
      <c r="D9" s="11">
        <f>-SUMIF('Balance'!$K$8:$K$192,"72",'Balance'!$G$8:$G$192)</f>
      </c>
    </row>
    <row r="10">
      <c r="A10" s="10"/>
      <c r="B10" s="9" t="inlineStr">
        <is>
          <t xml:space="preserve">Production immobilisée</t>
        </is>
      </c>
      <c r="C10" s="21" t="inlineStr">
        <is>
          <t xml:space="preserve">الإنتاج المثبت</t>
        </is>
      </c>
      <c r="D10" s="11">
        <f>-SUMIF('Balance'!$K$8:$K$192,"73",'Balance'!$G$8:$G$192)</f>
      </c>
    </row>
    <row r="11">
      <c r="A11" s="10"/>
      <c r="B11" s="9" t="inlineStr">
        <is>
          <t xml:space="preserve">Subventions d'exploitation</t>
        </is>
      </c>
      <c r="C11" s="21" t="inlineStr">
        <is>
          <t xml:space="preserve">إعانات الاستغلال</t>
        </is>
      </c>
      <c r="D11" s="11">
        <f>-SUMIF('Balance'!$K$8:$K$192,"74",'Balance'!$G$8:$G$192)</f>
      </c>
    </row>
    <row r="12">
      <c r="A12" s="15" t="inlineStr">
        <is>
          <t xml:space="preserve">I</t>
        </is>
      </c>
      <c r="B12" s="15" t="inlineStr">
        <is>
          <t xml:space="preserve">PRODUCTION DE L'EXERCICE</t>
        </is>
      </c>
      <c r="C12" s="15" t="inlineStr">
        <is>
          <t xml:space="preserve">إنتاج السنة المالية</t>
        </is>
      </c>
      <c r="D12" s="16">
        <f>SUM($D$8:$D$11)</f>
      </c>
    </row>
    <row r="13">
      <c r="A13" s="10"/>
      <c r="B13" s="9" t="inlineStr">
        <is>
          <t xml:space="preserve">Achats consommés</t>
        </is>
      </c>
      <c r="C13" s="21" t="inlineStr">
        <is>
          <t xml:space="preserve">المشتريات المستهلكة</t>
        </is>
      </c>
      <c r="D13" s="11">
        <f>SUMIF('Balance'!$K$8:$K$192,"60",'Balance'!$G$8:$G$192)</f>
      </c>
    </row>
    <row r="14">
      <c r="A14" s="10"/>
      <c r="B14" s="9" t="inlineStr">
        <is>
          <t xml:space="preserve">Services extérieurs et autres consommations</t>
        </is>
      </c>
      <c r="C14" s="21" t="inlineStr">
        <is>
          <t xml:space="preserve">الخدمات الخارجية والاستهلاكات الأخرى</t>
        </is>
      </c>
      <c r="D14" s="11">
        <f>SUMIF('Balance'!$K$8:$K$192,"61",'Balance'!$G$8:$G$192)+SUMIF('Balance'!$K$8:$K$192,"62",'Balance'!$G$8:$G$192)</f>
      </c>
    </row>
    <row r="15">
      <c r="A15" s="15" t="inlineStr">
        <is>
          <t xml:space="preserve">II</t>
        </is>
      </c>
      <c r="B15" s="15" t="inlineStr">
        <is>
          <t xml:space="preserve">CONSOMMATION DE L'EXERCICE</t>
        </is>
      </c>
      <c r="C15" s="15" t="inlineStr">
        <is>
          <t xml:space="preserve">استهلاكات السنة المالية</t>
        </is>
      </c>
      <c r="D15" s="16">
        <f>$D$13+$D$14</f>
      </c>
    </row>
    <row r="16">
      <c r="A16" s="15" t="inlineStr">
        <is>
          <t xml:space="preserve">III</t>
        </is>
      </c>
      <c r="B16" s="15" t="inlineStr">
        <is>
          <t xml:space="preserve">VALEUR AJOUTÉE D'EXPLOITATION</t>
        </is>
      </c>
      <c r="C16" s="15" t="inlineStr">
        <is>
          <t xml:space="preserve">القيمة المضافة للاستغلال</t>
        </is>
      </c>
      <c r="D16" s="16">
        <f>$D$12-$D$15</f>
      </c>
    </row>
    <row r="17">
      <c r="A17" s="10"/>
      <c r="B17" s="9" t="inlineStr">
        <is>
          <t xml:space="preserve">Charges de personnel</t>
        </is>
      </c>
      <c r="C17" s="21" t="inlineStr">
        <is>
          <t xml:space="preserve">أعباء المستخدمين</t>
        </is>
      </c>
      <c r="D17" s="11">
        <f>SUMIF('Balance'!$K$8:$K$192,"63",'Balance'!$G$8:$G$192)</f>
      </c>
    </row>
    <row r="18">
      <c r="A18" s="10"/>
      <c r="B18" s="9" t="inlineStr">
        <is>
          <t xml:space="preserve">Impôts, taxes et versements assimilés</t>
        </is>
      </c>
      <c r="C18" s="21" t="inlineStr">
        <is>
          <t xml:space="preserve">الضرائب والرسوم والمدفوعات المماثلة</t>
        </is>
      </c>
      <c r="D18" s="11">
        <f>SUMIF('Balance'!$K$8:$K$192,"64",'Balance'!$G$8:$G$192)</f>
      </c>
    </row>
    <row r="19">
      <c r="A19" s="15" t="inlineStr">
        <is>
          <t xml:space="preserve">IV</t>
        </is>
      </c>
      <c r="B19" s="15" t="inlineStr">
        <is>
          <t xml:space="preserve">EXCÉDENT BRUT D'EXPLOITATION</t>
        </is>
      </c>
      <c r="C19" s="15" t="inlineStr">
        <is>
          <t xml:space="preserve">الفائض الإجمالي عن الاستغلال</t>
        </is>
      </c>
      <c r="D19" s="16">
        <f>$D$16-$D$17-$D$18</f>
      </c>
    </row>
    <row r="20">
      <c r="A20" s="10"/>
      <c r="B20" s="9" t="inlineStr">
        <is>
          <t xml:space="preserve">Autres produits opérationnels</t>
        </is>
      </c>
      <c r="C20" s="21" t="inlineStr">
        <is>
          <t xml:space="preserve">المنتوجات العملياتية الأخرى</t>
        </is>
      </c>
      <c r="D20" s="11">
        <f>-SUMIF('Balance'!$K$8:$K$192,"75",'Balance'!$G$8:$G$192)</f>
      </c>
    </row>
    <row r="21">
      <c r="A21" s="10"/>
      <c r="B21" s="9" t="inlineStr">
        <is>
          <t xml:space="preserve">Autres charges opérationnelles</t>
        </is>
      </c>
      <c r="C21" s="21" t="inlineStr">
        <is>
          <t xml:space="preserve">الأعباء العملياتية الأخرى</t>
        </is>
      </c>
      <c r="D21" s="11">
        <f>SUMIF('Balance'!$K$8:$K$192,"65",'Balance'!$G$8:$G$192)</f>
      </c>
    </row>
    <row r="22">
      <c r="A22" s="10"/>
      <c r="B22" s="9" t="inlineStr">
        <is>
          <t xml:space="preserve">Dotations aux amortissements, provisions et pertes de valeur</t>
        </is>
      </c>
      <c r="C22" s="21" t="inlineStr">
        <is>
          <t xml:space="preserve">مخصصات الاهتلاكات والمؤونات وخسائر القيمة</t>
        </is>
      </c>
      <c r="D22" s="11">
        <f>SUMIF('Balance'!$K$8:$K$192,"68",'Balance'!$G$8:$G$192)</f>
      </c>
    </row>
    <row r="23">
      <c r="A23" s="10"/>
      <c r="B23" s="9" t="inlineStr">
        <is>
          <t xml:space="preserve">Reprise sur pertes de valeur et provisions</t>
        </is>
      </c>
      <c r="C23" s="21" t="inlineStr">
        <is>
          <t xml:space="preserve">استئناف خسائر القيمة والمؤونات</t>
        </is>
      </c>
      <c r="D23" s="11">
        <f>-SUMIF('Balance'!$K$8:$K$192,"78",'Balance'!$G$8:$G$192)</f>
      </c>
    </row>
    <row r="24">
      <c r="A24" s="15" t="inlineStr">
        <is>
          <t xml:space="preserve">V</t>
        </is>
      </c>
      <c r="B24" s="15" t="inlineStr">
        <is>
          <t xml:space="preserve">RÉSULTAT OPÉRATIONNEL</t>
        </is>
      </c>
      <c r="C24" s="15" t="inlineStr">
        <is>
          <t xml:space="preserve">النتيجة العملياتية</t>
        </is>
      </c>
      <c r="D24" s="16">
        <f>$D$19+$D$20-$D$21-$D$22+$D$23</f>
      </c>
    </row>
    <row r="25">
      <c r="A25" s="10"/>
      <c r="B25" s="9" t="inlineStr">
        <is>
          <t xml:space="preserve">Produits financiers</t>
        </is>
      </c>
      <c r="C25" s="21" t="inlineStr">
        <is>
          <t xml:space="preserve">المنتوجات المالية</t>
        </is>
      </c>
      <c r="D25" s="11">
        <f>-SUMIF('Balance'!$K$8:$K$192,"76",'Balance'!$G$8:$G$192)</f>
      </c>
    </row>
    <row r="26">
      <c r="A26" s="10"/>
      <c r="B26" s="9" t="inlineStr">
        <is>
          <t xml:space="preserve">Charges financières</t>
        </is>
      </c>
      <c r="C26" s="21" t="inlineStr">
        <is>
          <t xml:space="preserve">الأعباء المالية</t>
        </is>
      </c>
      <c r="D26" s="11">
        <f>SUMIF('Balance'!$K$8:$K$192,"66",'Balance'!$G$8:$G$192)</f>
      </c>
    </row>
    <row r="27">
      <c r="A27" s="15" t="inlineStr">
        <is>
          <t xml:space="preserve">VI</t>
        </is>
      </c>
      <c r="B27" s="15" t="inlineStr">
        <is>
          <t xml:space="preserve">RÉSULTAT FINANCIER</t>
        </is>
      </c>
      <c r="C27" s="15" t="inlineStr">
        <is>
          <t xml:space="preserve">النتيجة المالية</t>
        </is>
      </c>
      <c r="D27" s="16">
        <f>$D$25-$D$26</f>
      </c>
    </row>
    <row r="28">
      <c r="A28" s="15" t="inlineStr">
        <is>
          <t xml:space="preserve">VII</t>
        </is>
      </c>
      <c r="B28" s="15" t="inlineStr">
        <is>
          <t xml:space="preserve">RÉSULTAT ORDINAIRE AVANT IMPÔTS</t>
        </is>
      </c>
      <c r="C28" s="15" t="inlineStr">
        <is>
          <t xml:space="preserve">النتيجة العادية قبل الضرائب</t>
        </is>
      </c>
      <c r="D28" s="16">
        <f>$D$24+$D$27</f>
      </c>
    </row>
    <row r="29">
      <c r="A29" s="10"/>
      <c r="B29" s="9" t="inlineStr">
        <is>
          <t xml:space="preserve">Impôts exigibles sur résultats ordinaires</t>
        </is>
      </c>
      <c r="C29" s="21" t="inlineStr">
        <is>
          <t xml:space="preserve">الضرائب الواجبة على النتائج العادية</t>
        </is>
      </c>
      <c r="D29" s="11">
        <f>SUMIF('Balance'!$L$8:$L$192,"695",'Balance'!$G$8:$G$192)+SUMIF('Balance'!$L$8:$L$192,"698",'Balance'!$G$8:$G$192)</f>
      </c>
    </row>
    <row r="30">
      <c r="A30" s="10"/>
      <c r="B30" s="9" t="inlineStr">
        <is>
          <t xml:space="preserve">Impôts différés sur résultats ordinaires</t>
        </is>
      </c>
      <c r="C30" s="21" t="inlineStr">
        <is>
          <t xml:space="preserve">الضرائب المؤجلة على النتائج العادية</t>
        </is>
      </c>
      <c r="D30" s="11">
        <f>SUMIF('Balance'!$L$8:$L$192,"692",'Balance'!$G$8:$G$192)+SUMIF('Balance'!$L$8:$L$192,"693",'Balance'!$G$8:$G$192)</f>
      </c>
    </row>
    <row r="31">
      <c r="A31" s="10"/>
      <c r="B31" s="9" t="inlineStr">
        <is>
          <t xml:space="preserve">TOTAL DES PRODUITS DES ACTIVITÉS ORDINAIRES</t>
        </is>
      </c>
      <c r="C31" s="21" t="inlineStr">
        <is>
          <t xml:space="preserve">مجموع منتوجات الأنشطة العادية</t>
        </is>
      </c>
      <c r="D31" s="11">
        <f>$D$8+$D$9+$D$10+$D$11+$D$20+$D$23+$D$25</f>
      </c>
    </row>
    <row r="32">
      <c r="A32" s="10"/>
      <c r="B32" s="9" t="inlineStr">
        <is>
          <t xml:space="preserve">TOTAL DES CHARGES DES ACTIVITÉS ORDINAIRES</t>
        </is>
      </c>
      <c r="C32" s="21" t="inlineStr">
        <is>
          <t xml:space="preserve">مجموع أعباء الأنشطة العادية</t>
        </is>
      </c>
      <c r="D32" s="11">
        <f>$D$13+$D$14+$D$17+$D$18+$D$21+$D$22+$D$26+$D$29+$D$30</f>
      </c>
    </row>
    <row r="33">
      <c r="A33" s="15" t="inlineStr">
        <is>
          <t xml:space="preserve">VIII</t>
        </is>
      </c>
      <c r="B33" s="15" t="inlineStr">
        <is>
          <t xml:space="preserve">RÉSULTAT NET DES ACTIVITÉS ORDINAIRES</t>
        </is>
      </c>
      <c r="C33" s="15" t="inlineStr">
        <is>
          <t xml:space="preserve">النتيجة الصافية للأنشطة العادية</t>
        </is>
      </c>
      <c r="D33" s="16">
        <f>$D$31-$D$32</f>
      </c>
    </row>
    <row r="34">
      <c r="A34" s="10"/>
      <c r="B34" s="9" t="inlineStr">
        <is>
          <t xml:space="preserve">Éléments extraordinaires — produits</t>
        </is>
      </c>
      <c r="C34" s="21" t="inlineStr">
        <is>
          <t xml:space="preserve">العناصر غير العادية — منتوجات</t>
        </is>
      </c>
      <c r="D34" s="11">
        <f>-SUMIF('Balance'!$K$8:$K$192,"77",'Balance'!$G$8:$G$192)</f>
      </c>
    </row>
    <row r="35">
      <c r="A35" s="10"/>
      <c r="B35" s="9" t="inlineStr">
        <is>
          <t xml:space="preserve">Éléments extraordinaires — charges</t>
        </is>
      </c>
      <c r="C35" s="21" t="inlineStr">
        <is>
          <t xml:space="preserve">العناصر غير العادية — أعباء</t>
        </is>
      </c>
      <c r="D35" s="11">
        <f>SUMIF('Balance'!$K$8:$K$192,"67",'Balance'!$G$8:$G$192)</f>
      </c>
    </row>
    <row r="36">
      <c r="A36" s="15" t="inlineStr">
        <is>
          <t xml:space="preserve">IX</t>
        </is>
      </c>
      <c r="B36" s="15" t="inlineStr">
        <is>
          <t xml:space="preserve">RÉSULTAT NET DE L'EXERCICE</t>
        </is>
      </c>
      <c r="C36" s="15" t="inlineStr">
        <is>
          <t xml:space="preserve">النتيجة الصافية للسنة المالية</t>
        </is>
      </c>
      <c r="D36" s="16">
        <f>$D$33+$D$34-$D$35</f>
      </c>
    </row>
    <row r="38">
      <c r="A38" s="18" t="inlineStr">
        <is>
          <t xml:space="preserve">Les amortissements, les charges sociales et la variation de stock n'apparaissent que si vous les avez passés en écriture : ce document restitue le journal, il ne le complète pas.</t>
        </is>
      </c>
    </row>
  </sheetData>
  <mergeCells count="5">
    <mergeCell ref="A1:D1"/>
    <mergeCell ref="A2:D2"/>
    <mergeCell ref="A3:D3"/>
    <mergeCell ref="A5:D5"/>
    <mergeCell ref="A38:D38"/>
  </mergeCells>
  <pageMargins left="0.4" right="0.4" top="0.5" bottom="0.5" header="0.3" footer="0.3"/>
  <pageSetup paperSize="9" orientation="portrait" fitToWidth="1" fitToHeight="0"/>
</worksheet>
</file>

<file path=xl/worksheets/sheet9.xml><?xml version="1.0" encoding="utf-8"?>
<worksheet xmlns="http://schemas.openxmlformats.org/spreadsheetml/2006/main">
  <sheetPr>
    <tabColor rgb="FF4338CA"/>
    <pageSetUpPr fitToPage="1"/>
  </sheetPr>
  <sheetViews>
    <sheetView workbookViewId="0" showGridLines="0"/>
  </sheetViews>
  <sheetFormatPr defaultRowHeight="15"/>
  <cols>
    <col min="1" max="1" width="54" customWidth="1"/>
    <col min="2" max="2" width="40" customWidth="1"/>
    <col min="3" max="3" width="18" customWidth="1"/>
    <col min="4" max="4" width="18" customWidth="1"/>
    <col min="5" max="5" width="18" customWidth="1"/>
  </cols>
  <sheetData>
    <row r="1" ht="30" customHeight="1">
      <c r="A1" s="1" t="inlineStr">
        <is>
          <t xml:space="preserve">BILAN</t>
        </is>
      </c>
    </row>
    <row r="2" ht="22" customHeight="1">
      <c r="A2" s="2" t="inlineStr">
        <is>
          <t xml:space="preserve">الميزانية</t>
        </is>
      </c>
    </row>
    <row r="3">
      <c r="A3" s="18">
        <f>Societe&amp;"   ·   Exercice "&amp;Exercice</f>
      </c>
    </row>
    <row r="5">
      <c r="A5" s="18" t="inlineStr">
        <is>
          <t xml:space="preserve">Actif au brut, diminué des amortissements et des pertes de valeur. Passif au net. Le résultat de l'exercice vient du compte de résultat : aucune écriture de clôture n'est passée par ce classeur.</t>
        </is>
      </c>
    </row>
    <row r="7">
      <c r="A7" s="8" t="inlineStr">
        <is>
          <t xml:space="preserve">ACTIF</t>
        </is>
      </c>
      <c r="B7" s="8" t="inlineStr">
        <is>
          <t xml:space="preserve">الأصول</t>
        </is>
      </c>
      <c r="C7" s="8" t="inlineStr">
        <is>
          <t xml:space="preserve">Brut</t>
        </is>
      </c>
      <c r="D7" s="8" t="inlineStr">
        <is>
          <t xml:space="preserve">Amort. / Prov.</t>
        </is>
      </c>
      <c r="E7" s="8" t="inlineStr">
        <is>
          <t xml:space="preserve">Net</t>
        </is>
      </c>
    </row>
    <row r="8">
      <c r="A8" s="19" t="inlineStr">
        <is>
          <t xml:space="preserve">ACTIF NON COURANT</t>
        </is>
      </c>
      <c r="B8" s="19" t="inlineStr">
        <is>
          <t xml:space="preserve">الأصول غير الجارية</t>
        </is>
      </c>
      <c r="C8" s="19"/>
      <c r="D8" s="19"/>
      <c r="E8" s="19"/>
    </row>
    <row r="9">
      <c r="A9" s="9" t="inlineStr">
        <is>
          <t xml:space="preserve">Écart d'acquisition (goodwill)</t>
        </is>
      </c>
      <c r="B9" s="21" t="inlineStr">
        <is>
          <t xml:space="preserve">فارق الشراء</t>
        </is>
      </c>
      <c r="C9" s="11">
        <f>SUMIFS('Balance'!$G$8:$G$192,'Balance'!$H$8:$H$192,"AN_GW",'Balance'!$I$8:$I$192,0)</f>
      </c>
      <c r="D9" s="11">
        <f>-SUMIFS('Balance'!$G$8:$G$192,'Balance'!$H$8:$H$192,"AN_GW",'Balance'!$I$8:$I$192,1)</f>
      </c>
      <c r="E9" s="11">
        <f>$C9-$D9</f>
      </c>
    </row>
    <row r="10">
      <c r="A10" s="9" t="inlineStr">
        <is>
          <t xml:space="preserve">Immobilisations incorporelles</t>
        </is>
      </c>
      <c r="B10" s="21" t="inlineStr">
        <is>
          <t xml:space="preserve">التثبيتات المعنوية</t>
        </is>
      </c>
      <c r="C10" s="11">
        <f>SUMIFS('Balance'!$G$8:$G$192,'Balance'!$H$8:$H$192,"AN_INC",'Balance'!$I$8:$I$192,0)</f>
      </c>
      <c r="D10" s="11">
        <f>-SUMIFS('Balance'!$G$8:$G$192,'Balance'!$H$8:$H$192,"AN_INC",'Balance'!$I$8:$I$192,1)</f>
      </c>
      <c r="E10" s="11">
        <f>$C10-$D10</f>
      </c>
    </row>
    <row r="11">
      <c r="A11" s="9" t="inlineStr">
        <is>
          <t xml:space="preserve">Terrains</t>
        </is>
      </c>
      <c r="B11" s="21" t="inlineStr">
        <is>
          <t xml:space="preserve">الأراضي</t>
        </is>
      </c>
      <c r="C11" s="11">
        <f>SUMIFS('Balance'!$G$8:$G$192,'Balance'!$H$8:$H$192,"AN_TER",'Balance'!$I$8:$I$192,0)</f>
      </c>
      <c r="D11" s="11">
        <f>-SUMIFS('Balance'!$G$8:$G$192,'Balance'!$H$8:$H$192,"AN_TER",'Balance'!$I$8:$I$192,1)</f>
      </c>
      <c r="E11" s="11">
        <f>$C11-$D11</f>
      </c>
    </row>
    <row r="12">
      <c r="A12" s="9" t="inlineStr">
        <is>
          <t xml:space="preserve">Bâtiments</t>
        </is>
      </c>
      <c r="B12" s="21" t="inlineStr">
        <is>
          <t xml:space="preserve">المباني</t>
        </is>
      </c>
      <c r="C12" s="11">
        <f>SUMIFS('Balance'!$G$8:$G$192,'Balance'!$H$8:$H$192,"AN_BAT",'Balance'!$I$8:$I$192,0)</f>
      </c>
      <c r="D12" s="11">
        <f>-SUMIFS('Balance'!$G$8:$G$192,'Balance'!$H$8:$H$192,"AN_BAT",'Balance'!$I$8:$I$192,1)</f>
      </c>
      <c r="E12" s="11">
        <f>$C12-$D12</f>
      </c>
    </row>
    <row r="13">
      <c r="A13" s="9" t="inlineStr">
        <is>
          <t xml:space="preserve">Autres immobilisations corporelles</t>
        </is>
      </c>
      <c r="B13" s="21" t="inlineStr">
        <is>
          <t xml:space="preserve">تثبيتات عينية أخرى</t>
        </is>
      </c>
      <c r="C13" s="11">
        <f>SUMIFS('Balance'!$G$8:$G$192,'Balance'!$H$8:$H$192,"AN_AUT",'Balance'!$I$8:$I$192,0)</f>
      </c>
      <c r="D13" s="11">
        <f>-SUMIFS('Balance'!$G$8:$G$192,'Balance'!$H$8:$H$192,"AN_AUT",'Balance'!$I$8:$I$192,1)</f>
      </c>
      <c r="E13" s="11">
        <f>$C13-$D13</f>
      </c>
    </row>
    <row r="14">
      <c r="A14" s="9" t="inlineStr">
        <is>
          <t xml:space="preserve">Immobilisations en concession</t>
        </is>
      </c>
      <c r="B14" s="21" t="inlineStr">
        <is>
          <t xml:space="preserve">تثبيتات في شكل امتياز</t>
        </is>
      </c>
      <c r="C14" s="11">
        <f>SUMIFS('Balance'!$G$8:$G$192,'Balance'!$H$8:$H$192,"AN_CONC",'Balance'!$I$8:$I$192,0)</f>
      </c>
      <c r="D14" s="11">
        <f>-SUMIFS('Balance'!$G$8:$G$192,'Balance'!$H$8:$H$192,"AN_CONC",'Balance'!$I$8:$I$192,1)</f>
      </c>
      <c r="E14" s="11">
        <f>$C14-$D14</f>
      </c>
    </row>
    <row r="15">
      <c r="A15" s="9" t="inlineStr">
        <is>
          <t xml:space="preserve">Immobilisations en cours</t>
        </is>
      </c>
      <c r="B15" s="21" t="inlineStr">
        <is>
          <t xml:space="preserve">تثبيتات جاري إنجازها</t>
        </is>
      </c>
      <c r="C15" s="11">
        <f>SUMIFS('Balance'!$G$8:$G$192,'Balance'!$H$8:$H$192,"AN_ENC",'Balance'!$I$8:$I$192,0)</f>
      </c>
      <c r="D15" s="11">
        <f>-SUMIFS('Balance'!$G$8:$G$192,'Balance'!$H$8:$H$192,"AN_ENC",'Balance'!$I$8:$I$192,1)</f>
      </c>
      <c r="E15" s="11">
        <f>$C15-$D15</f>
      </c>
    </row>
    <row r="16">
      <c r="A16" s="9" t="inlineStr">
        <is>
          <t xml:space="preserve">Titres et participations</t>
        </is>
      </c>
      <c r="B16" s="21" t="inlineStr">
        <is>
          <t xml:space="preserve">السندات والمساهمات</t>
        </is>
      </c>
      <c r="C16" s="11">
        <f>SUMIFS('Balance'!$G$8:$G$192,'Balance'!$H$8:$H$192,"AN_FIN",'Balance'!$I$8:$I$192,0)</f>
      </c>
      <c r="D16" s="11">
        <f>-SUMIFS('Balance'!$G$8:$G$192,'Balance'!$H$8:$H$192,"AN_FIN",'Balance'!$I$8:$I$192,1)</f>
      </c>
      <c r="E16" s="11">
        <f>$C16-$D16</f>
      </c>
    </row>
    <row r="17">
      <c r="A17" s="9" t="inlineStr">
        <is>
          <t xml:space="preserve">Prêts et autres actifs financiers non courants</t>
        </is>
      </c>
      <c r="B17" s="21" t="inlineStr">
        <is>
          <t xml:space="preserve">قروض وأصول مالية أخرى غير جارية</t>
        </is>
      </c>
      <c r="C17" s="11">
        <f>SUMIFS('Balance'!$G$8:$G$192,'Balance'!$H$8:$H$192,"AN_PRET",'Balance'!$I$8:$I$192,0)</f>
      </c>
      <c r="D17" s="11">
        <f>-SUMIFS('Balance'!$G$8:$G$192,'Balance'!$H$8:$H$192,"AN_PRET",'Balance'!$I$8:$I$192,1)</f>
      </c>
      <c r="E17" s="11">
        <f>$C17-$D17</f>
      </c>
    </row>
    <row r="18">
      <c r="A18" s="9" t="inlineStr">
        <is>
          <t xml:space="preserve">Impôts différés actif</t>
        </is>
      </c>
      <c r="B18" s="21" t="inlineStr">
        <is>
          <t xml:space="preserve">الضرائب المؤجلة على الأصول</t>
        </is>
      </c>
      <c r="C18" s="11">
        <f>SUMIFS('Balance'!$G$8:$G$192,'Balance'!$H$8:$H$192,"AN_IDA",'Balance'!$I$8:$I$192,0)</f>
      </c>
      <c r="D18" s="11">
        <f>-SUMIFS('Balance'!$G$8:$G$192,'Balance'!$H$8:$H$192,"AN_IDA",'Balance'!$I$8:$I$192,1)</f>
      </c>
      <c r="E18" s="11">
        <f>$C18-$D18</f>
      </c>
    </row>
    <row r="19">
      <c r="A19" s="15" t="inlineStr">
        <is>
          <t xml:space="preserve">Total actif non courant</t>
        </is>
      </c>
      <c r="B19" s="15"/>
      <c r="C19" s="16">
        <f>SUM(C9:C18)</f>
      </c>
      <c r="D19" s="16">
        <f>SUM(D9:D18)</f>
      </c>
      <c r="E19" s="16">
        <f>SUM(E9:E18)</f>
      </c>
    </row>
    <row r="20">
      <c r="A20" s="19" t="inlineStr">
        <is>
          <t xml:space="preserve">ACTIF COURANT</t>
        </is>
      </c>
      <c r="B20" s="19" t="inlineStr">
        <is>
          <t xml:space="preserve">الأصول الجارية</t>
        </is>
      </c>
      <c r="C20" s="19"/>
      <c r="D20" s="19"/>
      <c r="E20" s="19"/>
    </row>
    <row r="21">
      <c r="A21" s="9" t="inlineStr">
        <is>
          <t xml:space="preserve">Stocks et en-cours</t>
        </is>
      </c>
      <c r="B21" s="21" t="inlineStr">
        <is>
          <t xml:space="preserve">المخزونات والمنتجات قيد التنفيذ</t>
        </is>
      </c>
      <c r="C21" s="11">
        <f>SUMIFS('Balance'!$G$8:$G$192,'Balance'!$H$8:$H$192,"AC_STK",'Balance'!$I$8:$I$192,0)</f>
      </c>
      <c r="D21" s="11">
        <f>-SUMIFS('Balance'!$G$8:$G$192,'Balance'!$H$8:$H$192,"AC_STK",'Balance'!$I$8:$I$192,1)</f>
      </c>
      <c r="E21" s="11">
        <f>$C21-$D21</f>
      </c>
    </row>
    <row r="22">
      <c r="A22" s="9" t="inlineStr">
        <is>
          <t xml:space="preserve">Clients</t>
        </is>
      </c>
      <c r="B22" s="21" t="inlineStr">
        <is>
          <t xml:space="preserve">الزبائن</t>
        </is>
      </c>
      <c r="C22" s="11">
        <f>SUMIFS('Balance'!$G$8:$G$192,'Balance'!$H$8:$H$192,"AC_CLI",'Balance'!$I$8:$I$192,0)</f>
      </c>
      <c r="D22" s="11">
        <f>-SUMIFS('Balance'!$G$8:$G$192,'Balance'!$H$8:$H$192,"AC_CLI",'Balance'!$I$8:$I$192,1)</f>
      </c>
      <c r="E22" s="11">
        <f>$C22-$D22</f>
      </c>
    </row>
    <row r="23">
      <c r="A23" s="9" t="inlineStr">
        <is>
          <t xml:space="preserve">Autres débiteurs</t>
        </is>
      </c>
      <c r="B23" s="21" t="inlineStr">
        <is>
          <t xml:space="preserve">المدينون الآخرون</t>
        </is>
      </c>
      <c r="C23" s="11">
        <f>SUMIFS('Balance'!$G$8:$G$192,'Balance'!$H$8:$H$192,"AC_DEB",'Balance'!$I$8:$I$192,0)</f>
      </c>
      <c r="D23" s="11">
        <f>-SUMIFS('Balance'!$G$8:$G$192,'Balance'!$H$8:$H$192,"AC_DEB",'Balance'!$I$8:$I$192,1)</f>
      </c>
      <c r="E23" s="11">
        <f>$C23-$D23</f>
      </c>
    </row>
    <row r="24">
      <c r="A24" s="9" t="inlineStr">
        <is>
          <t xml:space="preserve">Impôts et assimilés</t>
        </is>
      </c>
      <c r="B24" s="21" t="inlineStr">
        <is>
          <t xml:space="preserve">الضرائب وما شابهها</t>
        </is>
      </c>
      <c r="C24" s="11">
        <f>SUMIFS('Balance'!$G$8:$G$192,'Balance'!$H$8:$H$192,"AC_IMP",'Balance'!$I$8:$I$192,0)</f>
      </c>
      <c r="D24" s="11">
        <f>-SUMIFS('Balance'!$G$8:$G$192,'Balance'!$H$8:$H$192,"AC_IMP",'Balance'!$I$8:$I$192,1)</f>
      </c>
      <c r="E24" s="11">
        <f>$C24-$D24</f>
      </c>
    </row>
    <row r="25">
      <c r="A25" s="9" t="inlineStr">
        <is>
          <t xml:space="preserve">Autres actifs courants</t>
        </is>
      </c>
      <c r="B25" s="21" t="inlineStr">
        <is>
          <t xml:space="preserve">أصول جارية أخرى</t>
        </is>
      </c>
      <c r="C25" s="11">
        <f>SUMIFS('Balance'!$G$8:$G$192,'Balance'!$H$8:$H$192,"AC_AUT",'Balance'!$I$8:$I$192,0)</f>
      </c>
      <c r="D25" s="11">
        <f>-SUMIFS('Balance'!$G$8:$G$192,'Balance'!$H$8:$H$192,"AC_AUT",'Balance'!$I$8:$I$192,1)</f>
      </c>
      <c r="E25" s="11">
        <f>$C25-$D25</f>
      </c>
    </row>
    <row r="26">
      <c r="A26" s="9" t="inlineStr">
        <is>
          <t xml:space="preserve">Placements et autres actifs financiers courants</t>
        </is>
      </c>
      <c r="B26" s="21" t="inlineStr">
        <is>
          <t xml:space="preserve">التوظيفات والأصول المالية الجارية الأخرى</t>
        </is>
      </c>
      <c r="C26" s="11">
        <f>SUMIFS('Balance'!$G$8:$G$192,'Balance'!$H$8:$H$192,"AC_PLA",'Balance'!$I$8:$I$192,0)</f>
      </c>
      <c r="D26" s="11">
        <f>-SUMIFS('Balance'!$G$8:$G$192,'Balance'!$H$8:$H$192,"AC_PLA",'Balance'!$I$8:$I$192,1)</f>
      </c>
      <c r="E26" s="11">
        <f>$C26-$D26</f>
      </c>
    </row>
    <row r="27">
      <c r="A27" s="9" t="inlineStr">
        <is>
          <t xml:space="preserve">Trésorerie</t>
        </is>
      </c>
      <c r="B27" s="21" t="inlineStr">
        <is>
          <t xml:space="preserve">الخزينة</t>
        </is>
      </c>
      <c r="C27" s="11">
        <f>SUMIFS('Balance'!$G$8:$G$192,'Balance'!$H$8:$H$192,"AC_TRE",'Balance'!$I$8:$I$192,0)</f>
      </c>
      <c r="D27" s="11">
        <f>-SUMIFS('Balance'!$G$8:$G$192,'Balance'!$H$8:$H$192,"AC_TRE",'Balance'!$I$8:$I$192,1)</f>
      </c>
      <c r="E27" s="11">
        <f>$C27-$D27</f>
      </c>
    </row>
    <row r="28">
      <c r="A28" s="15" t="inlineStr">
        <is>
          <t xml:space="preserve">Total actif courant</t>
        </is>
      </c>
      <c r="B28" s="15"/>
      <c r="C28" s="16">
        <f>SUM(C21:C27)</f>
      </c>
      <c r="D28" s="16">
        <f>SUM(D21:D27)</f>
      </c>
      <c r="E28" s="16">
        <f>SUM(E21:E27)</f>
      </c>
    </row>
    <row r="29">
      <c r="A29" s="15" t="inlineStr">
        <is>
          <t xml:space="preserve">TOTAL ACTIF</t>
        </is>
      </c>
      <c r="B29" s="15" t="inlineStr">
        <is>
          <t xml:space="preserve">مجموع الأصول</t>
        </is>
      </c>
      <c r="C29" s="17">
        <f>C19+C28</f>
      </c>
      <c r="D29" s="17">
        <f>D19+D28</f>
      </c>
      <c r="E29" s="17">
        <f>E19+E28</f>
      </c>
    </row>
    <row r="31">
      <c r="A31" s="8" t="inlineStr">
        <is>
          <t xml:space="preserve">PASSIF</t>
        </is>
      </c>
      <c r="B31" s="8" t="inlineStr">
        <is>
          <t xml:space="preserve">الخصوم</t>
        </is>
      </c>
      <c r="C31" s="8"/>
      <c r="D31" s="8"/>
      <c r="E31" s="8" t="inlineStr">
        <is>
          <t xml:space="preserve">Net</t>
        </is>
      </c>
    </row>
    <row r="32">
      <c r="A32" s="19" t="inlineStr">
        <is>
          <t xml:space="preserve">CAPITAUX PROPRES</t>
        </is>
      </c>
      <c r="B32" s="19" t="inlineStr">
        <is>
          <t xml:space="preserve">رؤوس الأموال الخاصة</t>
        </is>
      </c>
      <c r="C32" s="19"/>
      <c r="D32" s="19"/>
      <c r="E32" s="19"/>
    </row>
    <row r="33">
      <c r="A33" s="9" t="inlineStr">
        <is>
          <t xml:space="preserve">Capital émis</t>
        </is>
      </c>
      <c r="B33" s="21" t="inlineStr">
        <is>
          <t xml:space="preserve">رأس المال الصادر</t>
        </is>
      </c>
      <c r="C33" s="9"/>
      <c r="D33" s="9"/>
      <c r="E33" s="11">
        <f>-SUMIFS('Balance'!$G$8:$G$192,'Balance'!$H$8:$H$192,"CP_CAP")</f>
      </c>
    </row>
    <row r="34">
      <c r="A34" s="9" t="inlineStr">
        <is>
          <t xml:space="preserve">Capital non appelé</t>
        </is>
      </c>
      <c r="B34" s="21" t="inlineStr">
        <is>
          <t xml:space="preserve">رأس المال غير المستدعى</t>
        </is>
      </c>
      <c r="C34" s="9"/>
      <c r="D34" s="9"/>
      <c r="E34" s="11">
        <f>-SUMIFS('Balance'!$G$8:$G$192,'Balance'!$H$8:$H$192,"CP_NAP")</f>
      </c>
    </row>
    <row r="35">
      <c r="A35" s="9" t="inlineStr">
        <is>
          <t xml:space="preserve">Primes et réserves — réserves consolidées</t>
        </is>
      </c>
      <c r="B35" s="21" t="inlineStr">
        <is>
          <t xml:space="preserve">العلاوات والاحتياطات</t>
        </is>
      </c>
      <c r="C35" s="9"/>
      <c r="D35" s="9"/>
      <c r="E35" s="11">
        <f>-SUMIFS('Balance'!$G$8:$G$192,'Balance'!$H$8:$H$192,"CP_PRI")</f>
      </c>
    </row>
    <row r="36">
      <c r="A36" s="9" t="inlineStr">
        <is>
          <t xml:space="preserve">Écarts de réévaluation</t>
        </is>
      </c>
      <c r="B36" s="21" t="inlineStr">
        <is>
          <t xml:space="preserve">فوارق إعادة التقييم</t>
        </is>
      </c>
      <c r="C36" s="9"/>
      <c r="D36" s="9"/>
      <c r="E36" s="11">
        <f>-SUMIFS('Balance'!$G$8:$G$192,'Balance'!$H$8:$H$192,"CP_REE")</f>
      </c>
    </row>
    <row r="37">
      <c r="A37" s="9" t="inlineStr">
        <is>
          <t xml:space="preserve">Écart d'équivalence</t>
        </is>
      </c>
      <c r="B37" s="21" t="inlineStr">
        <is>
          <t xml:space="preserve">فارق المعادلة</t>
        </is>
      </c>
      <c r="C37" s="9"/>
      <c r="D37" s="9"/>
      <c r="E37" s="11">
        <f>-SUMIFS('Balance'!$G$8:$G$192,'Balance'!$H$8:$H$192,"CP_EQU")</f>
      </c>
    </row>
    <row r="38">
      <c r="A38" s="9" t="inlineStr">
        <is>
          <t xml:space="preserve">Résultat net (résultat de l'exercice)</t>
        </is>
      </c>
      <c r="B38" s="21" t="inlineStr">
        <is>
          <t xml:space="preserve">النتيجة الصافية (نتيجة السنة المالية)</t>
        </is>
      </c>
      <c r="C38" s="9"/>
      <c r="D38" s="9"/>
      <c r="E38" s="11">
        <f>-SUMIFS('Balance'!$G$8:$G$192,'Balance'!$H$8:$H$192,"CP_RES")+'Compte de résultat'!$D$36</f>
      </c>
    </row>
    <row r="39">
      <c r="A39" s="9" t="inlineStr">
        <is>
          <t xml:space="preserve">Autres capitaux propres — report à nouveau</t>
        </is>
      </c>
      <c r="B39" s="21" t="inlineStr">
        <is>
          <t xml:space="preserve">رؤوس أموال خاصة أخرى — الترحيل من جديد</t>
        </is>
      </c>
      <c r="C39" s="9"/>
      <c r="D39" s="9"/>
      <c r="E39" s="11">
        <f>-SUMIFS('Balance'!$G$8:$G$192,'Balance'!$H$8:$H$192,"CP_ART")</f>
      </c>
    </row>
    <row r="40">
      <c r="A40" s="15" t="inlineStr">
        <is>
          <t xml:space="preserve">Total capitaux propres</t>
        </is>
      </c>
      <c r="B40" s="15"/>
      <c r="C40" s="15"/>
      <c r="D40" s="15"/>
      <c r="E40" s="16">
        <f>SUM(E33:E39)</f>
      </c>
    </row>
    <row r="41">
      <c r="A41" s="19" t="inlineStr">
        <is>
          <t xml:space="preserve">PASSIFS NON COURANTS</t>
        </is>
      </c>
      <c r="B41" s="19" t="inlineStr">
        <is>
          <t xml:space="preserve">الخصوم غير الجارية</t>
        </is>
      </c>
      <c r="C41" s="19"/>
      <c r="D41" s="19"/>
      <c r="E41" s="19"/>
    </row>
    <row r="42">
      <c r="A42" s="9" t="inlineStr">
        <is>
          <t xml:space="preserve">Emprunts et dettes financières</t>
        </is>
      </c>
      <c r="B42" s="21" t="inlineStr">
        <is>
          <t xml:space="preserve">القروض والديون المالية</t>
        </is>
      </c>
      <c r="C42" s="9"/>
      <c r="D42" s="9"/>
      <c r="E42" s="11">
        <f>-SUMIFS('Balance'!$G$8:$G$192,'Balance'!$H$8:$H$192,"PN_EMP")</f>
      </c>
    </row>
    <row r="43">
      <c r="A43" s="9" t="inlineStr">
        <is>
          <t xml:space="preserve">Impôts (différés et provisionnés)</t>
        </is>
      </c>
      <c r="B43" s="21" t="inlineStr">
        <is>
          <t xml:space="preserve">الضرائب (المؤجلة والمرصود لها)</t>
        </is>
      </c>
      <c r="C43" s="9"/>
      <c r="D43" s="9"/>
      <c r="E43" s="11">
        <f>-SUMIFS('Balance'!$G$8:$G$192,'Balance'!$H$8:$H$192,"PN_IDP")</f>
      </c>
    </row>
    <row r="44">
      <c r="A44" s="9" t="inlineStr">
        <is>
          <t xml:space="preserve">Autres dettes non courantes</t>
        </is>
      </c>
      <c r="B44" s="21" t="inlineStr">
        <is>
          <t xml:space="preserve">ديون أخرى غير جارية</t>
        </is>
      </c>
      <c r="C44" s="9"/>
      <c r="D44" s="9"/>
      <c r="E44" s="11">
        <f>-SUMIFS('Balance'!$G$8:$G$192,'Balance'!$H$8:$H$192,"PN_AUT")</f>
      </c>
    </row>
    <row r="45">
      <c r="A45" s="9" t="inlineStr">
        <is>
          <t xml:space="preserve">Provisions et produits constatés d'avance</t>
        </is>
      </c>
      <c r="B45" s="21" t="inlineStr">
        <is>
          <t xml:space="preserve">المؤونات والمنتوجات المثبتة مسبقا</t>
        </is>
      </c>
      <c r="C45" s="9"/>
      <c r="D45" s="9"/>
      <c r="E45" s="11">
        <f>-SUMIFS('Balance'!$G$8:$G$192,'Balance'!$H$8:$H$192,"PN_PRO")</f>
      </c>
    </row>
    <row r="46">
      <c r="A46" s="15" t="inlineStr">
        <is>
          <t xml:space="preserve">Total passifs non courants</t>
        </is>
      </c>
      <c r="B46" s="15"/>
      <c r="C46" s="15"/>
      <c r="D46" s="15"/>
      <c r="E46" s="16">
        <f>SUM(E42:E45)</f>
      </c>
    </row>
    <row r="47">
      <c r="A47" s="19" t="inlineStr">
        <is>
          <t xml:space="preserve">PASSIFS COURANTS</t>
        </is>
      </c>
      <c r="B47" s="19" t="inlineStr">
        <is>
          <t xml:space="preserve">الخصوم الجارية</t>
        </is>
      </c>
      <c r="C47" s="19"/>
      <c r="D47" s="19"/>
      <c r="E47" s="19"/>
    </row>
    <row r="48">
      <c r="A48" s="9" t="inlineStr">
        <is>
          <t xml:space="preserve">Fournisseurs et comptes rattachés</t>
        </is>
      </c>
      <c r="B48" s="21" t="inlineStr">
        <is>
          <t xml:space="preserve">الموردون والحسابات الملحقة</t>
        </is>
      </c>
      <c r="C48" s="9"/>
      <c r="D48" s="9"/>
      <c r="E48" s="11">
        <f>-SUMIFS('Balance'!$G$8:$G$192,'Balance'!$H$8:$H$192,"PC_FRN")</f>
      </c>
    </row>
    <row r="49">
      <c r="A49" s="9" t="inlineStr">
        <is>
          <t xml:space="preserve">Impôts</t>
        </is>
      </c>
      <c r="B49" s="21" t="inlineStr">
        <is>
          <t xml:space="preserve">الضرائب</t>
        </is>
      </c>
      <c r="C49" s="9"/>
      <c r="D49" s="9"/>
      <c r="E49" s="11">
        <f>-SUMIFS('Balance'!$G$8:$G$192,'Balance'!$H$8:$H$192,"PC_IMP")</f>
      </c>
    </row>
    <row r="50">
      <c r="A50" s="9" t="inlineStr">
        <is>
          <t xml:space="preserve">Autres dettes</t>
        </is>
      </c>
      <c r="B50" s="21" t="inlineStr">
        <is>
          <t xml:space="preserve">ديون أخرى</t>
        </is>
      </c>
      <c r="C50" s="9"/>
      <c r="D50" s="9"/>
      <c r="E50" s="11">
        <f>-SUMIFS('Balance'!$G$8:$G$192,'Balance'!$H$8:$H$192,"PC_AUT")</f>
      </c>
    </row>
    <row r="51">
      <c r="A51" s="9" t="inlineStr">
        <is>
          <t xml:space="preserve">Trésorerie passif</t>
        </is>
      </c>
      <c r="B51" s="21" t="inlineStr">
        <is>
          <t xml:space="preserve">خزينة الخصوم</t>
        </is>
      </c>
      <c r="C51" s="9"/>
      <c r="D51" s="9"/>
      <c r="E51" s="11">
        <f>-SUMIFS('Balance'!$G$8:$G$192,'Balance'!$H$8:$H$192,"PC_TRE")</f>
      </c>
    </row>
    <row r="52">
      <c r="A52" s="15" t="inlineStr">
        <is>
          <t xml:space="preserve">Total passifs courants</t>
        </is>
      </c>
      <c r="B52" s="15"/>
      <c r="C52" s="15"/>
      <c r="D52" s="15"/>
      <c r="E52" s="16">
        <f>SUM(E48:E51)</f>
      </c>
    </row>
    <row r="53">
      <c r="A53" s="15" t="inlineStr">
        <is>
          <t xml:space="preserve">TOTAL PASSIF</t>
        </is>
      </c>
      <c r="B53" s="15" t="inlineStr">
        <is>
          <t xml:space="preserve">مجموع الخصوم</t>
        </is>
      </c>
      <c r="C53" s="15"/>
      <c r="D53" s="15"/>
      <c r="E53" s="17">
        <f>E40+E46+E52</f>
      </c>
    </row>
    <row r="55">
      <c r="A55" s="25">
        <f>IF(ROUND($E$29-$E$53,2)=0,"Bilan équilibré : total actif = total passif.","Écart de "&amp;TEXT($E$29-$E$53,"#,##0.00")&amp;" DA entre l'actif et le passif — vérifiez le journal.")</f>
      </c>
    </row>
  </sheetData>
  <mergeCells count="5">
    <mergeCell ref="A1:E1"/>
    <mergeCell ref="A2:E2"/>
    <mergeCell ref="A3:E3"/>
    <mergeCell ref="A5:E5"/>
    <mergeCell ref="A55:E55"/>
  </mergeCells>
  <pageMargins left="0.4" right="0.4" top="0.5" bottom="0.5" header="0.3" footer="0.3"/>
  <pageSetup paperSize="9" orientation="portrait" fitToWidth="1" fitToHeight="0"/>
</worksheet>
</file>

<file path=xl/worksheets/sheet10.xml><?xml version="1.0" encoding="utf-8"?>
<worksheet xmlns="http://schemas.openxmlformats.org/spreadsheetml/2006/main">
  <sheetPr>
    <tabColor rgb="FFBE123C"/>
  </sheetPr>
  <sheetViews>
    <sheetView workbookViewId="0" showGridLines="0"/>
  </sheetViews>
  <sheetFormatPr defaultRowHeight="15"/>
  <cols>
    <col min="1" max="1" width="46" customWidth="1"/>
    <col min="2" max="2" width="34" customWidth="1"/>
    <col min="3" max="3" width="20" customWidth="1"/>
    <col min="4" max="4" width="20" customWidth="1"/>
    <col min="5" max="5" width="20" customWidth="1"/>
  </cols>
  <sheetData>
    <row r="1" ht="30" customHeight="1">
      <c r="A1" s="1" t="inlineStr">
        <is>
          <t xml:space="preserve">RAPPORTS</t>
        </is>
      </c>
    </row>
    <row r="2" ht="22" customHeight="1">
      <c r="A2" s="2" t="inlineStr">
        <is>
          <t xml:space="preserve">التقارير</t>
        </is>
      </c>
    </row>
    <row r="3">
      <c r="A3" s="18">
        <f>Societe&amp;"   ·   Exercice "&amp;Exercice</f>
      </c>
    </row>
    <row r="5">
      <c r="A5" s="18" t="inlineStr">
        <is>
          <t xml:space="preserve">TVA, trésorerie, tiers, charges par nature, résultat par centre de coût. Tout est déduit du journal.</t>
        </is>
      </c>
    </row>
    <row r="7">
      <c r="A7" s="3" t="inlineStr">
        <is>
          <t xml:space="preserve">TVA  —  الرسم على القيمة المضافة</t>
        </is>
      </c>
      <c r="B7" s="3"/>
      <c r="C7" s="3"/>
    </row>
    <row r="8">
      <c r="A8" s="9" t="inlineStr">
        <is>
          <t xml:space="preserve">TVA collectée (4457)</t>
        </is>
      </c>
      <c r="B8" s="21" t="inlineStr">
        <is>
          <t xml:space="preserve">الرسم المحصل</t>
        </is>
      </c>
      <c r="C8" s="11">
        <f>-SUMIF('Balance'!$A$8:$A$192,"4457",'Balance'!$G$8:$G$192)</f>
      </c>
    </row>
    <row r="9">
      <c r="A9" s="9" t="inlineStr">
        <is>
          <t xml:space="preserve">TVA déductible sur biens et services (44566)</t>
        </is>
      </c>
      <c r="B9" s="21" t="inlineStr">
        <is>
          <t xml:space="preserve">الرسم القابل للخصم — سلع وخدمات</t>
        </is>
      </c>
      <c r="C9" s="11">
        <f>SUMIF('Balance'!$A$8:$A$192,"44566",'Balance'!$G$8:$G$192)</f>
      </c>
    </row>
    <row r="10">
      <c r="A10" s="9" t="inlineStr">
        <is>
          <t xml:space="preserve">TVA déductible sur immobilisations (44562)</t>
        </is>
      </c>
      <c r="B10" s="21" t="inlineStr">
        <is>
          <t xml:space="preserve">الرسم القابل للخصم — تثبيتات</t>
        </is>
      </c>
      <c r="C10" s="11">
        <f>SUMIF('Balance'!$A$8:$A$192,"44562",'Balance'!$G$8:$G$192)</f>
      </c>
    </row>
    <row r="11">
      <c r="A11" s="15" t="inlineStr">
        <is>
          <t xml:space="preserve">TVA à décaisser</t>
        </is>
      </c>
      <c r="B11" s="15" t="inlineStr">
        <is>
          <t xml:space="preserve">الرسم الواجب دفعه</t>
        </is>
      </c>
      <c r="C11" s="16">
        <f>MAX(0,C8-C9-C10)</f>
      </c>
    </row>
    <row r="12">
      <c r="A12" s="9" t="inlineStr">
        <is>
          <t xml:space="preserve">Précompte TVA reporté</t>
        </is>
      </c>
      <c r="B12" s="21" t="inlineStr">
        <is>
          <t xml:space="preserve">الرصيد المرحل</t>
        </is>
      </c>
      <c r="C12" s="11">
        <f>MAX(0,C9+C10-C8)</f>
      </c>
    </row>
    <row r="13">
      <c r="A13" s="9" t="inlineStr">
        <is>
          <t xml:space="preserve">Droit de timbre encaissé (442)</t>
        </is>
      </c>
      <c r="B13" s="21" t="inlineStr">
        <is>
          <t xml:space="preserve">رسم الطابع المحصل</t>
        </is>
      </c>
      <c r="C13" s="11">
        <f>-SUMIF('Balance'!$A$8:$A$192,"442",'Balance'!$G$8:$G$192)</f>
      </c>
    </row>
    <row r="15">
      <c r="A15" s="3" t="inlineStr">
        <is>
          <t xml:space="preserve">TRÉSORERIE  —  الخزينة</t>
        </is>
      </c>
      <c r="B15" s="3"/>
      <c r="C15" s="3"/>
    </row>
    <row r="16">
      <c r="A16" s="9" t="inlineStr">
        <is>
          <t xml:space="preserve">Caisse (530)</t>
        </is>
      </c>
      <c r="B16" s="21" t="inlineStr">
        <is>
          <t xml:space="preserve">الصندوق</t>
        </is>
      </c>
      <c r="C16" s="11">
        <f>SUMIF('Balance'!$A$8:$A$192,"530",'Balance'!$G$8:$G$192)</f>
      </c>
    </row>
    <row r="17">
      <c r="A17" s="9" t="inlineStr">
        <is>
          <t xml:space="preserve">Banque (512)</t>
        </is>
      </c>
      <c r="B17" s="21" t="inlineStr">
        <is>
          <t xml:space="preserve">البنك</t>
        </is>
      </c>
      <c r="C17" s="11">
        <f>SUMIF('Balance'!$A$8:$A$192,"512",'Balance'!$G$8:$G$192)</f>
      </c>
    </row>
    <row r="18">
      <c r="A18" s="9" t="inlineStr">
        <is>
          <t xml:space="preserve">CCP (515)</t>
        </is>
      </c>
      <c r="B18" s="21" t="inlineStr">
        <is>
          <t xml:space="preserve">الحساب الجاري البريدي</t>
        </is>
      </c>
      <c r="C18" s="11">
        <f>SUMIF('Balance'!$A$8:$A$192,"515",'Balance'!$G$8:$G$192)</f>
      </c>
    </row>
    <row r="19">
      <c r="A19" s="15" t="inlineStr">
        <is>
          <t xml:space="preserve">Total disponible</t>
        </is>
      </c>
      <c r="B19" s="15" t="inlineStr">
        <is>
          <t xml:space="preserve">مجموع المتاح</t>
        </is>
      </c>
      <c r="C19" s="16">
        <f>SUM(C16:C18)</f>
      </c>
    </row>
    <row r="21">
      <c r="A21" s="3" t="inlineStr">
        <is>
          <t xml:space="preserve">TIERS  —  الأغيار</t>
        </is>
      </c>
      <c r="B21" s="3"/>
      <c r="C21" s="3"/>
    </row>
    <row r="22">
      <c r="A22" s="9" t="inlineStr">
        <is>
          <t xml:space="preserve">Clients (411) — solde débiteur</t>
        </is>
      </c>
      <c r="B22" s="21" t="inlineStr">
        <is>
          <t xml:space="preserve">الزبائن</t>
        </is>
      </c>
      <c r="C22" s="11">
        <f>SUMIF('Balance'!$A$8:$A$192,"411",'Balance'!$G$8:$G$192)</f>
      </c>
    </row>
    <row r="23">
      <c r="A23" s="9" t="inlineStr">
        <is>
          <t xml:space="preserve">Fournisseurs (401) — solde créditeur</t>
        </is>
      </c>
      <c r="B23" s="21" t="inlineStr">
        <is>
          <t xml:space="preserve">الموردون</t>
        </is>
      </c>
      <c r="C23" s="11">
        <f>-SUMIF('Balance'!$A$8:$A$192,"401",'Balance'!$G$8:$G$192)</f>
      </c>
    </row>
    <row r="24">
      <c r="A24" s="9" t="inlineStr">
        <is>
          <t xml:space="preserve">Personnel (421)</t>
        </is>
      </c>
      <c r="B24" s="21" t="inlineStr">
        <is>
          <t xml:space="preserve">المستخدمون</t>
        </is>
      </c>
      <c r="C24" s="11">
        <f>-SUMIF('Balance'!$A$8:$A$192,"421",'Balance'!$G$8:$G$192)</f>
      </c>
    </row>
    <row r="25">
      <c r="A25" s="9" t="inlineStr">
        <is>
          <t xml:space="preserve">Organismes sociaux (431)</t>
        </is>
      </c>
      <c r="B25" s="21" t="inlineStr">
        <is>
          <t xml:space="preserve">الهيئات الاجتماعية</t>
        </is>
      </c>
      <c r="C25" s="11">
        <f>-SUMIF('Balance'!$A$8:$A$192,"431",'Balance'!$G$8:$G$192)</f>
      </c>
    </row>
    <row r="27">
      <c r="A27" s="3" t="inlineStr">
        <is>
          <t xml:space="preserve">CHARGES PAR NATURE  —  الأعباء حسب الطبيعة</t>
        </is>
      </c>
      <c r="B27" s="3"/>
      <c r="C27" s="3"/>
    </row>
    <row r="28">
      <c r="A28" s="9" t="inlineStr">
        <is>
          <t xml:space="preserve">60 — Achats consommés</t>
        </is>
      </c>
      <c r="B28" s="21" t="inlineStr">
        <is>
          <t xml:space="preserve">المشتريات المستهلكة</t>
        </is>
      </c>
      <c r="C28" s="11">
        <f>SUMIF('Balance'!$K$8:$K$192,"60",'Balance'!$G$8:$G$192)</f>
      </c>
    </row>
    <row r="29">
      <c r="A29" s="9" t="inlineStr">
        <is>
          <t xml:space="preserve">61 — Services extérieurs</t>
        </is>
      </c>
      <c r="B29" s="21" t="inlineStr">
        <is>
          <t xml:space="preserve">الخدمات الخارجية</t>
        </is>
      </c>
      <c r="C29" s="11">
        <f>SUMIF('Balance'!$K$8:$K$192,"61",'Balance'!$G$8:$G$192)</f>
      </c>
    </row>
    <row r="30">
      <c r="A30" s="9" t="inlineStr">
        <is>
          <t xml:space="preserve">62 — Autres services extérieurs</t>
        </is>
      </c>
      <c r="B30" s="21" t="inlineStr">
        <is>
          <t xml:space="preserve">الخدمات الخارجية الأخرى</t>
        </is>
      </c>
      <c r="C30" s="11">
        <f>SUMIF('Balance'!$K$8:$K$192,"62",'Balance'!$G$8:$G$192)</f>
      </c>
    </row>
    <row r="31">
      <c r="A31" s="9" t="inlineStr">
        <is>
          <t xml:space="preserve">63 — Charges de personnel</t>
        </is>
      </c>
      <c r="B31" s="21" t="inlineStr">
        <is>
          <t xml:space="preserve">أعباء المستخدمين</t>
        </is>
      </c>
      <c r="C31" s="11">
        <f>SUMIF('Balance'!$K$8:$K$192,"63",'Balance'!$G$8:$G$192)</f>
      </c>
    </row>
    <row r="32">
      <c r="A32" s="9" t="inlineStr">
        <is>
          <t xml:space="preserve">64 — Impôts et taxes</t>
        </is>
      </c>
      <c r="B32" s="21" t="inlineStr">
        <is>
          <t xml:space="preserve">الضرائب والرسوم</t>
        </is>
      </c>
      <c r="C32" s="11">
        <f>SUMIF('Balance'!$K$8:$K$192,"64",'Balance'!$G$8:$G$192)</f>
      </c>
    </row>
    <row r="33">
      <c r="A33" s="9" t="inlineStr">
        <is>
          <t xml:space="preserve">65 — Autres charges opérationnelles</t>
        </is>
      </c>
      <c r="B33" s="21" t="inlineStr">
        <is>
          <t xml:space="preserve">الأعباء العملياتية الأخرى</t>
        </is>
      </c>
      <c r="C33" s="11">
        <f>SUMIF('Balance'!$K$8:$K$192,"65",'Balance'!$G$8:$G$192)</f>
      </c>
    </row>
    <row r="34">
      <c r="A34" s="9" t="inlineStr">
        <is>
          <t xml:space="preserve">66 — Charges financières</t>
        </is>
      </c>
      <c r="B34" s="21" t="inlineStr">
        <is>
          <t xml:space="preserve">الأعباء المالية</t>
        </is>
      </c>
      <c r="C34" s="11">
        <f>SUMIF('Balance'!$K$8:$K$192,"66",'Balance'!$G$8:$G$192)</f>
      </c>
    </row>
    <row r="35">
      <c r="A35" s="9" t="inlineStr">
        <is>
          <t xml:space="preserve">68 — Dotations</t>
        </is>
      </c>
      <c r="B35" s="21" t="inlineStr">
        <is>
          <t xml:space="preserve">المخصصات</t>
        </is>
      </c>
      <c r="C35" s="11">
        <f>SUMIF('Balance'!$K$8:$K$192,"68",'Balance'!$G$8:$G$192)</f>
      </c>
    </row>
    <row r="36">
      <c r="A36" s="15" t="inlineStr">
        <is>
          <t xml:space="preserve">Total des charges</t>
        </is>
      </c>
      <c r="B36" s="15" t="inlineStr">
        <is>
          <t xml:space="preserve">مجموع الأعباء</t>
        </is>
      </c>
      <c r="C36" s="16">
        <f>SUM(C28:C35)</f>
      </c>
    </row>
    <row r="38">
      <c r="A38" s="3" t="inlineStr">
        <is>
          <t xml:space="preserve">RÉSULTAT PAR CENTRE DE COÛT  —  النتيجة حسب مركز التكلفة</t>
        </is>
      </c>
      <c r="B38" s="3"/>
      <c r="C38" s="3"/>
      <c r="D38" s="3"/>
    </row>
    <row r="39">
      <c r="A39" s="8" t="inlineStr">
        <is>
          <t xml:space="preserve">Centre</t>
        </is>
      </c>
      <c r="B39" s="8" t="inlineStr">
        <is>
          <t xml:space="preserve">Produits</t>
        </is>
      </c>
      <c r="C39" s="8" t="inlineStr">
        <is>
          <t xml:space="preserve">Charges</t>
        </is>
      </c>
      <c r="D39" s="8" t="inlineStr">
        <is>
          <t xml:space="preserve">Résultat</t>
        </is>
      </c>
    </row>
    <row r="40">
      <c r="A40" s="9">
        <f>IF('Centres de coûts'!$A$8="","",'Centres de coûts'!$A$8&amp;"  "&amp;'Centres de coûts'!$B$8)</f>
      </c>
      <c r="B40" s="11">
        <f>IF('Centres de coûts'!$A$8="","",-SUMPRODUCT(('Journal'!$G$8:$G$2007='Centres de coûts'!$A$8)*(LEFT('Journal'!$D$8:$D$2007,1)="7")*('Journal'!$H$8:$H$2007-'Journal'!$I$8:$I$2007)))</f>
      </c>
      <c r="C40" s="11">
        <f>IF('Centres de coûts'!$A$8="","",SUMPRODUCT(('Journal'!$G$8:$G$2007='Centres de coûts'!$A$8)*(LEFT('Journal'!$D$8:$D$2007,1)="6")*('Journal'!$H$8:$H$2007-'Journal'!$I$8:$I$2007)))</f>
      </c>
      <c r="D40" s="11">
        <f>IF('Centres de coûts'!$A$8="","",N($B40)-N($C40))</f>
      </c>
    </row>
    <row r="41">
      <c r="A41" s="9">
        <f>IF('Centres de coûts'!$A$9="","",'Centres de coûts'!$A$9&amp;"  "&amp;'Centres de coûts'!$B$9)</f>
      </c>
      <c r="B41" s="11">
        <f>IF('Centres de coûts'!$A$9="","",-SUMPRODUCT(('Journal'!$G$8:$G$2007='Centres de coûts'!$A$9)*(LEFT('Journal'!$D$8:$D$2007,1)="7")*('Journal'!$H$8:$H$2007-'Journal'!$I$8:$I$2007)))</f>
      </c>
      <c r="C41" s="11">
        <f>IF('Centres de coûts'!$A$9="","",SUMPRODUCT(('Journal'!$G$8:$G$2007='Centres de coûts'!$A$9)*(LEFT('Journal'!$D$8:$D$2007,1)="6")*('Journal'!$H$8:$H$2007-'Journal'!$I$8:$I$2007)))</f>
      </c>
      <c r="D41" s="11">
        <f>IF('Centres de coûts'!$A$9="","",N($B41)-N($C41))</f>
      </c>
    </row>
    <row r="42">
      <c r="A42" s="9">
        <f>IF('Centres de coûts'!$A$10="","",'Centres de coûts'!$A$10&amp;"  "&amp;'Centres de coûts'!$B$10)</f>
      </c>
      <c r="B42" s="11">
        <f>IF('Centres de coûts'!$A$10="","",-SUMPRODUCT(('Journal'!$G$8:$G$2007='Centres de coûts'!$A$10)*(LEFT('Journal'!$D$8:$D$2007,1)="7")*('Journal'!$H$8:$H$2007-'Journal'!$I$8:$I$2007)))</f>
      </c>
      <c r="C42" s="11">
        <f>IF('Centres de coûts'!$A$10="","",SUMPRODUCT(('Journal'!$G$8:$G$2007='Centres de coûts'!$A$10)*(LEFT('Journal'!$D$8:$D$2007,1)="6")*('Journal'!$H$8:$H$2007-'Journal'!$I$8:$I$2007)))</f>
      </c>
      <c r="D42" s="11">
        <f>IF('Centres de coûts'!$A$10="","",N($B42)-N($C42))</f>
      </c>
    </row>
    <row r="43">
      <c r="A43" s="9">
        <f>IF('Centres de coûts'!$A$11="","",'Centres de coûts'!$A$11&amp;"  "&amp;'Centres de coûts'!$B$11)</f>
      </c>
      <c r="B43" s="11">
        <f>IF('Centres de coûts'!$A$11="","",-SUMPRODUCT(('Journal'!$G$8:$G$2007='Centres de coûts'!$A$11)*(LEFT('Journal'!$D$8:$D$2007,1)="7")*('Journal'!$H$8:$H$2007-'Journal'!$I$8:$I$2007)))</f>
      </c>
      <c r="C43" s="11">
        <f>IF('Centres de coûts'!$A$11="","",SUMPRODUCT(('Journal'!$G$8:$G$2007='Centres de coûts'!$A$11)*(LEFT('Journal'!$D$8:$D$2007,1)="6")*('Journal'!$H$8:$H$2007-'Journal'!$I$8:$I$2007)))</f>
      </c>
      <c r="D43" s="11">
        <f>IF('Centres de coûts'!$A$11="","",N($B43)-N($C43))</f>
      </c>
    </row>
    <row r="44">
      <c r="A44" s="9">
        <f>IF('Centres de coûts'!$A$12="","",'Centres de coûts'!$A$12&amp;"  "&amp;'Centres de coûts'!$B$12)</f>
      </c>
      <c r="B44" s="11">
        <f>IF('Centres de coûts'!$A$12="","",-SUMPRODUCT(('Journal'!$G$8:$G$2007='Centres de coûts'!$A$12)*(LEFT('Journal'!$D$8:$D$2007,1)="7")*('Journal'!$H$8:$H$2007-'Journal'!$I$8:$I$2007)))</f>
      </c>
      <c r="C44" s="11">
        <f>IF('Centres de coûts'!$A$12="","",SUMPRODUCT(('Journal'!$G$8:$G$2007='Centres de coûts'!$A$12)*(LEFT('Journal'!$D$8:$D$2007,1)="6")*('Journal'!$H$8:$H$2007-'Journal'!$I$8:$I$2007)))</f>
      </c>
      <c r="D44" s="11">
        <f>IF('Centres de coûts'!$A$12="","",N($B44)-N($C44))</f>
      </c>
    </row>
    <row r="45">
      <c r="A45" s="9">
        <f>IF('Centres de coûts'!$A$13="","",'Centres de coûts'!$A$13&amp;"  "&amp;'Centres de coûts'!$B$13)</f>
      </c>
      <c r="B45" s="11">
        <f>IF('Centres de coûts'!$A$13="","",-SUMPRODUCT(('Journal'!$G$8:$G$2007='Centres de coûts'!$A$13)*(LEFT('Journal'!$D$8:$D$2007,1)="7")*('Journal'!$H$8:$H$2007-'Journal'!$I$8:$I$2007)))</f>
      </c>
      <c r="C45" s="11">
        <f>IF('Centres de coûts'!$A$13="","",SUMPRODUCT(('Journal'!$G$8:$G$2007='Centres de coûts'!$A$13)*(LEFT('Journal'!$D$8:$D$2007,1)="6")*('Journal'!$H$8:$H$2007-'Journal'!$I$8:$I$2007)))</f>
      </c>
      <c r="D45" s="11">
        <f>IF('Centres de coûts'!$A$13="","",N($B45)-N($C45))</f>
      </c>
    </row>
    <row r="46">
      <c r="A46" s="9">
        <f>IF('Centres de coûts'!$A$14="","",'Centres de coûts'!$A$14&amp;"  "&amp;'Centres de coûts'!$B$14)</f>
      </c>
      <c r="B46" s="11">
        <f>IF('Centres de coûts'!$A$14="","",-SUMPRODUCT(('Journal'!$G$8:$G$2007='Centres de coûts'!$A$14)*(LEFT('Journal'!$D$8:$D$2007,1)="7")*('Journal'!$H$8:$H$2007-'Journal'!$I$8:$I$2007)))</f>
      </c>
      <c r="C46" s="11">
        <f>IF('Centres de coûts'!$A$14="","",SUMPRODUCT(('Journal'!$G$8:$G$2007='Centres de coûts'!$A$14)*(LEFT('Journal'!$D$8:$D$2007,1)="6")*('Journal'!$H$8:$H$2007-'Journal'!$I$8:$I$2007)))</f>
      </c>
      <c r="D46" s="11">
        <f>IF('Centres de coûts'!$A$14="","",N($B46)-N($C46))</f>
      </c>
    </row>
    <row r="47">
      <c r="A47" s="9">
        <f>IF('Centres de coûts'!$A$15="","",'Centres de coûts'!$A$15&amp;"  "&amp;'Centres de coûts'!$B$15)</f>
      </c>
      <c r="B47" s="11">
        <f>IF('Centres de coûts'!$A$15="","",-SUMPRODUCT(('Journal'!$G$8:$G$2007='Centres de coûts'!$A$15)*(LEFT('Journal'!$D$8:$D$2007,1)="7")*('Journal'!$H$8:$H$2007-'Journal'!$I$8:$I$2007)))</f>
      </c>
      <c r="C47" s="11">
        <f>IF('Centres de coûts'!$A$15="","",SUMPRODUCT(('Journal'!$G$8:$G$2007='Centres de coûts'!$A$15)*(LEFT('Journal'!$D$8:$D$2007,1)="6")*('Journal'!$H$8:$H$2007-'Journal'!$I$8:$I$2007)))</f>
      </c>
      <c r="D47" s="11">
        <f>IF('Centres de coûts'!$A$15="","",N($B47)-N($C47))</f>
      </c>
    </row>
    <row r="48">
      <c r="A48" s="9">
        <f>IF('Centres de coûts'!$A$16="","",'Centres de coûts'!$A$16&amp;"  "&amp;'Centres de coûts'!$B$16)</f>
      </c>
      <c r="B48" s="11">
        <f>IF('Centres de coûts'!$A$16="","",-SUMPRODUCT(('Journal'!$G$8:$G$2007='Centres de coûts'!$A$16)*(LEFT('Journal'!$D$8:$D$2007,1)="7")*('Journal'!$H$8:$H$2007-'Journal'!$I$8:$I$2007)))</f>
      </c>
      <c r="C48" s="11">
        <f>IF('Centres de coûts'!$A$16="","",SUMPRODUCT(('Journal'!$G$8:$G$2007='Centres de coûts'!$A$16)*(LEFT('Journal'!$D$8:$D$2007,1)="6")*('Journal'!$H$8:$H$2007-'Journal'!$I$8:$I$2007)))</f>
      </c>
      <c r="D48" s="11">
        <f>IF('Centres de coûts'!$A$16="","",N($B48)-N($C48))</f>
      </c>
    </row>
    <row r="49">
      <c r="A49" s="9">
        <f>IF('Centres de coûts'!$A$17="","",'Centres de coûts'!$A$17&amp;"  "&amp;'Centres de coûts'!$B$17)</f>
      </c>
      <c r="B49" s="11">
        <f>IF('Centres de coûts'!$A$17="","",-SUMPRODUCT(('Journal'!$G$8:$G$2007='Centres de coûts'!$A$17)*(LEFT('Journal'!$D$8:$D$2007,1)="7")*('Journal'!$H$8:$H$2007-'Journal'!$I$8:$I$2007)))</f>
      </c>
      <c r="C49" s="11">
        <f>IF('Centres de coûts'!$A$17="","",SUMPRODUCT(('Journal'!$G$8:$G$2007='Centres de coûts'!$A$17)*(LEFT('Journal'!$D$8:$D$2007,1)="6")*('Journal'!$H$8:$H$2007-'Journal'!$I$8:$I$2007)))</f>
      </c>
      <c r="D49" s="11">
        <f>IF('Centres de coûts'!$A$17="","",N($B49)-N($C49))</f>
      </c>
    </row>
    <row r="50">
      <c r="A50" s="9">
        <f>IF('Centres de coûts'!$A$18="","",'Centres de coûts'!$A$18&amp;"  "&amp;'Centres de coûts'!$B$18)</f>
      </c>
      <c r="B50" s="11">
        <f>IF('Centres de coûts'!$A$18="","",-SUMPRODUCT(('Journal'!$G$8:$G$2007='Centres de coûts'!$A$18)*(LEFT('Journal'!$D$8:$D$2007,1)="7")*('Journal'!$H$8:$H$2007-'Journal'!$I$8:$I$2007)))</f>
      </c>
      <c r="C50" s="11">
        <f>IF('Centres de coûts'!$A$18="","",SUMPRODUCT(('Journal'!$G$8:$G$2007='Centres de coûts'!$A$18)*(LEFT('Journal'!$D$8:$D$2007,1)="6")*('Journal'!$H$8:$H$2007-'Journal'!$I$8:$I$2007)))</f>
      </c>
      <c r="D50" s="11">
        <f>IF('Centres de coûts'!$A$18="","",N($B50)-N($C50))</f>
      </c>
    </row>
    <row r="51">
      <c r="A51" s="9">
        <f>IF('Centres de coûts'!$A$19="","",'Centres de coûts'!$A$19&amp;"  "&amp;'Centres de coûts'!$B$19)</f>
      </c>
      <c r="B51" s="11">
        <f>IF('Centres de coûts'!$A$19="","",-SUMPRODUCT(('Journal'!$G$8:$G$2007='Centres de coûts'!$A$19)*(LEFT('Journal'!$D$8:$D$2007,1)="7")*('Journal'!$H$8:$H$2007-'Journal'!$I$8:$I$2007)))</f>
      </c>
      <c r="C51" s="11">
        <f>IF('Centres de coûts'!$A$19="","",SUMPRODUCT(('Journal'!$G$8:$G$2007='Centres de coûts'!$A$19)*(LEFT('Journal'!$D$8:$D$2007,1)="6")*('Journal'!$H$8:$H$2007-'Journal'!$I$8:$I$2007)))</f>
      </c>
      <c r="D51" s="11">
        <f>IF('Centres de coûts'!$A$19="","",N($B51)-N($C51))</f>
      </c>
    </row>
    <row r="52">
      <c r="A52" s="9">
        <f>IF('Centres de coûts'!$A$20="","",'Centres de coûts'!$A$20&amp;"  "&amp;'Centres de coûts'!$B$20)</f>
      </c>
      <c r="B52" s="11">
        <f>IF('Centres de coûts'!$A$20="","",-SUMPRODUCT(('Journal'!$G$8:$G$2007='Centres de coûts'!$A$20)*(LEFT('Journal'!$D$8:$D$2007,1)="7")*('Journal'!$H$8:$H$2007-'Journal'!$I$8:$I$2007)))</f>
      </c>
      <c r="C52" s="11">
        <f>IF('Centres de coûts'!$A$20="","",SUMPRODUCT(('Journal'!$G$8:$G$2007='Centres de coûts'!$A$20)*(LEFT('Journal'!$D$8:$D$2007,1)="6")*('Journal'!$H$8:$H$2007-'Journal'!$I$8:$I$2007)))</f>
      </c>
      <c r="D52" s="11">
        <f>IF('Centres de coûts'!$A$20="","",N($B52)-N($C52))</f>
      </c>
    </row>
    <row r="53">
      <c r="A53" s="9">
        <f>IF('Centres de coûts'!$A$21="","",'Centres de coûts'!$A$21&amp;"  "&amp;'Centres de coûts'!$B$21)</f>
      </c>
      <c r="B53" s="11">
        <f>IF('Centres de coûts'!$A$21="","",-SUMPRODUCT(('Journal'!$G$8:$G$2007='Centres de coûts'!$A$21)*(LEFT('Journal'!$D$8:$D$2007,1)="7")*('Journal'!$H$8:$H$2007-'Journal'!$I$8:$I$2007)))</f>
      </c>
      <c r="C53" s="11">
        <f>IF('Centres de coûts'!$A$21="","",SUMPRODUCT(('Journal'!$G$8:$G$2007='Centres de coûts'!$A$21)*(LEFT('Journal'!$D$8:$D$2007,1)="6")*('Journal'!$H$8:$H$2007-'Journal'!$I$8:$I$2007)))</f>
      </c>
      <c r="D53" s="11">
        <f>IF('Centres de coûts'!$A$21="","",N($B53)-N($C53))</f>
      </c>
    </row>
    <row r="54">
      <c r="A54" s="9">
        <f>IF('Centres de coûts'!$A$22="","",'Centres de coûts'!$A$22&amp;"  "&amp;'Centres de coûts'!$B$22)</f>
      </c>
      <c r="B54" s="11">
        <f>IF('Centres de coûts'!$A$22="","",-SUMPRODUCT(('Journal'!$G$8:$G$2007='Centres de coûts'!$A$22)*(LEFT('Journal'!$D$8:$D$2007,1)="7")*('Journal'!$H$8:$H$2007-'Journal'!$I$8:$I$2007)))</f>
      </c>
      <c r="C54" s="11">
        <f>IF('Centres de coûts'!$A$22="","",SUMPRODUCT(('Journal'!$G$8:$G$2007='Centres de coûts'!$A$22)*(LEFT('Journal'!$D$8:$D$2007,1)="6")*('Journal'!$H$8:$H$2007-'Journal'!$I$8:$I$2007)))</f>
      </c>
      <c r="D54" s="11">
        <f>IF('Centres de coûts'!$A$22="","",N($B54)-N($C54))</f>
      </c>
    </row>
    <row r="55">
      <c r="A55" s="9">
        <f>IF('Centres de coûts'!$A$23="","",'Centres de coûts'!$A$23&amp;"  "&amp;'Centres de coûts'!$B$23)</f>
      </c>
      <c r="B55" s="11">
        <f>IF('Centres de coûts'!$A$23="","",-SUMPRODUCT(('Journal'!$G$8:$G$2007='Centres de coûts'!$A$23)*(LEFT('Journal'!$D$8:$D$2007,1)="7")*('Journal'!$H$8:$H$2007-'Journal'!$I$8:$I$2007)))</f>
      </c>
      <c r="C55" s="11">
        <f>IF('Centres de coûts'!$A$23="","",SUMPRODUCT(('Journal'!$G$8:$G$2007='Centres de coûts'!$A$23)*(LEFT('Journal'!$D$8:$D$2007,1)="6")*('Journal'!$H$8:$H$2007-'Journal'!$I$8:$I$2007)))</f>
      </c>
      <c r="D55" s="11">
        <f>IF('Centres de coûts'!$A$23="","",N($B55)-N($C55))</f>
      </c>
    </row>
    <row r="56">
      <c r="A56" s="9">
        <f>IF('Centres de coûts'!$A$24="","",'Centres de coûts'!$A$24&amp;"  "&amp;'Centres de coûts'!$B$24)</f>
      </c>
      <c r="B56" s="11">
        <f>IF('Centres de coûts'!$A$24="","",-SUMPRODUCT(('Journal'!$G$8:$G$2007='Centres de coûts'!$A$24)*(LEFT('Journal'!$D$8:$D$2007,1)="7")*('Journal'!$H$8:$H$2007-'Journal'!$I$8:$I$2007)))</f>
      </c>
      <c r="C56" s="11">
        <f>IF('Centres de coûts'!$A$24="","",SUMPRODUCT(('Journal'!$G$8:$G$2007='Centres de coûts'!$A$24)*(LEFT('Journal'!$D$8:$D$2007,1)="6")*('Journal'!$H$8:$H$2007-'Journal'!$I$8:$I$2007)))</f>
      </c>
      <c r="D56" s="11">
        <f>IF('Centres de coûts'!$A$24="","",N($B56)-N($C56))</f>
      </c>
    </row>
    <row r="57">
      <c r="A57" s="9">
        <f>IF('Centres de coûts'!$A$25="","",'Centres de coûts'!$A$25&amp;"  "&amp;'Centres de coûts'!$B$25)</f>
      </c>
      <c r="B57" s="11">
        <f>IF('Centres de coûts'!$A$25="","",-SUMPRODUCT(('Journal'!$G$8:$G$2007='Centres de coûts'!$A$25)*(LEFT('Journal'!$D$8:$D$2007,1)="7")*('Journal'!$H$8:$H$2007-'Journal'!$I$8:$I$2007)))</f>
      </c>
      <c r="C57" s="11">
        <f>IF('Centres de coûts'!$A$25="","",SUMPRODUCT(('Journal'!$G$8:$G$2007='Centres de coûts'!$A$25)*(LEFT('Journal'!$D$8:$D$2007,1)="6")*('Journal'!$H$8:$H$2007-'Journal'!$I$8:$I$2007)))</f>
      </c>
      <c r="D57" s="11">
        <f>IF('Centres de coûts'!$A$25="","",N($B57)-N($C57))</f>
      </c>
    </row>
    <row r="58">
      <c r="A58" s="9">
        <f>IF('Centres de coûts'!$A$26="","",'Centres de coûts'!$A$26&amp;"  "&amp;'Centres de coûts'!$B$26)</f>
      </c>
      <c r="B58" s="11">
        <f>IF('Centres de coûts'!$A$26="","",-SUMPRODUCT(('Journal'!$G$8:$G$2007='Centres de coûts'!$A$26)*(LEFT('Journal'!$D$8:$D$2007,1)="7")*('Journal'!$H$8:$H$2007-'Journal'!$I$8:$I$2007)))</f>
      </c>
      <c r="C58" s="11">
        <f>IF('Centres de coûts'!$A$26="","",SUMPRODUCT(('Journal'!$G$8:$G$2007='Centres de coûts'!$A$26)*(LEFT('Journal'!$D$8:$D$2007,1)="6")*('Journal'!$H$8:$H$2007-'Journal'!$I$8:$I$2007)))</f>
      </c>
      <c r="D58" s="11">
        <f>IF('Centres de coûts'!$A$26="","",N($B58)-N($C58))</f>
      </c>
    </row>
    <row r="59">
      <c r="A59" s="9">
        <f>IF('Centres de coûts'!$A$27="","",'Centres de coûts'!$A$27&amp;"  "&amp;'Centres de coûts'!$B$27)</f>
      </c>
      <c r="B59" s="11">
        <f>IF('Centres de coûts'!$A$27="","",-SUMPRODUCT(('Journal'!$G$8:$G$2007='Centres de coûts'!$A$27)*(LEFT('Journal'!$D$8:$D$2007,1)="7")*('Journal'!$H$8:$H$2007-'Journal'!$I$8:$I$2007)))</f>
      </c>
      <c r="C59" s="11">
        <f>IF('Centres de coûts'!$A$27="","",SUMPRODUCT(('Journal'!$G$8:$G$2007='Centres de coûts'!$A$27)*(LEFT('Journal'!$D$8:$D$2007,1)="6")*('Journal'!$H$8:$H$2007-'Journal'!$I$8:$I$2007)))</f>
      </c>
      <c r="D59" s="11">
        <f>IF('Centres de coûts'!$A$27="","",N($B59)-N($C59))</f>
      </c>
    </row>
    <row r="61">
      <c r="A61" s="18" t="inlineStr">
        <is>
          <t xml:space="preserve">Une ligne du journal sans centre n'apparaît dans aucune de ces lignes : la somme des centres est inférieure au résultat de l'exercice tant que tout n'est pas affecté.</t>
        </is>
      </c>
    </row>
  </sheetData>
  <mergeCells count="10">
    <mergeCell ref="A1:E1"/>
    <mergeCell ref="A2:E2"/>
    <mergeCell ref="A3:E3"/>
    <mergeCell ref="A5:E5"/>
    <mergeCell ref="A7:C7"/>
    <mergeCell ref="A15:C15"/>
    <mergeCell ref="A21:C21"/>
    <mergeCell ref="A27:C27"/>
    <mergeCell ref="A38:D38"/>
    <mergeCell ref="A61:D61"/>
  </mergeCells>
  <pageMargins left="0.4" right="0.4" top="0.5" bottom="0.5" header="0.3" footer="0.3"/>
</worksheet>
</file>

<file path=docProps/app.xml><?xml version="1.0" encoding="utf-8"?>
<Properties xmlns="http://schemas.openxmlformats.org/officeDocument/2006/extended-properties">
  <Application>FacturePro</Application>
</Properties>
</file>

<file path=docProps/core.xml><?xml version="1.0" encoding="utf-8"?>
<cp:coreProperties xmlns:cp="http://schemas.openxmlformats.org/package/2006/metadata/core-properties" xmlns:dc="http://purl.org/dc/elements/1.1/">
  <dc:title>Système comptable SCF — Algérie</dc:title>
  <dc:creator>FacturePro</dc:creator>
  <cp:lastModifiedBy>FacturePro</cp:lastModifiedBy>
</cp:coreProperties>
</file>